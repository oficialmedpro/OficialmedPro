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 Geral 2025" sheetId="1" r:id="rId4"/>
    <sheet state="visible" name="GERAL - 12" sheetId="2" r:id="rId5"/>
    <sheet state="hidden" name="Compra - 11" sheetId="3" r:id="rId6"/>
    <sheet state="visible" name="Compra - 12" sheetId="4" r:id="rId7"/>
    <sheet state="visible" name="Recompra - 12" sheetId="5" r:id="rId8"/>
    <sheet state="visible" name="RONDAS" sheetId="6" r:id="rId9"/>
    <sheet state="visible" name="Página6" sheetId="7" r:id="rId10"/>
    <sheet state="hidden" name="Compra - 09 " sheetId="8" r:id="rId11"/>
    <sheet state="hidden" name="Recompra - 09" sheetId="9" r:id="rId12"/>
    <sheet state="hidden" name="Compra - 10 " sheetId="10" r:id="rId13"/>
    <sheet state="hidden" name="Recompra - 10" sheetId="11" r:id="rId14"/>
    <sheet state="hidden" name="Recompra - 11" sheetId="12" r:id="rId15"/>
  </sheets>
  <definedNames/>
  <calcPr/>
</workbook>
</file>

<file path=xl/sharedStrings.xml><?xml version="1.0" encoding="utf-8"?>
<sst xmlns="http://schemas.openxmlformats.org/spreadsheetml/2006/main" count="1037" uniqueCount="137">
  <si>
    <t>Indicadores</t>
  </si>
  <si>
    <t>Leads</t>
  </si>
  <si>
    <t>Nº Vendas</t>
  </si>
  <si>
    <t>Faturamento</t>
  </si>
  <si>
    <t>Taxa Conversão</t>
  </si>
  <si>
    <t>Ticket Médio</t>
  </si>
  <si>
    <t>Data</t>
  </si>
  <si>
    <t xml:space="preserve">Realizado </t>
  </si>
  <si>
    <t>Meta</t>
  </si>
  <si>
    <t>Gap</t>
  </si>
  <si>
    <t>% atingimento</t>
  </si>
  <si>
    <t>Setembro</t>
  </si>
  <si>
    <t>Outubro</t>
  </si>
  <si>
    <t>Novembro</t>
  </si>
  <si>
    <t>Dezembro</t>
  </si>
  <si>
    <t>DEZEMBRO</t>
  </si>
  <si>
    <t>DATA</t>
  </si>
  <si>
    <t>DIA</t>
  </si>
  <si>
    <t>VALOR</t>
  </si>
  <si>
    <t>QNTD FORMULAS</t>
  </si>
  <si>
    <t>TKT MEDIO</t>
  </si>
  <si>
    <t>SALDO DO DIA</t>
  </si>
  <si>
    <t>SALDO GERAL</t>
  </si>
  <si>
    <t>SEG</t>
  </si>
  <si>
    <t>TER</t>
  </si>
  <si>
    <t>QUA</t>
  </si>
  <si>
    <t>QUI</t>
  </si>
  <si>
    <t>SEX</t>
  </si>
  <si>
    <t>SAB</t>
  </si>
  <si>
    <t>DOM</t>
  </si>
  <si>
    <t>TOTAL</t>
  </si>
  <si>
    <t>Realizado  2</t>
  </si>
  <si>
    <t>Meta 2</t>
  </si>
  <si>
    <t>Gap 2</t>
  </si>
  <si>
    <t>Realizado  3</t>
  </si>
  <si>
    <t>Meta 3</t>
  </si>
  <si>
    <t>Gap 3</t>
  </si>
  <si>
    <t>Realizado  4</t>
  </si>
  <si>
    <t>Meta 4</t>
  </si>
  <si>
    <t>Gap 4</t>
  </si>
  <si>
    <t>Realizado  5</t>
  </si>
  <si>
    <t>Meta 5</t>
  </si>
  <si>
    <t>Gap 5</t>
  </si>
  <si>
    <t>Thalia</t>
  </si>
  <si>
    <t>THALIA</t>
  </si>
  <si>
    <t>Meta x Dia</t>
  </si>
  <si>
    <t>Meta x Dia Útil</t>
  </si>
  <si>
    <t>% da Meta</t>
  </si>
  <si>
    <t>Dias Útil Restante</t>
  </si>
  <si>
    <t>Meta dia Acumulado</t>
  </si>
  <si>
    <t xml:space="preserve">Ticket Médio </t>
  </si>
  <si>
    <t>Nº Leads</t>
  </si>
  <si>
    <t xml:space="preserve">Nº Vendas </t>
  </si>
  <si>
    <t>Mirian</t>
  </si>
  <si>
    <t>MIRIAN</t>
  </si>
  <si>
    <t>Isabela Helena</t>
  </si>
  <si>
    <t>Gabriela Helena</t>
  </si>
  <si>
    <t>ISABELA</t>
  </si>
  <si>
    <t>GABRIELA</t>
  </si>
  <si>
    <t>Hagata</t>
  </si>
  <si>
    <t>HAGATA</t>
  </si>
  <si>
    <t>Gustavo</t>
  </si>
  <si>
    <t>GUSTAVO</t>
  </si>
  <si>
    <t>Isabella</t>
  </si>
  <si>
    <t>Ronda</t>
  </si>
  <si>
    <t>10h</t>
  </si>
  <si>
    <t>12h</t>
  </si>
  <si>
    <t>14h</t>
  </si>
  <si>
    <t>16h</t>
  </si>
  <si>
    <t>18h</t>
  </si>
  <si>
    <t>20h</t>
  </si>
  <si>
    <t>Dia</t>
  </si>
  <si>
    <t>Realizado</t>
  </si>
  <si>
    <t>R$ 0,00</t>
  </si>
  <si>
    <t>ISA C</t>
  </si>
  <si>
    <t>ISABELA H</t>
  </si>
  <si>
    <t>LONDRINA</t>
  </si>
  <si>
    <t>80% da meta</t>
  </si>
  <si>
    <t>Vendedor</t>
  </si>
  <si>
    <t>Falta p/ 80%</t>
  </si>
  <si>
    <t>Precisa/dia (4 dias)</t>
  </si>
  <si>
    <t>R$ 100.000,00</t>
  </si>
  <si>
    <t>R$ 59.960,03</t>
  </si>
  <si>
    <t>R$ 80.000,00</t>
  </si>
  <si>
    <t>R$ 20.039,97</t>
  </si>
  <si>
    <t>R$ 5.010,00/dia</t>
  </si>
  <si>
    <t>R$ 135.000,00</t>
  </si>
  <si>
    <t>R$ 91.532,70</t>
  </si>
  <si>
    <t>R$ 108.000,00</t>
  </si>
  <si>
    <t>R$ 16.467,30</t>
  </si>
  <si>
    <t>R$ 4.116,83/dia</t>
  </si>
  <si>
    <t>R$ 75.000,00</t>
  </si>
  <si>
    <t>R$ 39.760,68</t>
  </si>
  <si>
    <t>R$ 60.000,00</t>
  </si>
  <si>
    <t>R$ 20.239,32</t>
  </si>
  <si>
    <t>R$ 5.059,83/dia</t>
  </si>
  <si>
    <t>R$ 65.000,00</t>
  </si>
  <si>
    <t>R$ 47.680,71</t>
  </si>
  <si>
    <t>R$ 52.000,00</t>
  </si>
  <si>
    <t>R$ 4.319,29</t>
  </si>
  <si>
    <t>R$ 1.079,83/dia</t>
  </si>
  <si>
    <t>Gabriela</t>
  </si>
  <si>
    <t>R$ 45.000,00</t>
  </si>
  <si>
    <t>R$ 13.834,16</t>
  </si>
  <si>
    <t>R$ 36.000,00</t>
  </si>
  <si>
    <t>R$ 22.165,84</t>
  </si>
  <si>
    <t>R$ 5.541,46/dia</t>
  </si>
  <si>
    <t>R$ 50.000,00</t>
  </si>
  <si>
    <t>R$ 12.418,78</t>
  </si>
  <si>
    <t>R$ 40.000,00</t>
  </si>
  <si>
    <t>R$ 27.581,22</t>
  </si>
  <si>
    <t>R$ 6.895,31/dia</t>
  </si>
  <si>
    <t>90% da meta</t>
  </si>
  <si>
    <t>Falta p/ 90%</t>
  </si>
  <si>
    <t>R$ 90.000,00</t>
  </si>
  <si>
    <t>R$ 30.039,97</t>
  </si>
  <si>
    <t>R$ 7.510,00/dia</t>
  </si>
  <si>
    <t>R$ 121.500,00</t>
  </si>
  <si>
    <t>R$ 29.967,30</t>
  </si>
  <si>
    <t>R$ 7.491,83/dia</t>
  </si>
  <si>
    <t>R$ 67.500,00</t>
  </si>
  <si>
    <t>R$ 27.739,32</t>
  </si>
  <si>
    <t>R$ 6.934,83/dia</t>
  </si>
  <si>
    <t>R$ 58.500,00</t>
  </si>
  <si>
    <t>R$ 10.819,29</t>
  </si>
  <si>
    <t>R$ 2.704,83/dia</t>
  </si>
  <si>
    <t>R$ 40.500,00</t>
  </si>
  <si>
    <t>R$ 26.665,84</t>
  </si>
  <si>
    <t>R$ 6.666,46/dia</t>
  </si>
  <si>
    <t>R$ 32.581,22</t>
  </si>
  <si>
    <t>R$ 8.145,31/dia</t>
  </si>
  <si>
    <t xml:space="preserve">Setembro </t>
  </si>
  <si>
    <t xml:space="preserve">João </t>
  </si>
  <si>
    <t>João</t>
  </si>
  <si>
    <t>Rosana</t>
  </si>
  <si>
    <t>21% qualif</t>
  </si>
  <si>
    <t>OUTUBRO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</si>
</sst>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"/>
    <numFmt numFmtId="165" formatCode="&quot;R$&quot;#,##0.00"/>
    <numFmt numFmtId="166" formatCode="[$R$ -416]#,##0.00"/>
    <numFmt numFmtId="167" formatCode="0.0%"/>
    <numFmt numFmtId="168" formatCode="dd/mm"/>
    <numFmt numFmtId="169" formatCode="dd/mm/yyyy"/>
  </numFmts>
  <fonts count="3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7"/>
      <name val="Arial"/>
      <scheme val="minor"/>
    </font>
    <font>
      <b/>
      <color rgb="FFCC0000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color rgb="FFF1C232"/>
      <name val="Arial"/>
      <scheme val="minor"/>
    </font>
    <font>
      <i/>
      <color theme="1"/>
      <name val="Arial"/>
    </font>
    <font>
      <i/>
      <color rgb="FF6AA84F"/>
      <name val="Arial"/>
      <scheme val="minor"/>
    </font>
    <font>
      <color theme="1"/>
      <name val="Arial"/>
    </font>
    <font>
      <b/>
      <color rgb="FFF3F3F3"/>
      <name val="Arial"/>
      <scheme val="minor"/>
    </font>
    <font>
      <b/>
      <color rgb="FF000000"/>
      <name val="Arial"/>
      <scheme val="minor"/>
    </font>
    <font>
      <i/>
      <color rgb="FF990000"/>
      <name val="Arial"/>
    </font>
    <font>
      <i/>
      <color rgb="FFCC0000"/>
      <name val="Arial"/>
    </font>
    <font>
      <b/>
      <color rgb="FF000000"/>
      <name val="Arial"/>
    </font>
    <font>
      <b/>
      <i/>
      <color rgb="FF000000"/>
      <name val="Arial"/>
    </font>
    <font>
      <color rgb="FF000000"/>
      <name val="Arial"/>
    </font>
    <font>
      <color rgb="FFFF0000"/>
      <name val="Arial"/>
    </font>
    <font>
      <b/>
      <color rgb="FFFF0000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i/>
      <color rgb="FF00FF00"/>
      <name val="Arial"/>
      <scheme val="minor"/>
    </font>
    <font>
      <color theme="7"/>
      <name val="Arial"/>
      <scheme val="minor"/>
    </font>
    <font>
      <color rgb="FF00FF00"/>
      <name val="Arial"/>
      <scheme val="minor"/>
    </font>
    <font>
      <i/>
      <color rgb="FF93C47D"/>
      <name val="Arial"/>
    </font>
    <font>
      <i/>
      <color rgb="FF6AA84F"/>
      <name val="Arial"/>
    </font>
    <font>
      <i/>
      <color rgb="FF38761D"/>
      <name val="Arial"/>
    </font>
    <font>
      <color rgb="FF38761D"/>
      <name val="Arial"/>
    </font>
    <font>
      <color rgb="FFCC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theme="4"/>
        <bgColor theme="4"/>
      </patternFill>
    </fill>
    <fill>
      <patternFill patternType="solid">
        <fgColor rgb="FFBDBDBD"/>
        <bgColor rgb="FFBDBDBD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</border>
    <border>
      <right style="double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vertical="center"/>
    </xf>
    <xf borderId="9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 vertical="center"/>
    </xf>
    <xf borderId="9" fillId="2" fontId="1" numFmtId="9" xfId="0" applyAlignment="1" applyBorder="1" applyFont="1" applyNumberFormat="1">
      <alignment horizontal="center" readingOrder="0" vertical="center"/>
    </xf>
    <xf borderId="9" fillId="2" fontId="1" numFmtId="164" xfId="0" applyAlignment="1" applyBorder="1" applyFont="1" applyNumberFormat="1">
      <alignment horizontal="center" readingOrder="0" vertical="center"/>
    </xf>
    <xf borderId="11" fillId="2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7" fillId="2" fontId="1" numFmtId="0" xfId="0" applyAlignment="1" applyBorder="1" applyFont="1">
      <alignment horizontal="center"/>
    </xf>
    <xf borderId="5" fillId="3" fontId="1" numFmtId="0" xfId="0" applyAlignment="1" applyBorder="1" applyFill="1" applyFont="1">
      <alignment horizontal="center" readingOrder="0" vertical="center"/>
    </xf>
    <xf borderId="6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7" fillId="3" fontId="1" numFmtId="0" xfId="0" applyAlignment="1" applyBorder="1" applyFont="1">
      <alignment horizontal="center"/>
    </xf>
    <xf borderId="6" fillId="3" fontId="1" numFmtId="165" xfId="0" applyAlignment="1" applyBorder="1" applyFont="1" applyNumberFormat="1">
      <alignment horizontal="center"/>
    </xf>
    <xf borderId="0" fillId="3" fontId="1" numFmtId="165" xfId="0" applyAlignment="1" applyFont="1" applyNumberFormat="1">
      <alignment horizontal="center"/>
    </xf>
    <xf borderId="6" fillId="3" fontId="1" numFmtId="10" xfId="0" applyAlignment="1" applyBorder="1" applyFont="1" applyNumberFormat="1">
      <alignment horizontal="center"/>
    </xf>
    <xf borderId="0" fillId="3" fontId="1" numFmtId="9" xfId="0" applyAlignment="1" applyFont="1" applyNumberFormat="1">
      <alignment horizontal="center" readingOrder="0"/>
    </xf>
    <xf borderId="7" fillId="3" fontId="1" numFmtId="9" xfId="0" applyAlignment="1" applyBorder="1" applyFont="1" applyNumberFormat="1">
      <alignment horizontal="center"/>
    </xf>
    <xf borderId="0" fillId="3" fontId="1" numFmtId="0" xfId="0" applyAlignment="1" applyFont="1">
      <alignment horizontal="center" readingOrder="0"/>
    </xf>
    <xf borderId="7" fillId="3" fontId="1" numFmtId="165" xfId="0" applyAlignment="1" applyBorder="1" applyFont="1" applyNumberFormat="1">
      <alignment horizontal="center"/>
    </xf>
    <xf borderId="0" fillId="3" fontId="1" numFmtId="166" xfId="0" applyAlignment="1" applyFont="1" applyNumberFormat="1">
      <alignment horizontal="center" readingOrder="0"/>
    </xf>
    <xf borderId="14" fillId="4" fontId="1" numFmtId="0" xfId="0" applyAlignment="1" applyBorder="1" applyFill="1" applyFont="1">
      <alignment horizontal="center" readingOrder="0" vertical="center"/>
    </xf>
    <xf borderId="15" fillId="4" fontId="1" numFmtId="0" xfId="0" applyAlignment="1" applyBorder="1" applyFont="1">
      <alignment horizontal="center"/>
    </xf>
    <xf borderId="16" fillId="4" fontId="1" numFmtId="0" xfId="0" applyAlignment="1" applyBorder="1" applyFont="1">
      <alignment horizontal="center"/>
    </xf>
    <xf borderId="17" fillId="4" fontId="3" numFmtId="0" xfId="0" applyAlignment="1" applyBorder="1" applyFont="1">
      <alignment horizontal="center"/>
    </xf>
    <xf borderId="15" fillId="4" fontId="1" numFmtId="0" xfId="0" applyAlignment="1" applyBorder="1" applyFont="1">
      <alignment horizontal="center" readingOrder="0"/>
    </xf>
    <xf borderId="17" fillId="4" fontId="1" numFmtId="0" xfId="0" applyAlignment="1" applyBorder="1" applyFont="1">
      <alignment horizontal="center"/>
    </xf>
    <xf borderId="15" fillId="4" fontId="1" numFmtId="166" xfId="0" applyAlignment="1" applyBorder="1" applyFont="1" applyNumberFormat="1">
      <alignment horizontal="center" readingOrder="0"/>
    </xf>
    <xf borderId="16" fillId="4" fontId="1" numFmtId="166" xfId="0" applyAlignment="1" applyBorder="1" applyFont="1" applyNumberFormat="1">
      <alignment horizontal="center" readingOrder="0"/>
    </xf>
    <xf borderId="16" fillId="4" fontId="1" numFmtId="166" xfId="0" applyAlignment="1" applyBorder="1" applyFont="1" applyNumberFormat="1">
      <alignment horizontal="center"/>
    </xf>
    <xf borderId="17" fillId="4" fontId="1" numFmtId="167" xfId="0" applyAlignment="1" applyBorder="1" applyFont="1" applyNumberFormat="1">
      <alignment horizontal="center"/>
    </xf>
    <xf borderId="15" fillId="4" fontId="1" numFmtId="10" xfId="0" applyAlignment="1" applyBorder="1" applyFont="1" applyNumberFormat="1">
      <alignment horizontal="center"/>
    </xf>
    <xf borderId="16" fillId="4" fontId="1" numFmtId="9" xfId="0" applyAlignment="1" applyBorder="1" applyFont="1" applyNumberFormat="1">
      <alignment horizontal="center" readingOrder="0"/>
    </xf>
    <xf borderId="17" fillId="4" fontId="1" numFmtId="9" xfId="0" applyAlignment="1" applyBorder="1" applyFont="1" applyNumberFormat="1">
      <alignment horizontal="center"/>
    </xf>
    <xf borderId="15" fillId="4" fontId="1" numFmtId="166" xfId="0" applyAlignment="1" applyBorder="1" applyFont="1" applyNumberFormat="1">
      <alignment horizontal="center"/>
    </xf>
    <xf borderId="17" fillId="4" fontId="1" numFmtId="166" xfId="0" applyAlignment="1" applyBorder="1" applyFont="1" applyNumberFormat="1">
      <alignment horizontal="center"/>
    </xf>
    <xf borderId="18" fillId="4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0" fillId="4" fontId="4" numFmtId="0" xfId="0" applyAlignment="1" applyBorder="1" applyFont="1">
      <alignment horizontal="center"/>
    </xf>
    <xf borderId="18" fillId="4" fontId="1" numFmtId="0" xfId="0" applyAlignment="1" applyBorder="1" applyFont="1">
      <alignment horizontal="center" readingOrder="0"/>
    </xf>
    <xf borderId="19" fillId="4" fontId="1" numFmtId="1" xfId="0" applyAlignment="1" applyBorder="1" applyFont="1" applyNumberFormat="1">
      <alignment horizontal="center"/>
    </xf>
    <xf borderId="20" fillId="4" fontId="4" numFmtId="1" xfId="0" applyAlignment="1" applyBorder="1" applyFont="1" applyNumberFormat="1">
      <alignment horizontal="center"/>
    </xf>
    <xf borderId="16" fillId="4" fontId="5" numFmtId="166" xfId="0" applyAlignment="1" applyBorder="1" applyFont="1" applyNumberFormat="1">
      <alignment horizontal="center"/>
    </xf>
    <xf borderId="18" fillId="4" fontId="1" numFmtId="10" xfId="0" applyAlignment="1" applyBorder="1" applyFont="1" applyNumberFormat="1">
      <alignment horizontal="center"/>
    </xf>
    <xf borderId="19" fillId="4" fontId="1" numFmtId="9" xfId="0" applyAlignment="1" applyBorder="1" applyFont="1" applyNumberFormat="1">
      <alignment horizontal="center" readingOrder="0"/>
    </xf>
    <xf borderId="20" fillId="4" fontId="1" numFmtId="9" xfId="0" applyAlignment="1" applyBorder="1" applyFont="1" applyNumberFormat="1">
      <alignment horizontal="center"/>
    </xf>
    <xf borderId="18" fillId="4" fontId="1" numFmtId="166" xfId="0" applyAlignment="1" applyBorder="1" applyFont="1" applyNumberFormat="1">
      <alignment horizontal="center"/>
    </xf>
    <xf borderId="19" fillId="4" fontId="1" numFmtId="166" xfId="0" applyAlignment="1" applyBorder="1" applyFont="1" applyNumberFormat="1">
      <alignment horizontal="center" readingOrder="0"/>
    </xf>
    <xf borderId="20" fillId="4" fontId="1" numFmtId="166" xfId="0" applyAlignment="1" applyBorder="1" applyFont="1" applyNumberFormat="1">
      <alignment horizontal="center"/>
    </xf>
    <xf borderId="0" fillId="0" fontId="6" numFmtId="0" xfId="0" applyFont="1"/>
    <xf borderId="0" fillId="0" fontId="7" numFmtId="0" xfId="0" applyAlignment="1" applyFont="1">
      <alignment horizontal="center" readingOrder="0"/>
    </xf>
    <xf borderId="21" fillId="0" fontId="1" numFmtId="166" xfId="0" applyAlignment="1" applyBorder="1" applyFont="1" applyNumberFormat="1">
      <alignment horizontal="center" readingOrder="0"/>
    </xf>
    <xf borderId="22" fillId="0" fontId="2" numFmtId="0" xfId="0" applyBorder="1" applyFont="1"/>
    <xf borderId="23" fillId="0" fontId="2" numFmtId="0" xfId="0" applyBorder="1" applyFont="1"/>
    <xf borderId="24" fillId="0" fontId="1" numFmtId="166" xfId="0" applyAlignment="1" applyBorder="1" applyFont="1" applyNumberFormat="1">
      <alignment horizontal="center" readingOrder="0"/>
    </xf>
    <xf borderId="25" fillId="0" fontId="1" numFmtId="166" xfId="0" applyAlignment="1" applyBorder="1" applyFont="1" applyNumberFormat="1">
      <alignment horizontal="center" readingOrder="0"/>
    </xf>
    <xf borderId="26" fillId="0" fontId="1" numFmtId="166" xfId="0" applyAlignment="1" applyBorder="1" applyFont="1" applyNumberFormat="1">
      <alignment horizontal="center" readingOrder="0"/>
    </xf>
    <xf borderId="27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 shrinkToFit="0" vertical="center" wrapText="1"/>
    </xf>
    <xf borderId="27" fillId="0" fontId="7" numFmtId="168" xfId="0" applyAlignment="1" applyBorder="1" applyFont="1" applyNumberFormat="1">
      <alignment horizontal="center" readingOrder="0"/>
    </xf>
    <xf borderId="27" fillId="0" fontId="7" numFmtId="0" xfId="0" applyAlignment="1" applyBorder="1" applyFont="1">
      <alignment horizontal="center" readingOrder="0"/>
    </xf>
    <xf borderId="27" fillId="0" fontId="7" numFmtId="166" xfId="0" applyAlignment="1" applyBorder="1" applyFont="1" applyNumberFormat="1">
      <alignment horizontal="center" readingOrder="0"/>
    </xf>
    <xf borderId="27" fillId="0" fontId="7" numFmtId="166" xfId="0" applyAlignment="1" applyBorder="1" applyFont="1" applyNumberFormat="1">
      <alignment horizontal="center"/>
    </xf>
    <xf borderId="27" fillId="0" fontId="7" numFmtId="0" xfId="0" applyAlignment="1" applyBorder="1" applyFont="1">
      <alignment horizontal="center"/>
    </xf>
    <xf borderId="27" fillId="5" fontId="7" numFmtId="168" xfId="0" applyAlignment="1" applyBorder="1" applyFill="1" applyFont="1" applyNumberFormat="1">
      <alignment horizontal="center" readingOrder="0"/>
    </xf>
    <xf borderId="27" fillId="5" fontId="7" numFmtId="0" xfId="0" applyAlignment="1" applyBorder="1" applyFont="1">
      <alignment horizontal="center" readingOrder="0"/>
    </xf>
    <xf borderId="27" fillId="5" fontId="7" numFmtId="166" xfId="0" applyAlignment="1" applyBorder="1" applyFont="1" applyNumberFormat="1">
      <alignment horizontal="center"/>
    </xf>
    <xf borderId="27" fillId="5" fontId="7" numFmtId="0" xfId="0" applyAlignment="1" applyBorder="1" applyFont="1">
      <alignment horizontal="center"/>
    </xf>
    <xf borderId="27" fillId="6" fontId="7" numFmtId="168" xfId="0" applyAlignment="1" applyBorder="1" applyFill="1" applyFont="1" applyNumberFormat="1">
      <alignment horizontal="center" readingOrder="0"/>
    </xf>
    <xf borderId="27" fillId="6" fontId="7" numFmtId="0" xfId="0" applyAlignment="1" applyBorder="1" applyFont="1">
      <alignment horizontal="center" readingOrder="0"/>
    </xf>
    <xf borderId="27" fillId="6" fontId="7" numFmtId="166" xfId="0" applyAlignment="1" applyBorder="1" applyFont="1" applyNumberFormat="1">
      <alignment horizontal="center"/>
    </xf>
    <xf borderId="27" fillId="6" fontId="7" numFmtId="0" xfId="0" applyAlignment="1" applyBorder="1" applyFont="1">
      <alignment horizontal="center"/>
    </xf>
    <xf borderId="27" fillId="0" fontId="7" numFmtId="0" xfId="0" applyBorder="1" applyFont="1"/>
    <xf borderId="27" fillId="0" fontId="7" numFmtId="0" xfId="0" applyAlignment="1" applyBorder="1" applyFont="1">
      <alignment readingOrder="0"/>
    </xf>
    <xf borderId="27" fillId="7" fontId="1" numFmtId="0" xfId="0" applyAlignment="1" applyBorder="1" applyFill="1" applyFont="1">
      <alignment horizontal="center" readingOrder="0" vertical="center"/>
    </xf>
    <xf borderId="27" fillId="7" fontId="1" numFmtId="166" xfId="0" applyAlignment="1" applyBorder="1" applyFont="1" applyNumberFormat="1">
      <alignment horizontal="center" readingOrder="0" vertical="center"/>
    </xf>
    <xf borderId="27" fillId="7" fontId="1" numFmtId="0" xfId="0" applyAlignment="1" applyBorder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9" xfId="0" applyAlignment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/>
    </xf>
    <xf borderId="0" fillId="2" fontId="1" numFmtId="166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2" fontId="1" numFmtId="167" xfId="0" applyAlignment="1" applyFont="1" applyNumberFormat="1">
      <alignment horizontal="center"/>
    </xf>
    <xf borderId="0" fillId="2" fontId="1" numFmtId="9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8" fontId="1" numFmtId="0" xfId="0" applyAlignment="1" applyFill="1" applyFont="1">
      <alignment horizontal="center" readingOrder="0" vertical="center"/>
    </xf>
    <xf borderId="0" fillId="8" fontId="1" numFmtId="166" xfId="0" applyAlignment="1" applyFont="1" applyNumberFormat="1">
      <alignment horizontal="center" readingOrder="0" vertical="center"/>
    </xf>
    <xf borderId="0" fillId="8" fontId="1" numFmtId="165" xfId="0" applyAlignment="1" applyFont="1" applyNumberFormat="1">
      <alignment horizontal="center" readingOrder="0" vertical="center"/>
    </xf>
    <xf borderId="0" fillId="8" fontId="1" numFmtId="9" xfId="0" applyAlignment="1" applyFont="1" applyNumberFormat="1">
      <alignment horizontal="center" readingOrder="0" vertical="center"/>
    </xf>
    <xf borderId="0" fillId="8" fontId="1" numFmtId="164" xfId="0" applyAlignment="1" applyFont="1" applyNumberFormat="1">
      <alignment horizontal="center" readingOrder="0" vertical="center"/>
    </xf>
    <xf borderId="0" fillId="0" fontId="8" numFmtId="169" xfId="0" applyAlignment="1" applyFont="1" applyNumberFormat="1">
      <alignment horizontal="center" readingOrder="0" vertical="center"/>
    </xf>
    <xf borderId="0" fillId="9" fontId="8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9" fontId="8" numFmtId="165" xfId="0" applyAlignment="1" applyFont="1" applyNumberFormat="1">
      <alignment horizontal="center" readingOrder="0" vertical="center"/>
    </xf>
    <xf borderId="0" fillId="0" fontId="8" numFmtId="165" xfId="0" applyAlignment="1" applyFont="1" applyNumberFormat="1">
      <alignment horizontal="center" readingOrder="0" vertical="center"/>
    </xf>
    <xf borderId="0" fillId="8" fontId="7" numFmtId="9" xfId="0" applyAlignment="1" applyFont="1" applyNumberFormat="1">
      <alignment horizontal="center" readingOrder="0" vertical="center"/>
    </xf>
    <xf borderId="0" fillId="0" fontId="8" numFmtId="9" xfId="0" applyAlignment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10" fontId="7" numFmtId="166" xfId="0" applyAlignment="1" applyFill="1" applyFont="1" applyNumberFormat="1">
      <alignment horizontal="center" readingOrder="0"/>
    </xf>
    <xf borderId="0" fillId="10" fontId="7" numFmtId="166" xfId="0" applyAlignment="1" applyFont="1" applyNumberFormat="1">
      <alignment horizontal="center"/>
    </xf>
    <xf borderId="0" fillId="0" fontId="7" numFmtId="166" xfId="0" applyFont="1" applyNumberFormat="1"/>
    <xf borderId="0" fillId="10" fontId="7" numFmtId="9" xfId="0" applyAlignment="1" applyFont="1" applyNumberFormat="1">
      <alignment horizontal="center"/>
    </xf>
    <xf borderId="0" fillId="11" fontId="7" numFmtId="0" xfId="0" applyAlignment="1" applyFill="1" applyFont="1">
      <alignment horizontal="center" readingOrder="0"/>
    </xf>
    <xf borderId="0" fillId="10" fontId="9" numFmtId="166" xfId="0" applyAlignment="1" applyFont="1" applyNumberFormat="1">
      <alignment horizontal="center"/>
    </xf>
    <xf borderId="0" fillId="10" fontId="7" numFmtId="165" xfId="0" applyAlignment="1" applyFont="1" applyNumberFormat="1">
      <alignment horizontal="center"/>
    </xf>
    <xf borderId="0" fillId="0" fontId="7" numFmtId="0" xfId="0" applyAlignment="1" applyFont="1">
      <alignment horizontal="center" readingOrder="0" vertic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9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10" fontId="7" numFmtId="0" xfId="0" applyAlignment="1" applyFont="1">
      <alignment horizontal="center" readingOrder="0"/>
    </xf>
    <xf borderId="0" fillId="10" fontId="7" numFmtId="0" xfId="0" applyAlignment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12" fontId="7" numFmtId="0" xfId="0" applyAlignment="1" applyFill="1" applyFont="1">
      <alignment horizontal="center" readingOrder="0"/>
    </xf>
    <xf borderId="0" fillId="0" fontId="7" numFmtId="169" xfId="0" applyAlignment="1" applyFont="1" applyNumberFormat="1">
      <alignment horizontal="center" readingOrder="0" vertical="center"/>
    </xf>
    <xf borderId="0" fillId="9" fontId="8" numFmtId="9" xfId="0" applyAlignment="1" applyFont="1" applyNumberFormat="1">
      <alignment horizontal="center" readingOrder="0" vertical="center"/>
    </xf>
    <xf borderId="0" fillId="9" fontId="7" numFmtId="9" xfId="0" applyAlignment="1" applyFont="1" applyNumberFormat="1">
      <alignment horizontal="center" readingOrder="0" vertical="center"/>
    </xf>
    <xf borderId="0" fillId="13" fontId="10" numFmtId="165" xfId="0" applyAlignment="1" applyFill="1" applyFont="1" applyNumberFormat="1">
      <alignment horizontal="center"/>
    </xf>
    <xf borderId="0" fillId="0" fontId="11" numFmtId="165" xfId="0" applyAlignment="1" applyFont="1" applyNumberFormat="1">
      <alignment horizontal="center" readingOrder="0" vertical="center"/>
    </xf>
    <xf borderId="0" fillId="14" fontId="10" numFmtId="165" xfId="0" applyAlignment="1" applyFill="1" applyFont="1" applyNumberFormat="1">
      <alignment horizontal="center"/>
    </xf>
    <xf borderId="0" fillId="0" fontId="7" numFmtId="0" xfId="0" applyAlignment="1" applyFon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0" fillId="0" fontId="7" numFmtId="9" xfId="0" applyFont="1" applyNumberFormat="1"/>
    <xf borderId="0" fillId="0" fontId="7" numFmtId="164" xfId="0" applyFont="1" applyNumberFormat="1"/>
    <xf borderId="0" fillId="2" fontId="1" numFmtId="1" xfId="0" applyAlignment="1" applyFont="1" applyNumberFormat="1">
      <alignment horizontal="center"/>
    </xf>
    <xf borderId="0" fillId="8" fontId="1" numFmtId="1" xfId="0" applyAlignment="1" applyFont="1" applyNumberFormat="1">
      <alignment horizontal="center" readingOrder="0" vertical="center"/>
    </xf>
    <xf borderId="0" fillId="5" fontId="8" numFmtId="169" xfId="0" applyAlignment="1" applyFont="1" applyNumberForma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0" fillId="5" fontId="8" numFmtId="165" xfId="0" applyAlignment="1" applyFont="1" applyNumberFormat="1">
      <alignment horizontal="center" readingOrder="0" vertical="center"/>
    </xf>
    <xf borderId="0" fillId="5" fontId="7" numFmtId="9" xfId="0" applyAlignment="1" applyFont="1" applyNumberFormat="1">
      <alignment horizontal="center" readingOrder="0" vertical="center"/>
    </xf>
    <xf borderId="0" fillId="5" fontId="8" numFmtId="9" xfId="0" applyAlignment="1" applyFont="1" applyNumberForma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0" fillId="5" fontId="8" numFmtId="164" xfId="0" applyAlignment="1" applyFont="1" applyNumberFormat="1">
      <alignment horizontal="center" readingOrder="0" vertical="center"/>
    </xf>
    <xf borderId="0" fillId="6" fontId="8" numFmtId="169" xfId="0" applyAlignment="1" applyFont="1" applyNumberFormat="1">
      <alignment horizontal="center" readingOrder="0" vertical="center"/>
    </xf>
    <xf borderId="0" fillId="6" fontId="8" numFmtId="0" xfId="0" applyAlignment="1" applyFont="1">
      <alignment horizontal="center" readingOrder="0" vertical="center"/>
    </xf>
    <xf borderId="0" fillId="6" fontId="8" numFmtId="165" xfId="0" applyAlignment="1" applyFont="1" applyNumberFormat="1">
      <alignment horizontal="center" readingOrder="0" vertical="center"/>
    </xf>
    <xf borderId="0" fillId="6" fontId="7" numFmtId="9" xfId="0" applyAlignment="1" applyFont="1" applyNumberFormat="1">
      <alignment horizontal="center" readingOrder="0" vertical="center"/>
    </xf>
    <xf borderId="0" fillId="6" fontId="8" numFmtId="9" xfId="0" applyAlignment="1" applyFont="1" applyNumberFormat="1">
      <alignment horizontal="center" readingOrder="0" vertical="center"/>
    </xf>
    <xf borderId="0" fillId="6" fontId="8" numFmtId="0" xfId="0" applyAlignment="1" applyFont="1">
      <alignment horizontal="center" readingOrder="0" vertical="center"/>
    </xf>
    <xf borderId="0" fillId="6" fontId="8" numFmtId="164" xfId="0" applyAlignment="1" applyFont="1" applyNumberFormat="1">
      <alignment horizontal="center" readingOrder="0" vertical="center"/>
    </xf>
    <xf borderId="0" fillId="13" fontId="10" numFmtId="0" xfId="0" applyAlignment="1" applyFont="1">
      <alignment horizontal="center"/>
    </xf>
    <xf borderId="0" fillId="14" fontId="10" numFmtId="0" xfId="0" applyAlignment="1" applyFont="1">
      <alignment horizontal="center"/>
    </xf>
    <xf borderId="0" fillId="13" fontId="12" numFmtId="0" xfId="0" applyFont="1"/>
    <xf borderId="0" fillId="14" fontId="12" numFmtId="0" xfId="0" applyFont="1"/>
    <xf borderId="0" fillId="13" fontId="10" numFmtId="0" xfId="0" applyAlignment="1" applyFont="1">
      <alignment horizontal="center" vertical="bottom"/>
    </xf>
    <xf borderId="0" fillId="14" fontId="10" numFmtId="0" xfId="0" applyAlignment="1" applyFont="1">
      <alignment horizontal="center" vertical="bottom"/>
    </xf>
    <xf borderId="0" fillId="5" fontId="10" numFmtId="0" xfId="0" applyAlignment="1" applyFont="1">
      <alignment horizontal="center"/>
    </xf>
    <xf borderId="0" fillId="6" fontId="10" numFmtId="0" xfId="0" applyAlignment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2" fontId="13" numFmtId="9" xfId="0" applyAlignment="1" applyFont="1" applyNumberFormat="1">
      <alignment horizontal="center" readingOrder="0" vertical="center"/>
    </xf>
    <xf borderId="0" fillId="2" fontId="13" numFmtId="164" xfId="0" applyAlignment="1" applyFont="1" applyNumberFormat="1">
      <alignment horizontal="center" readingOrder="0" vertical="center"/>
    </xf>
    <xf borderId="0" fillId="2" fontId="13" numFmtId="0" xfId="0" applyAlignment="1" applyFont="1">
      <alignment horizontal="right" readingOrder="0" vertical="center"/>
    </xf>
    <xf borderId="0" fillId="2" fontId="13" numFmtId="0" xfId="0" applyAlignment="1" applyFont="1">
      <alignment horizontal="center"/>
    </xf>
    <xf borderId="0" fillId="2" fontId="13" numFmtId="164" xfId="0" applyAlignment="1" applyFont="1" applyNumberFormat="1">
      <alignment horizontal="center" readingOrder="0"/>
    </xf>
    <xf borderId="0" fillId="2" fontId="14" numFmtId="0" xfId="0" applyAlignment="1" applyFont="1">
      <alignment horizontal="center"/>
    </xf>
    <xf borderId="0" fillId="2" fontId="14" numFmtId="165" xfId="0" applyAlignment="1" applyFont="1" applyNumberFormat="1">
      <alignment horizontal="center"/>
    </xf>
    <xf borderId="0" fillId="2" fontId="14" numFmtId="166" xfId="0" applyAlignment="1" applyFont="1" applyNumberFormat="1">
      <alignment horizontal="center"/>
    </xf>
    <xf borderId="0" fillId="2" fontId="13" numFmtId="165" xfId="0" applyAlignment="1" applyFont="1" applyNumberFormat="1">
      <alignment horizontal="center"/>
    </xf>
    <xf borderId="0" fillId="2" fontId="14" numFmtId="167" xfId="0" applyAlignment="1" applyFont="1" applyNumberFormat="1">
      <alignment horizontal="center"/>
    </xf>
    <xf borderId="0" fillId="2" fontId="14" numFmtId="9" xfId="0" applyAlignment="1" applyFont="1" applyNumberFormat="1">
      <alignment horizontal="center" readingOrder="0"/>
    </xf>
    <xf borderId="0" fillId="2" fontId="3" numFmtId="167" xfId="0" applyAlignment="1" applyFont="1" applyNumberFormat="1">
      <alignment horizontal="center"/>
    </xf>
    <xf borderId="0" fillId="2" fontId="14" numFmtId="164" xfId="0" applyAlignment="1" applyFont="1" applyNumberFormat="1">
      <alignment horizontal="center" readingOrder="0"/>
    </xf>
    <xf borderId="0" fillId="3" fontId="14" numFmtId="167" xfId="0" applyAlignment="1" applyFont="1" applyNumberFormat="1">
      <alignment horizontal="center"/>
    </xf>
    <xf borderId="0" fillId="14" fontId="10" numFmtId="169" xfId="0" applyAlignment="1" applyFont="1" applyNumberFormat="1">
      <alignment horizontal="center"/>
    </xf>
    <xf borderId="0" fillId="9" fontId="10" numFmtId="0" xfId="0" applyAlignment="1" applyFont="1">
      <alignment horizontal="center" readingOrder="0"/>
    </xf>
    <xf borderId="0" fillId="14" fontId="10" numFmtId="0" xfId="0" applyAlignment="1" applyFont="1">
      <alignment horizontal="center" readingOrder="0"/>
    </xf>
    <xf borderId="0" fillId="14" fontId="15" numFmtId="0" xfId="0" applyAlignment="1" applyFont="1">
      <alignment horizontal="center"/>
    </xf>
    <xf borderId="0" fillId="9" fontId="10" numFmtId="165" xfId="0" applyAlignment="1" applyFont="1" applyNumberFormat="1">
      <alignment horizontal="center" readingOrder="0"/>
    </xf>
    <xf borderId="0" fillId="14" fontId="10" numFmtId="165" xfId="0" applyAlignment="1" applyFont="1" applyNumberFormat="1">
      <alignment horizontal="center" readingOrder="0"/>
    </xf>
    <xf borderId="0" fillId="9" fontId="12" numFmtId="9" xfId="0" applyAlignment="1" applyFont="1" applyNumberFormat="1">
      <alignment horizontal="center"/>
    </xf>
    <xf borderId="0" fillId="14" fontId="10" numFmtId="9" xfId="0" applyAlignment="1" applyFont="1" applyNumberFormat="1">
      <alignment horizontal="center" readingOrder="0"/>
    </xf>
    <xf borderId="0" fillId="14" fontId="10" numFmtId="9" xfId="0" applyAlignment="1" applyFont="1" applyNumberFormat="1">
      <alignment horizontal="center"/>
    </xf>
    <xf borderId="0" fillId="9" fontId="12" numFmtId="165" xfId="0" applyFont="1" applyNumberFormat="1"/>
    <xf borderId="0" fillId="14" fontId="10" numFmtId="164" xfId="0" applyAlignment="1" applyFont="1" applyNumberFormat="1">
      <alignment horizontal="center"/>
    </xf>
    <xf borderId="0" fillId="14" fontId="15" numFmtId="165" xfId="0" applyAlignment="1" applyFont="1" applyNumberFormat="1">
      <alignment horizontal="center"/>
    </xf>
    <xf borderId="0" fillId="13" fontId="10" numFmtId="169" xfId="0" applyAlignment="1" applyFont="1" applyNumberFormat="1">
      <alignment horizontal="center"/>
    </xf>
    <xf borderId="0" fillId="13" fontId="15" numFmtId="0" xfId="0" applyAlignment="1" applyFont="1">
      <alignment horizontal="center"/>
    </xf>
    <xf borderId="0" fillId="13" fontId="10" numFmtId="9" xfId="0" applyAlignment="1" applyFont="1" applyNumberFormat="1">
      <alignment horizontal="center"/>
    </xf>
    <xf borderId="0" fillId="13" fontId="10" numFmtId="164" xfId="0" applyAlignment="1" applyFont="1" applyNumberFormat="1">
      <alignment horizontal="center"/>
    </xf>
    <xf borderId="0" fillId="13" fontId="15" numFmtId="165" xfId="0" applyAlignment="1" applyFont="1" applyNumberFormat="1">
      <alignment horizontal="center"/>
    </xf>
    <xf borderId="0" fillId="9" fontId="12" numFmtId="0" xfId="0" applyFont="1"/>
    <xf borderId="0" fillId="14" fontId="12" numFmtId="165" xfId="0" applyFont="1" applyNumberFormat="1"/>
    <xf borderId="0" fillId="9" fontId="12" numFmtId="9" xfId="0" applyFont="1" applyNumberFormat="1"/>
    <xf borderId="0" fillId="14" fontId="12" numFmtId="9" xfId="0" applyFont="1" applyNumberFormat="1"/>
    <xf borderId="0" fillId="14" fontId="12" numFmtId="0" xfId="0" applyFont="1"/>
    <xf borderId="0" fillId="14" fontId="12" numFmtId="164" xfId="0" applyFont="1" applyNumberFormat="1"/>
    <xf borderId="0" fillId="9" fontId="10" numFmtId="0" xfId="0" applyAlignment="1" applyFont="1">
      <alignment horizontal="center"/>
    </xf>
    <xf borderId="0" fillId="4" fontId="10" numFmtId="165" xfId="0" applyAlignment="1" applyFont="1" applyNumberFormat="1">
      <alignment horizontal="center"/>
    </xf>
    <xf borderId="0" fillId="14" fontId="10" numFmtId="0" xfId="0" applyAlignment="1" applyFont="1">
      <alignment horizontal="center"/>
    </xf>
    <xf borderId="0" fillId="13" fontId="12" numFmtId="165" xfId="0" applyFont="1" applyNumberFormat="1"/>
    <xf borderId="0" fillId="13" fontId="12" numFmtId="9" xfId="0" applyFont="1" applyNumberFormat="1"/>
    <xf borderId="0" fillId="13" fontId="12" numFmtId="0" xfId="0" applyFont="1"/>
    <xf borderId="0" fillId="13" fontId="12" numFmtId="164" xfId="0" applyFont="1" applyNumberFormat="1"/>
    <xf borderId="0" fillId="13" fontId="10" numFmtId="0" xfId="0" applyAlignment="1" applyFont="1">
      <alignment horizontal="center" readingOrder="0"/>
    </xf>
    <xf borderId="0" fillId="13" fontId="10" numFmtId="165" xfId="0" applyAlignment="1" applyFont="1" applyNumberFormat="1">
      <alignment horizontal="center" readingOrder="0"/>
    </xf>
    <xf borderId="0" fillId="9" fontId="10" numFmtId="165" xfId="0" applyAlignment="1" applyFont="1" applyNumberFormat="1">
      <alignment horizontal="center"/>
    </xf>
    <xf borderId="0" fillId="5" fontId="10" numFmtId="169" xfId="0" applyAlignment="1" applyFont="1" applyNumberFormat="1">
      <alignment horizontal="center"/>
    </xf>
    <xf borderId="0" fillId="5" fontId="10" numFmtId="0" xfId="0" applyAlignment="1" applyFont="1">
      <alignment horizontal="center"/>
    </xf>
    <xf borderId="0" fillId="5" fontId="10" numFmtId="0" xfId="0" applyAlignment="1" applyFont="1">
      <alignment horizontal="center" readingOrder="0"/>
    </xf>
    <xf borderId="0" fillId="5" fontId="15" numFmtId="0" xfId="0" applyAlignment="1" applyFont="1">
      <alignment horizontal="center"/>
    </xf>
    <xf borderId="0" fillId="5" fontId="10" numFmtId="165" xfId="0" applyAlignment="1" applyFont="1" applyNumberFormat="1">
      <alignment horizontal="center"/>
    </xf>
    <xf borderId="0" fillId="5" fontId="12" numFmtId="9" xfId="0" applyAlignment="1" applyFont="1" applyNumberFormat="1">
      <alignment horizontal="center"/>
    </xf>
    <xf borderId="0" fillId="5" fontId="10" numFmtId="9" xfId="0" applyAlignment="1" applyFont="1" applyNumberFormat="1">
      <alignment horizontal="center" readingOrder="0"/>
    </xf>
    <xf borderId="0" fillId="5" fontId="10" numFmtId="0" xfId="0" applyAlignment="1" applyFont="1">
      <alignment horizontal="center"/>
    </xf>
    <xf borderId="0" fillId="5" fontId="12" numFmtId="165" xfId="0" applyFont="1" applyNumberFormat="1"/>
    <xf borderId="0" fillId="5" fontId="10" numFmtId="164" xfId="0" applyAlignment="1" applyFont="1" applyNumberFormat="1">
      <alignment horizontal="center"/>
    </xf>
    <xf borderId="0" fillId="5" fontId="15" numFmtId="165" xfId="0" applyAlignment="1" applyFont="1" applyNumberFormat="1">
      <alignment horizontal="center"/>
    </xf>
    <xf borderId="0" fillId="5" fontId="7" numFmtId="0" xfId="0" applyFont="1"/>
    <xf borderId="0" fillId="5" fontId="7" numFmtId="0" xfId="0" applyAlignment="1" applyFont="1">
      <alignment horizontal="center"/>
    </xf>
    <xf borderId="0" fillId="6" fontId="10" numFmtId="169" xfId="0" applyAlignment="1" applyFont="1" applyNumberFormat="1">
      <alignment horizontal="center" vertical="bottom"/>
    </xf>
    <xf borderId="0" fillId="6" fontId="10" numFmtId="0" xfId="0" applyAlignment="1" applyFont="1">
      <alignment horizontal="center" vertical="bottom"/>
    </xf>
    <xf borderId="0" fillId="6" fontId="10" numFmtId="0" xfId="0" applyAlignment="1" applyFont="1">
      <alignment horizontal="center" readingOrder="0" vertical="bottom"/>
    </xf>
    <xf borderId="0" fillId="6" fontId="16" numFmtId="0" xfId="0" applyAlignment="1" applyFont="1">
      <alignment horizontal="center" vertical="bottom"/>
    </xf>
    <xf borderId="0" fillId="6" fontId="10" numFmtId="165" xfId="0" applyAlignment="1" applyFont="1" applyNumberFormat="1">
      <alignment horizontal="center" vertical="bottom"/>
    </xf>
    <xf borderId="0" fillId="6" fontId="12" numFmtId="9" xfId="0" applyAlignment="1" applyFont="1" applyNumberFormat="1">
      <alignment horizontal="center" vertical="bottom"/>
    </xf>
    <xf borderId="0" fillId="6" fontId="10" numFmtId="9" xfId="0" applyAlignment="1" applyFont="1" applyNumberFormat="1">
      <alignment horizontal="center" vertical="bottom"/>
    </xf>
    <xf borderId="0" fillId="6" fontId="10" numFmtId="0" xfId="0" applyAlignment="1" applyFont="1">
      <alignment horizontal="center" vertical="bottom"/>
    </xf>
    <xf borderId="0" fillId="6" fontId="12" numFmtId="165" xfId="0" applyAlignment="1" applyFont="1" applyNumberFormat="1">
      <alignment vertical="bottom"/>
    </xf>
    <xf borderId="0" fillId="6" fontId="10" numFmtId="164" xfId="0" applyAlignment="1" applyFont="1" applyNumberFormat="1">
      <alignment horizontal="center" vertical="bottom"/>
    </xf>
    <xf borderId="0" fillId="6" fontId="16" numFmtId="165" xfId="0" applyAlignment="1" applyFont="1" applyNumberFormat="1">
      <alignment horizontal="center" vertical="bottom"/>
    </xf>
    <xf borderId="0" fillId="6" fontId="12" numFmtId="0" xfId="0" applyAlignment="1" applyFont="1">
      <alignment vertical="bottom"/>
    </xf>
    <xf borderId="0" fillId="13" fontId="10" numFmtId="169" xfId="0" applyAlignment="1" applyFont="1" applyNumberFormat="1">
      <alignment horizontal="center" vertical="bottom"/>
    </xf>
    <xf borderId="0" fillId="9" fontId="10" numFmtId="0" xfId="0" applyAlignment="1" applyFont="1">
      <alignment horizontal="center" vertical="bottom"/>
    </xf>
    <xf borderId="0" fillId="13" fontId="10" numFmtId="0" xfId="0" applyAlignment="1" applyFont="1">
      <alignment horizontal="center" readingOrder="0" vertical="bottom"/>
    </xf>
    <xf borderId="0" fillId="13" fontId="16" numFmtId="0" xfId="0" applyAlignment="1" applyFont="1">
      <alignment horizontal="center" vertical="bottom"/>
    </xf>
    <xf borderId="0" fillId="9" fontId="10" numFmtId="165" xfId="0" applyAlignment="1" applyFont="1" applyNumberFormat="1">
      <alignment horizontal="center" vertical="bottom"/>
    </xf>
    <xf borderId="0" fillId="13" fontId="10" numFmtId="165" xfId="0" applyAlignment="1" applyFont="1" applyNumberFormat="1">
      <alignment horizontal="center" readingOrder="0" vertical="bottom"/>
    </xf>
    <xf borderId="0" fillId="13" fontId="10" numFmtId="165" xfId="0" applyAlignment="1" applyFont="1" applyNumberFormat="1">
      <alignment horizontal="center" vertical="bottom"/>
    </xf>
    <xf borderId="0" fillId="9" fontId="12" numFmtId="9" xfId="0" applyAlignment="1" applyFont="1" applyNumberFormat="1">
      <alignment horizontal="center" vertical="bottom"/>
    </xf>
    <xf borderId="0" fillId="13" fontId="10" numFmtId="9" xfId="0" applyAlignment="1" applyFont="1" applyNumberFormat="1">
      <alignment horizontal="center" readingOrder="0" vertical="bottom"/>
    </xf>
    <xf borderId="0" fillId="13" fontId="10" numFmtId="0" xfId="0" applyAlignment="1" applyFont="1">
      <alignment horizontal="center" vertical="bottom"/>
    </xf>
    <xf borderId="0" fillId="9" fontId="12" numFmtId="165" xfId="0" applyAlignment="1" applyFont="1" applyNumberFormat="1">
      <alignment vertical="bottom"/>
    </xf>
    <xf borderId="0" fillId="13" fontId="10" numFmtId="164" xfId="0" applyAlignment="1" applyFont="1" applyNumberFormat="1">
      <alignment horizontal="center" vertical="bottom"/>
    </xf>
    <xf borderId="0" fillId="13" fontId="16" numFmtId="165" xfId="0" applyAlignment="1" applyFont="1" applyNumberFormat="1">
      <alignment horizontal="center" vertical="bottom"/>
    </xf>
    <xf borderId="0" fillId="0" fontId="12" numFmtId="0" xfId="0" applyAlignment="1" applyFont="1">
      <alignment vertical="bottom"/>
    </xf>
    <xf borderId="0" fillId="6" fontId="10" numFmtId="169" xfId="0" applyAlignment="1" applyFont="1" applyNumberFormat="1">
      <alignment horizontal="center"/>
    </xf>
    <xf borderId="0" fillId="6" fontId="10" numFmtId="0" xfId="0" applyAlignment="1" applyFont="1">
      <alignment horizontal="center"/>
    </xf>
    <xf borderId="0" fillId="6" fontId="10" numFmtId="0" xfId="0" applyAlignment="1" applyFont="1">
      <alignment horizontal="center" readingOrder="0"/>
    </xf>
    <xf borderId="0" fillId="6" fontId="15" numFmtId="0" xfId="0" applyAlignment="1" applyFont="1">
      <alignment horizontal="center"/>
    </xf>
    <xf borderId="0" fillId="6" fontId="10" numFmtId="165" xfId="0" applyAlignment="1" applyFont="1" applyNumberFormat="1">
      <alignment horizontal="center"/>
    </xf>
    <xf borderId="0" fillId="6" fontId="12" numFmtId="9" xfId="0" applyAlignment="1" applyFont="1" applyNumberFormat="1">
      <alignment horizontal="center"/>
    </xf>
    <xf borderId="0" fillId="6" fontId="10" numFmtId="9" xfId="0" applyAlignment="1" applyFont="1" applyNumberFormat="1">
      <alignment horizontal="center"/>
    </xf>
    <xf borderId="0" fillId="6" fontId="10" numFmtId="0" xfId="0" applyAlignment="1" applyFont="1">
      <alignment horizontal="center"/>
    </xf>
    <xf borderId="0" fillId="6" fontId="12" numFmtId="165" xfId="0" applyFont="1" applyNumberFormat="1"/>
    <xf borderId="0" fillId="6" fontId="10" numFmtId="164" xfId="0" applyAlignment="1" applyFont="1" applyNumberFormat="1">
      <alignment horizontal="center"/>
    </xf>
    <xf borderId="0" fillId="6" fontId="15" numFmtId="165" xfId="0" applyAlignment="1" applyFont="1" applyNumberFormat="1">
      <alignment horizontal="center"/>
    </xf>
    <xf borderId="0" fillId="6" fontId="7" numFmtId="0" xfId="0" applyFont="1"/>
    <xf borderId="0" fillId="6" fontId="7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14" fontId="12" numFmtId="0" xfId="0" applyAlignment="1" applyFont="1">
      <alignment vertical="bottom"/>
    </xf>
    <xf borderId="0" fillId="13" fontId="12" numFmtId="0" xfId="0" applyAlignment="1" applyFont="1">
      <alignment vertical="bottom"/>
    </xf>
    <xf borderId="0" fillId="13" fontId="10" numFmtId="9" xfId="0" applyAlignment="1" applyFont="1" applyNumberFormat="1">
      <alignment horizontal="center" readingOrder="0"/>
    </xf>
    <xf borderId="0" fillId="5" fontId="10" numFmtId="0" xfId="0" applyAlignment="1" applyFont="1">
      <alignment horizontal="center" vertical="bottom"/>
    </xf>
    <xf borderId="0" fillId="5" fontId="10" numFmtId="9" xfId="0" applyAlignment="1" applyFont="1" applyNumberFormat="1">
      <alignment horizontal="center"/>
    </xf>
    <xf borderId="0" fillId="6" fontId="10" numFmtId="9" xfId="0" applyAlignment="1" applyFont="1" applyNumberFormat="1">
      <alignment horizontal="center" readingOrder="0"/>
    </xf>
    <xf borderId="0" fillId="13" fontId="10" numFmtId="0" xfId="0" applyAlignment="1" applyFont="1">
      <alignment horizontal="center"/>
    </xf>
    <xf borderId="28" fillId="0" fontId="17" numFmtId="0" xfId="0" applyAlignment="1" applyBorder="1" applyFont="1">
      <alignment horizontal="center" readingOrder="0" shrinkToFit="0" vertical="bottom" wrapText="0"/>
    </xf>
    <xf borderId="29" fillId="13" fontId="17" numFmtId="0" xfId="0" applyAlignment="1" applyBorder="1" applyFont="1">
      <alignment horizontal="center" readingOrder="0" shrinkToFit="0" vertical="bottom" wrapText="0"/>
    </xf>
    <xf borderId="29" fillId="0" fontId="2" numFmtId="0" xfId="0" applyBorder="1" applyFont="1"/>
    <xf borderId="30" fillId="0" fontId="17" numFmtId="0" xfId="0" applyAlignment="1" applyBorder="1" applyFont="1">
      <alignment horizontal="center" readingOrder="0" shrinkToFit="0" vertical="bottom" wrapText="0"/>
    </xf>
    <xf borderId="0" fillId="13" fontId="18" numFmtId="0" xfId="0" applyAlignment="1" applyFont="1">
      <alignment horizontal="center" readingOrder="0" shrinkToFit="0" vertical="bottom" wrapText="0"/>
    </xf>
    <xf borderId="0" fillId="9" fontId="18" numFmtId="0" xfId="0" applyAlignment="1" applyFont="1">
      <alignment horizontal="center" readingOrder="0" shrinkToFit="0" vertical="bottom" wrapText="0"/>
    </xf>
    <xf borderId="31" fillId="13" fontId="18" numFmtId="0" xfId="0" applyAlignment="1" applyBorder="1" applyFont="1">
      <alignment horizontal="center" readingOrder="0" shrinkToFit="0" vertical="bottom" wrapText="0"/>
    </xf>
    <xf borderId="0" fillId="9" fontId="18" numFmtId="0" xfId="0" applyAlignment="1" applyFont="1">
      <alignment horizontal="center" readingOrder="0" shrinkToFit="0" wrapText="0"/>
    </xf>
    <xf borderId="30" fillId="15" fontId="19" numFmtId="0" xfId="0" applyAlignment="1" applyBorder="1" applyFill="1" applyFont="1">
      <alignment horizontal="center" shrinkToFit="0" vertical="bottom" wrapText="0"/>
    </xf>
    <xf borderId="0" fillId="15" fontId="19" numFmtId="0" xfId="0" applyAlignment="1" applyFont="1">
      <alignment horizontal="center" shrinkToFit="0" vertical="bottom" wrapText="0"/>
    </xf>
    <xf borderId="0" fillId="15" fontId="17" numFmtId="0" xfId="0" applyAlignment="1" applyFont="1">
      <alignment horizontal="center" readingOrder="0" shrinkToFit="0" vertical="bottom" wrapText="0"/>
    </xf>
    <xf borderId="31" fillId="15" fontId="20" numFmtId="0" xfId="0" applyAlignment="1" applyBorder="1" applyFont="1">
      <alignment horizontal="center" shrinkToFit="0" vertical="bottom" wrapText="0"/>
    </xf>
    <xf borderId="0" fillId="15" fontId="19" numFmtId="0" xfId="0" applyAlignment="1" applyFont="1">
      <alignment shrinkToFit="0" wrapText="0"/>
    </xf>
    <xf borderId="9" fillId="0" fontId="17" numFmtId="169" xfId="0" applyAlignment="1" applyBorder="1" applyFont="1" applyNumberFormat="1">
      <alignment horizontal="center" readingOrder="0" shrinkToFit="0" vertical="bottom" wrapText="0"/>
    </xf>
    <xf borderId="32" fillId="0" fontId="17" numFmtId="166" xfId="0" applyAlignment="1" applyBorder="1" applyFont="1" applyNumberFormat="1">
      <alignment horizontal="right" readingOrder="0" shrinkToFit="0" vertical="bottom" wrapText="0"/>
    </xf>
    <xf borderId="33" fillId="9" fontId="17" numFmtId="166" xfId="0" applyAlignment="1" applyBorder="1" applyFont="1" applyNumberFormat="1">
      <alignment horizontal="center" readingOrder="0" shrinkToFit="0" vertical="bottom" wrapText="0"/>
    </xf>
    <xf borderId="33" fillId="0" fontId="21" numFmtId="166" xfId="0" applyAlignment="1" applyBorder="1" applyFont="1" applyNumberFormat="1">
      <alignment horizontal="center" readingOrder="0" shrinkToFit="0" vertical="bottom" wrapText="0"/>
    </xf>
    <xf borderId="32" fillId="0" fontId="17" numFmtId="166" xfId="0" applyAlignment="1" applyBorder="1" applyFont="1" applyNumberFormat="1">
      <alignment horizontal="center" readingOrder="0" shrinkToFit="0" vertical="bottom" wrapText="0"/>
    </xf>
    <xf borderId="33" fillId="9" fontId="17" numFmtId="166" xfId="0" applyAlignment="1" applyBorder="1" applyFont="1" applyNumberFormat="1">
      <alignment horizontal="right" readingOrder="0" shrinkToFit="0" wrapText="0"/>
    </xf>
    <xf borderId="34" fillId="0" fontId="21" numFmtId="166" xfId="0" applyAlignment="1" applyBorder="1" applyFont="1" applyNumberFormat="1">
      <alignment horizontal="center" readingOrder="0" shrinkToFit="0" vertical="bottom" wrapText="0"/>
    </xf>
    <xf borderId="9" fillId="0" fontId="22" numFmtId="0" xfId="0" applyAlignment="1" applyBorder="1" applyFont="1">
      <alignment horizontal="center" readingOrder="0" shrinkToFit="0" vertical="bottom" wrapText="0"/>
    </xf>
    <xf borderId="35" fillId="0" fontId="23" numFmtId="166" xfId="0" applyAlignment="1" applyBorder="1" applyFont="1" applyNumberFormat="1">
      <alignment horizontal="right" readingOrder="0" vertical="bottom"/>
    </xf>
    <xf borderId="9" fillId="9" fontId="17" numFmtId="166" xfId="0" applyAlignment="1" applyBorder="1" applyFont="1" applyNumberFormat="1">
      <alignment horizontal="center" readingOrder="0" shrinkToFit="0" vertical="bottom" wrapText="0"/>
    </xf>
    <xf borderId="9" fillId="0" fontId="21" numFmtId="166" xfId="0" applyAlignment="1" applyBorder="1" applyFont="1" applyNumberFormat="1">
      <alignment horizontal="center" readingOrder="0" shrinkToFit="0" vertical="bottom" wrapText="0"/>
    </xf>
    <xf borderId="35" fillId="0" fontId="17" numFmtId="166" xfId="0" applyAlignment="1" applyBorder="1" applyFont="1" applyNumberFormat="1">
      <alignment horizontal="center" readingOrder="0" shrinkToFit="0" vertical="bottom" wrapText="0"/>
    </xf>
    <xf borderId="36" fillId="0" fontId="21" numFmtId="166" xfId="0" applyAlignment="1" applyBorder="1" applyFont="1" applyNumberFormat="1">
      <alignment horizontal="center" readingOrder="0" shrinkToFit="0" vertical="bottom" wrapText="0"/>
    </xf>
    <xf borderId="9" fillId="0" fontId="19" numFmtId="0" xfId="0" applyAlignment="1" applyBorder="1" applyFont="1">
      <alignment horizontal="center" readingOrder="0" shrinkToFit="0" vertical="bottom" wrapText="0"/>
    </xf>
    <xf borderId="37" fillId="0" fontId="19" numFmtId="0" xfId="0" applyAlignment="1" applyBorder="1" applyFont="1">
      <alignment horizontal="center" readingOrder="0" shrinkToFit="0" vertical="bottom" wrapText="0"/>
    </xf>
    <xf borderId="38" fillId="0" fontId="23" numFmtId="166" xfId="0" applyAlignment="1" applyBorder="1" applyFont="1" applyNumberFormat="1">
      <alignment horizontal="right" readingOrder="0" vertical="bottom"/>
    </xf>
    <xf borderId="37" fillId="9" fontId="17" numFmtId="166" xfId="0" applyAlignment="1" applyBorder="1" applyFont="1" applyNumberFormat="1">
      <alignment horizontal="center" readingOrder="0" shrinkToFit="0" vertical="bottom" wrapText="0"/>
    </xf>
    <xf borderId="37" fillId="0" fontId="21" numFmtId="166" xfId="0" applyAlignment="1" applyBorder="1" applyFont="1" applyNumberFormat="1">
      <alignment horizontal="center" readingOrder="0" shrinkToFit="0" vertical="bottom" wrapText="0"/>
    </xf>
    <xf borderId="38" fillId="0" fontId="17" numFmtId="166" xfId="0" applyAlignment="1" applyBorder="1" applyFont="1" applyNumberFormat="1">
      <alignment horizontal="center" readingOrder="0" shrinkToFit="0" vertical="bottom" wrapText="0"/>
    </xf>
    <xf borderId="39" fillId="0" fontId="21" numFmtId="166" xfId="0" applyAlignment="1" applyBorder="1" applyFont="1" applyNumberForma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40" fillId="0" fontId="23" numFmtId="166" xfId="0" applyAlignment="1" applyBorder="1" applyFont="1" applyNumberFormat="1">
      <alignment horizontal="right" readingOrder="0" vertical="bottom"/>
    </xf>
    <xf borderId="41" fillId="9" fontId="17" numFmtId="166" xfId="0" applyAlignment="1" applyBorder="1" applyFont="1" applyNumberFormat="1">
      <alignment horizontal="center" readingOrder="0" shrinkToFit="0" vertical="bottom" wrapText="0"/>
    </xf>
    <xf borderId="41" fillId="0" fontId="21" numFmtId="166" xfId="0" applyAlignment="1" applyBorder="1" applyFont="1" applyNumberFormat="1">
      <alignment horizontal="center" readingOrder="0" shrinkToFit="0" vertical="bottom" wrapText="0"/>
    </xf>
    <xf borderId="40" fillId="0" fontId="17" numFmtId="166" xfId="0" applyAlignment="1" applyBorder="1" applyFont="1" applyNumberFormat="1">
      <alignment horizontal="center" readingOrder="0" shrinkToFit="0" vertical="bottom" wrapText="0"/>
    </xf>
    <xf borderId="42" fillId="0" fontId="21" numFmtId="166" xfId="0" applyAlignment="1" applyBorder="1" applyFont="1" applyNumberFormat="1">
      <alignment horizontal="center" readingOrder="0" shrinkToFit="0" vertical="bottom" wrapText="0"/>
    </xf>
    <xf borderId="0" fillId="15" fontId="20" numFmtId="0" xfId="0" applyAlignment="1" applyFont="1">
      <alignment horizontal="center" shrinkToFit="0" vertical="bottom" wrapText="0"/>
    </xf>
    <xf borderId="40" fillId="15" fontId="19" numFmtId="0" xfId="0" applyAlignment="1" applyBorder="1" applyFont="1">
      <alignment horizontal="center" shrinkToFit="0" vertical="bottom" wrapText="0"/>
    </xf>
    <xf borderId="41" fillId="15" fontId="19" numFmtId="0" xfId="0" applyAlignment="1" applyBorder="1" applyFont="1">
      <alignment horizontal="center" shrinkToFit="0" vertical="bottom" wrapText="0"/>
    </xf>
    <xf borderId="42" fillId="15" fontId="20" numFmtId="0" xfId="0" applyAlignment="1" applyBorder="1" applyFont="1">
      <alignment horizontal="center" shrinkToFit="0" vertical="bottom" wrapText="0"/>
    </xf>
    <xf borderId="0" fillId="15" fontId="19" numFmtId="0" xfId="0" applyAlignment="1" applyFont="1">
      <alignment readingOrder="0" shrinkToFit="0" wrapText="0"/>
    </xf>
    <xf borderId="1" fillId="0" fontId="14" numFmtId="0" xfId="0" applyAlignment="1" applyBorder="1" applyFont="1">
      <alignment horizontal="center" readingOrder="0"/>
    </xf>
    <xf borderId="37" fillId="0" fontId="2" numFmtId="0" xfId="0" applyBorder="1" applyFont="1"/>
    <xf borderId="43" fillId="0" fontId="2" numFmtId="0" xfId="0" applyBorder="1" applyFont="1"/>
    <xf borderId="27" fillId="0" fontId="14" numFmtId="0" xfId="0" applyAlignment="1" applyBorder="1" applyFont="1">
      <alignment horizontal="center" readingOrder="0"/>
    </xf>
    <xf borderId="27" fillId="0" fontId="14" numFmtId="0" xfId="0" applyAlignment="1" applyBorder="1" applyFont="1">
      <alignment readingOrder="0"/>
    </xf>
    <xf borderId="27" fillId="0" fontId="6" numFmtId="0" xfId="0" applyAlignment="1" applyBorder="1" applyFont="1">
      <alignment readingOrder="0"/>
    </xf>
    <xf borderId="0" fillId="8" fontId="7" numFmtId="0" xfId="0" applyAlignment="1" applyFont="1">
      <alignment horizontal="center" readingOrder="0" vertical="center"/>
    </xf>
    <xf borderId="0" fillId="8" fontId="7" numFmtId="165" xfId="0" applyAlignment="1" applyFont="1" applyNumberFormat="1">
      <alignment horizontal="center" readingOrder="0" vertical="center"/>
    </xf>
    <xf borderId="0" fillId="8" fontId="7" numFmtId="164" xfId="0" applyAlignment="1" applyFont="1" applyNumberFormat="1">
      <alignment horizontal="center" readingOrder="0" vertical="center"/>
    </xf>
    <xf borderId="0" fillId="9" fontId="8" numFmtId="0" xfId="0" applyAlignment="1" applyFont="1">
      <alignment horizontal="center" vertical="center"/>
    </xf>
    <xf borderId="0" fillId="9" fontId="7" numFmtId="0" xfId="0" applyAlignment="1" applyFont="1">
      <alignment horizontal="center" readingOrder="0" vertical="center"/>
    </xf>
    <xf borderId="0" fillId="9" fontId="7" numFmtId="165" xfId="0" applyAlignment="1" applyFont="1" applyNumberFormat="1">
      <alignment horizontal="center" readingOrder="0" vertical="center"/>
    </xf>
    <xf borderId="0" fillId="9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9" fontId="7" numFmtId="166" xfId="0" applyAlignment="1" applyFont="1" applyNumberFormat="1">
      <alignment horizontal="center" vertical="center"/>
    </xf>
    <xf borderId="0" fillId="9" fontId="7" numFmtId="166" xfId="0" applyAlignment="1" applyFont="1" applyNumberFormat="1">
      <alignment horizontal="center" readingOrder="0" vertical="center"/>
    </xf>
    <xf borderId="0" fillId="8" fontId="7" numFmtId="0" xfId="0" applyAlignment="1" applyFont="1">
      <alignment horizontal="center" vertical="center"/>
    </xf>
    <xf borderId="0" fillId="8" fontId="7" numFmtId="165" xfId="0" applyAlignment="1" applyFont="1" applyNumberFormat="1">
      <alignment horizontal="center" vertical="center"/>
    </xf>
    <xf borderId="0" fillId="16" fontId="13" numFmtId="0" xfId="0" applyAlignment="1" applyFill="1" applyFont="1">
      <alignment horizontal="center" readingOrder="0" vertical="center"/>
    </xf>
    <xf borderId="0" fillId="16" fontId="13" numFmtId="9" xfId="0" applyAlignment="1" applyFont="1" applyNumberFormat="1">
      <alignment horizontal="center" readingOrder="0" vertical="center"/>
    </xf>
    <xf borderId="0" fillId="16" fontId="13" numFmtId="164" xfId="0" applyAlignment="1" applyFont="1" applyNumberFormat="1">
      <alignment horizontal="center" readingOrder="0" vertical="center"/>
    </xf>
    <xf borderId="0" fillId="16" fontId="13" numFmtId="0" xfId="0" applyAlignment="1" applyFont="1">
      <alignment horizontal="right" readingOrder="0" vertical="center"/>
    </xf>
    <xf borderId="0" fillId="16" fontId="13" numFmtId="0" xfId="0" applyAlignment="1" applyFont="1">
      <alignment horizontal="center"/>
    </xf>
    <xf borderId="0" fillId="16" fontId="13" numFmtId="164" xfId="0" applyAlignment="1" applyFont="1" applyNumberFormat="1">
      <alignment horizontal="center" readingOrder="0"/>
    </xf>
    <xf borderId="0" fillId="3" fontId="13" numFmtId="0" xfId="0" applyAlignment="1" applyFont="1">
      <alignment horizontal="center"/>
    </xf>
    <xf borderId="0" fillId="3" fontId="13" numFmtId="165" xfId="0" applyAlignment="1" applyFont="1" applyNumberFormat="1">
      <alignment horizontal="center"/>
    </xf>
    <xf borderId="0" fillId="3" fontId="13" numFmtId="9" xfId="0" applyAlignment="1" applyFont="1" applyNumberFormat="1">
      <alignment horizontal="center"/>
    </xf>
    <xf borderId="0" fillId="3" fontId="13" numFmtId="9" xfId="0" applyAlignment="1" applyFont="1" applyNumberFormat="1">
      <alignment horizontal="center" readingOrder="0"/>
    </xf>
    <xf borderId="0" fillId="3" fontId="13" numFmtId="164" xfId="0" applyAlignment="1" applyFont="1" applyNumberFormat="1">
      <alignment horizontal="center" readingOrder="0"/>
    </xf>
    <xf borderId="0" fillId="13" fontId="24" numFmtId="165" xfId="0" applyAlignment="1" applyFont="1" applyNumberFormat="1">
      <alignment horizontal="center" readingOrder="0" vertical="center"/>
    </xf>
    <xf borderId="0" fillId="8" fontId="1" numFmtId="0" xfId="0" applyAlignment="1" applyFont="1">
      <alignment horizontal="center" vertical="center"/>
    </xf>
    <xf borderId="0" fillId="8" fontId="1" numFmtId="165" xfId="0" applyAlignment="1" applyFont="1" applyNumberFormat="1">
      <alignment horizontal="center" vertical="center"/>
    </xf>
    <xf borderId="0" fillId="11" fontId="7" numFmtId="166" xfId="0" applyAlignment="1" applyFont="1" applyNumberFormat="1">
      <alignment horizontal="center" readingOrder="0"/>
    </xf>
    <xf borderId="0" fillId="13" fontId="7" numFmtId="165" xfId="0" applyAlignment="1" applyFont="1" applyNumberFormat="1">
      <alignment horizontal="center" readingOrder="0" vertical="center"/>
    </xf>
    <xf borderId="0" fillId="8" fontId="7" numFmtId="166" xfId="0" applyAlignment="1" applyFont="1" applyNumberFormat="1">
      <alignment horizontal="center" readingOrder="0" vertical="center"/>
    </xf>
    <xf borderId="0" fillId="0" fontId="25" numFmtId="165" xfId="0" applyAlignment="1" applyFont="1" applyNumberFormat="1">
      <alignment horizontal="center" readingOrder="0" vertical="center"/>
    </xf>
    <xf borderId="0" fillId="8" fontId="7" numFmtId="166" xfId="0" applyAlignment="1" applyFont="1" applyNumberFormat="1">
      <alignment horizontal="center" vertical="center"/>
    </xf>
    <xf borderId="0" fillId="17" fontId="7" numFmtId="0" xfId="0" applyFill="1" applyFont="1"/>
    <xf borderId="0" fillId="3" fontId="13" numFmtId="166" xfId="0" applyAlignment="1" applyFont="1" applyNumberFormat="1">
      <alignment horizontal="center"/>
    </xf>
    <xf borderId="0" fillId="0" fontId="26" numFmtId="165" xfId="0" applyAlignment="1" applyFont="1" applyNumberFormat="1">
      <alignment horizontal="center" readingOrder="0" vertical="center"/>
    </xf>
    <xf borderId="0" fillId="3" fontId="14" numFmtId="0" xfId="0" applyAlignment="1" applyFont="1">
      <alignment horizontal="center"/>
    </xf>
    <xf borderId="0" fillId="3" fontId="14" numFmtId="165" xfId="0" applyAlignment="1" applyFont="1" applyNumberFormat="1">
      <alignment horizontal="center"/>
    </xf>
    <xf borderId="0" fillId="3" fontId="14" numFmtId="166" xfId="0" applyAlignment="1" applyFont="1" applyNumberFormat="1">
      <alignment horizontal="center"/>
    </xf>
    <xf borderId="0" fillId="3" fontId="14" numFmtId="9" xfId="0" applyAlignment="1" applyFont="1" applyNumberFormat="1">
      <alignment horizontal="center" readingOrder="0"/>
    </xf>
    <xf borderId="0" fillId="3" fontId="3" numFmtId="167" xfId="0" applyAlignment="1" applyFont="1" applyNumberFormat="1">
      <alignment horizontal="center"/>
    </xf>
    <xf borderId="0" fillId="3" fontId="14" numFmtId="164" xfId="0" applyAlignment="1" applyFont="1" applyNumberFormat="1">
      <alignment horizontal="center" readingOrder="0"/>
    </xf>
    <xf borderId="0" fillId="9" fontId="12" numFmtId="0" xfId="0" applyAlignment="1" applyFont="1">
      <alignment readingOrder="0"/>
    </xf>
    <xf borderId="0" fillId="14" fontId="16" numFmtId="0" xfId="0" applyAlignment="1" applyFont="1">
      <alignment horizontal="center"/>
    </xf>
    <xf borderId="0" fillId="14" fontId="27" numFmtId="165" xfId="0" applyAlignment="1" applyFont="1" applyNumberFormat="1">
      <alignment horizontal="center"/>
    </xf>
    <xf borderId="0" fillId="14" fontId="16" numFmtId="9" xfId="0" applyAlignment="1" applyFont="1" applyNumberFormat="1">
      <alignment horizontal="center"/>
    </xf>
    <xf borderId="0" fillId="13" fontId="16" numFmtId="9" xfId="0" applyAlignment="1" applyFont="1" applyNumberFormat="1">
      <alignment horizontal="center"/>
    </xf>
    <xf borderId="0" fillId="14" fontId="28" numFmtId="165" xfId="0" applyAlignment="1" applyFont="1" applyNumberFormat="1">
      <alignment horizontal="center"/>
    </xf>
    <xf borderId="0" fillId="14" fontId="29" numFmtId="9" xfId="0" applyAlignment="1" applyFont="1" applyNumberFormat="1">
      <alignment horizontal="center"/>
    </xf>
    <xf borderId="0" fillId="14" fontId="16" numFmtId="165" xfId="0" applyAlignment="1" applyFont="1" applyNumberFormat="1">
      <alignment horizontal="center"/>
    </xf>
    <xf borderId="0" fillId="13" fontId="16" numFmtId="0" xfId="0" applyAlignment="1" applyFont="1">
      <alignment horizontal="center"/>
    </xf>
    <xf borderId="0" fillId="13" fontId="29" numFmtId="9" xfId="0" applyAlignment="1" applyFont="1" applyNumberFormat="1">
      <alignment horizontal="center"/>
    </xf>
    <xf borderId="0" fillId="13" fontId="16" numFmtId="165" xfId="0" applyAlignment="1" applyFont="1" applyNumberFormat="1">
      <alignment horizontal="center"/>
    </xf>
    <xf borderId="0" fillId="14" fontId="30" numFmtId="9" xfId="0" applyAlignment="1" applyFont="1" applyNumberFormat="1">
      <alignment horizontal="center"/>
    </xf>
    <xf borderId="0" fillId="14" fontId="12" numFmtId="164" xfId="0" applyAlignment="1" applyFont="1" applyNumberFormat="1">
      <alignment horizontal="center"/>
    </xf>
    <xf borderId="0" fillId="14" fontId="31" numFmtId="165" xfId="0" applyAlignment="1" applyFont="1" applyNumberFormat="1">
      <alignment horizontal="center"/>
    </xf>
    <xf borderId="0" fillId="13" fontId="30" numFmtId="9" xfId="0" applyAlignment="1" applyFont="1" applyNumberFormat="1">
      <alignment horizontal="center"/>
    </xf>
    <xf borderId="0" fillId="13" fontId="12" numFmtId="164" xfId="0" applyAlignment="1" applyFont="1" applyNumberFormat="1">
      <alignment horizontal="center"/>
    </xf>
    <xf borderId="0" fillId="13" fontId="31" numFmtId="165" xfId="0" applyAlignment="1" applyFont="1" applyNumberFormat="1">
      <alignment horizontal="center"/>
    </xf>
    <xf borderId="0" fillId="14" fontId="12" numFmtId="165" xfId="0" applyAlignment="1" applyFont="1" applyNumberFormat="1">
      <alignment horizontal="center"/>
    </xf>
    <xf borderId="0" fillId="14" fontId="31" numFmtId="9" xfId="0" applyAlignment="1" applyFont="1" applyNumberFormat="1">
      <alignment horizontal="center"/>
    </xf>
    <xf borderId="0" fillId="13" fontId="12" numFmtId="165" xfId="0" applyAlignment="1" applyFont="1" applyNumberFormat="1">
      <alignment horizontal="center"/>
    </xf>
    <xf borderId="0" fillId="13" fontId="31" numFmtId="9" xfId="0" applyAlignment="1" applyFont="1" applyNumberFormat="1">
      <alignment horizontal="center"/>
    </xf>
    <xf borderId="0" fillId="18" fontId="7" numFmtId="0" xfId="0" applyAlignment="1" applyFill="1" applyFont="1">
      <alignment horizontal="center" readingOrder="0" vertical="center"/>
    </xf>
    <xf borderId="0" fillId="13" fontId="12" numFmtId="0" xfId="0" applyAlignment="1" applyFont="1">
      <alignment horizontal="center"/>
    </xf>
    <xf borderId="0" fillId="14" fontId="12" numFmtId="0" xfId="0" applyAlignment="1" applyFont="1">
      <alignment horizontal="center"/>
    </xf>
    <xf borderId="0" fillId="8" fontId="1" numFmtId="0" xfId="0" applyAlignment="1" applyFont="1">
      <alignment horizontal="center" readingOrder="0" vertical="center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38761D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B8043"/>
      </font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color rgb="FF6AA84F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  <tableStyles count="32">
    <tableStyle count="3" pivot="0" name="Faturamento Geral 2025-style">
      <tableStyleElement dxfId="1" type="headerRow"/>
      <tableStyleElement dxfId="2" type="firstRowStripe"/>
      <tableStyleElement dxfId="3" type="secondRowStripe"/>
    </tableStyle>
    <tableStyle count="3" pivot="0" name="GERAL - 12-style">
      <tableStyleElement dxfId="9" type="headerRow"/>
      <tableStyleElement dxfId="2" type="firstRowStripe"/>
      <tableStyleElement dxfId="10" type="secondRowStripe"/>
    </tableStyle>
    <tableStyle count="3" pivot="0" name="Compra - 11-style">
      <tableStyleElement dxfId="1" type="headerRow"/>
      <tableStyleElement dxfId="2" type="firstRowStripe"/>
      <tableStyleElement dxfId="3" type="secondRowStripe"/>
    </tableStyle>
    <tableStyle count="2" pivot="0" name="Compra - 11-style 2">
      <tableStyleElement dxfId="3" type="firstRowStripe"/>
      <tableStyleElement dxfId="2" type="secondRowStripe"/>
    </tableStyle>
    <tableStyle count="2" pivot="0" name="Compra - 11-style 3">
      <tableStyleElement dxfId="3" type="firstRowStripe"/>
      <tableStyleElement dxfId="2" type="secondRowStripe"/>
    </tableStyle>
    <tableStyle count="2" pivot="0" name="Compra - 11-style 4">
      <tableStyleElement dxfId="3" type="firstRowStripe"/>
      <tableStyleElement dxfId="2" type="secondRowStripe"/>
    </tableStyle>
    <tableStyle count="3" pivot="0" name="Compra - 12-style">
      <tableStyleElement dxfId="1" type="headerRow"/>
      <tableStyleElement dxfId="2" type="firstRowStripe"/>
      <tableStyleElement dxfId="3" type="secondRowStripe"/>
    </tableStyle>
    <tableStyle count="2" pivot="0" name="Compra - 12-style 2">
      <tableStyleElement dxfId="3" type="firstRowStripe"/>
      <tableStyleElement dxfId="2" type="secondRowStripe"/>
    </tableStyle>
    <tableStyle count="2" pivot="0" name="Compra - 12-style 3">
      <tableStyleElement dxfId="3" type="firstRowStripe"/>
      <tableStyleElement dxfId="2" type="secondRowStripe"/>
    </tableStyle>
    <tableStyle count="2" pivot="0" name="Compra - 12-style 4">
      <tableStyleElement dxfId="3" type="firstRowStripe"/>
      <tableStyleElement dxfId="2" type="secondRowStripe"/>
    </tableStyle>
    <tableStyle count="3" pivot="0" name="Recompra - 12-style">
      <tableStyleElement dxfId="1" type="headerRow"/>
      <tableStyleElement dxfId="2" type="firstRowStripe"/>
      <tableStyleElement dxfId="3" type="secondRowStripe"/>
    </tableStyle>
    <tableStyle count="2" pivot="0" name="Recompra - 12-style 2">
      <tableStyleElement dxfId="3" type="firstRowStripe"/>
      <tableStyleElement dxfId="2" type="secondRowStripe"/>
    </tableStyle>
    <tableStyle count="2" pivot="0" name="Recompra - 12-style 3">
      <tableStyleElement dxfId="3" type="firstRowStripe"/>
      <tableStyleElement dxfId="2" type="secondRowStripe"/>
    </tableStyle>
    <tableStyle count="3" pivot="0" name="Compra - 09 -style">
      <tableStyleElement dxfId="1" type="headerRow"/>
      <tableStyleElement dxfId="2" type="firstRowStripe"/>
      <tableStyleElement dxfId="3" type="secondRowStripe"/>
    </tableStyle>
    <tableStyle count="2" pivot="0" name="Compra - 09 -style 2">
      <tableStyleElement dxfId="2" type="firstRowStripe"/>
      <tableStyleElement dxfId="3" type="secondRowStripe"/>
    </tableStyle>
    <tableStyle count="2" pivot="0" name="Compra - 09 -style 3">
      <tableStyleElement dxfId="3" type="firstRowStripe"/>
      <tableStyleElement dxfId="2" type="secondRowStripe"/>
    </tableStyle>
    <tableStyle count="3" pivot="0" name="Recompra - 09-style">
      <tableStyleElement dxfId="1" type="headerRow"/>
      <tableStyleElement dxfId="2" type="firstRowStripe"/>
      <tableStyleElement dxfId="3" type="secondRowStripe"/>
    </tableStyle>
    <tableStyle count="2" pivot="0" name="Recompra - 09-style 2">
      <tableStyleElement dxfId="2" type="firstRowStripe"/>
      <tableStyleElement dxfId="3" type="secondRowStripe"/>
    </tableStyle>
    <tableStyle count="2" pivot="0" name="Recompra - 09-style 3">
      <tableStyleElement dxfId="3" type="firstRowStripe"/>
      <tableStyleElement dxfId="2" type="secondRowStripe"/>
    </tableStyle>
    <tableStyle count="2" pivot="0" name="Recompra - 09-style 4">
      <tableStyleElement dxfId="3" type="firstRowStripe"/>
      <tableStyleElement dxfId="2" type="secondRowStripe"/>
    </tableStyle>
    <tableStyle count="3" pivot="0" name="Compra - 10 -style">
      <tableStyleElement dxfId="1" type="headerRow"/>
      <tableStyleElement dxfId="2" type="firstRowStripe"/>
      <tableStyleElement dxfId="3" type="secondRowStripe"/>
    </tableStyle>
    <tableStyle count="2" pivot="0" name="Compra - 10 -style 2">
      <tableStyleElement dxfId="2" type="firstRowStripe"/>
      <tableStyleElement dxfId="3" type="secondRowStripe"/>
    </tableStyle>
    <tableStyle count="2" pivot="0" name="Compra - 10 -style 3">
      <tableStyleElement dxfId="3" type="firstRowStripe"/>
      <tableStyleElement dxfId="2" type="secondRowStripe"/>
    </tableStyle>
    <tableStyle count="3" pivot="0" name="Recompra - 10-style">
      <tableStyleElement dxfId="1" type="headerRow"/>
      <tableStyleElement dxfId="2" type="firstRowStripe"/>
      <tableStyleElement dxfId="3" type="secondRowStripe"/>
    </tableStyle>
    <tableStyle count="2" pivot="0" name="Recompra - 10-style 2">
      <tableStyleElement dxfId="2" type="firstRowStripe"/>
      <tableStyleElement dxfId="3" type="secondRowStripe"/>
    </tableStyle>
    <tableStyle count="2" pivot="0" name="Recompra - 10-style 3">
      <tableStyleElement dxfId="3" type="firstRowStripe"/>
      <tableStyleElement dxfId="2" type="secondRowStripe"/>
    </tableStyle>
    <tableStyle count="2" pivot="0" name="Recompra - 10-style 4">
      <tableStyleElement dxfId="3" type="firstRowStripe"/>
      <tableStyleElement dxfId="2" type="secondRowStripe"/>
    </tableStyle>
    <tableStyle count="2" pivot="0" name="Recompra - 10-style 5">
      <tableStyleElement dxfId="3" type="firstRowStripe"/>
      <tableStyleElement dxfId="2" type="secondRowStripe"/>
    </tableStyle>
    <tableStyle count="3" pivot="0" name="Recompra - 11-style">
      <tableStyleElement dxfId="1" type="headerRow"/>
      <tableStyleElement dxfId="2" type="firstRowStripe"/>
      <tableStyleElement dxfId="3" type="secondRowStripe"/>
    </tableStyle>
    <tableStyle count="2" pivot="0" name="Recompra - 11-style 2">
      <tableStyleElement dxfId="3" type="firstRowStripe"/>
      <tableStyleElement dxfId="2" type="secondRowStripe"/>
    </tableStyle>
    <tableStyle count="2" pivot="0" name="Recompra - 11-style 3">
      <tableStyleElement dxfId="3" type="firstRowStripe"/>
      <tableStyleElement dxfId="2" type="secondRowStripe"/>
    </tableStyle>
    <tableStyle count="2" pivot="0" name="Recompra - 11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R4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Faturamento Geral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4:G38" displayName="Table_2" name="Table_2" id="2">
  <tableColumns count="7">
    <tableColumn name="DATA" id="1"/>
    <tableColumn name="DIA" id="2"/>
    <tableColumn name="VALOR" id="3"/>
    <tableColumn name="QNTD FORMULAS" id="4"/>
    <tableColumn name="TKT MEDIO" id="5"/>
    <tableColumn name="SALDO DO DIA" id="6"/>
    <tableColumn name="SALDO GERAL" id="7"/>
  </tableColumns>
  <tableStyleInfo name="GERAL - 12-style" showColumnStripes="0" showFirstColumn="1" showLastColumn="1" showRowStripes="1"/>
</table>
</file>

<file path=xl/tables/table3.xml><?xml version="1.0" encoding="utf-8"?>
<table xmlns="http://schemas.openxmlformats.org/spreadsheetml/2006/main" ref="A2:P35" displayName="Table_3" name="Table_3" id="3">
  <tableColumns count="16">
    <tableColumn name="Data" id="1"/>
    <tableColumn name="Realizado " id="2"/>
    <tableColumn name="Meta" id="3"/>
    <tableColumn name="Gap" id="4"/>
    <tableColumn name="Realizado  2" id="5"/>
    <tableColumn name="Meta 2" id="6"/>
    <tableColumn name="Gap 2" id="7"/>
    <tableColumn name="Realizado  3" id="8"/>
    <tableColumn name="Meta 3" id="9"/>
    <tableColumn name="Gap 3" id="10"/>
    <tableColumn name="Realizado  4" id="11"/>
    <tableColumn name="Meta 4" id="12"/>
    <tableColumn name="Gap 4" id="13"/>
    <tableColumn name="Realizado  5" id="14"/>
    <tableColumn name="Meta 5" id="15"/>
    <tableColumn name="Gap 5" id="16"/>
  </tableColumns>
  <tableStyleInfo name="Compra - 11-style" showColumnStripes="0" showFirstColumn="1" showLastColumn="1" showRowStripes="1"/>
</table>
</file>

<file path=xl/tables/table4.xml><?xml version="1.0" encoding="utf-8"?>
<table xmlns="http://schemas.openxmlformats.org/spreadsheetml/2006/main" headerRowCount="0" ref="A36:P66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11-style 2" showColumnStripes="0" showFirstColumn="1" showLastColumn="1" showRowStripes="1"/>
</table>
</file>

<file path=xl/tables/table5.xml><?xml version="1.0" encoding="utf-8"?>
<table xmlns="http://schemas.openxmlformats.org/spreadsheetml/2006/main" headerRowCount="0" ref="A67:P97" displayName="Table_5" name="Table_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11-style 3" showColumnStripes="0" showFirstColumn="1" showLastColumn="1" showRowStripes="1"/>
</table>
</file>

<file path=xl/tables/table6.xml><?xml version="1.0" encoding="utf-8"?>
<table xmlns="http://schemas.openxmlformats.org/spreadsheetml/2006/main" headerRowCount="0" ref="A98:P128" displayName="Table_6" name="Table_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11-style 4" showColumnStripes="0" showFirstColumn="1" showLastColumn="1" showRowStripes="1"/>
</table>
</file>

<file path=xl/tables/table7.xml><?xml version="1.0" encoding="utf-8"?>
<table xmlns="http://schemas.openxmlformats.org/spreadsheetml/2006/main" ref="A2:P36" displayName="Table_7" name="Table_7" id="7">
  <tableColumns count="16">
    <tableColumn name="Data" id="1"/>
    <tableColumn name="Realizado " id="2"/>
    <tableColumn name="Meta" id="3"/>
    <tableColumn name="Gap" id="4"/>
    <tableColumn name="Realizado  2" id="5"/>
    <tableColumn name="Meta 2" id="6"/>
    <tableColumn name="Gap 2" id="7"/>
    <tableColumn name="Realizado  3" id="8"/>
    <tableColumn name="Meta 3" id="9"/>
    <tableColumn name="Gap 3" id="10"/>
    <tableColumn name="Realizado  4" id="11"/>
    <tableColumn name="Meta 4" id="12"/>
    <tableColumn name="Gap 4" id="13"/>
    <tableColumn name="Realizado  5" id="14"/>
    <tableColumn name="Meta 5" id="15"/>
    <tableColumn name="Gap 5" id="16"/>
  </tableColumns>
  <tableStyleInfo name="Compra - 12-style" showColumnStripes="0" showFirstColumn="1" showLastColumn="1" showRowStripes="1"/>
</table>
</file>

<file path=xl/tables/table8.xml><?xml version="1.0" encoding="utf-8"?>
<table xmlns="http://schemas.openxmlformats.org/spreadsheetml/2006/main" headerRowCount="0" ref="A37:P68" displayName="Table_8" name="Table_8" id="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12-style 2" showColumnStripes="0" showFirstColumn="1" showLastColumn="1" showRowStripes="1"/>
</table>
</file>

<file path=xl/tables/table9.xml><?xml version="1.0" encoding="utf-8"?>
<table xmlns="http://schemas.openxmlformats.org/spreadsheetml/2006/main" headerRowCount="0" ref="A69:P100" displayName="Table_9" name="Table_9" id="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12-style 3" showColumnStripes="0" showFirstColumn="1" showLastColumn="1" showRowStripes="1"/>
</table>
</file>

<file path=xl/tables/table10.xml><?xml version="1.0" encoding="utf-8"?>
<table xmlns="http://schemas.openxmlformats.org/spreadsheetml/2006/main" headerRowCount="0" ref="A101:P132" displayName="Table_10" name="Table_10" id="1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12-style 4" showColumnStripes="0" showFirstColumn="1" showLastColumn="1" showRowStripes="1"/>
</table>
</file>

<file path=xl/tables/table11.xml><?xml version="1.0" encoding="utf-8"?>
<table xmlns="http://schemas.openxmlformats.org/spreadsheetml/2006/main" headerRowCount="0" ref="A2:P36" displayName="Table_11" name="Table_11" id="1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37:P68" displayName="Table_12" name="Table_12" id="1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2-style 2" showColumnStripes="0" showFirstColumn="1" showLastColumn="1" showRowStripes="1"/>
</table>
</file>

<file path=xl/tables/table13.xml><?xml version="1.0" encoding="utf-8"?>
<table xmlns="http://schemas.openxmlformats.org/spreadsheetml/2006/main" headerRowCount="0" ref="A69:P100" displayName="Table_13" name="Table_13" id="1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2-style 3" showColumnStripes="0" showFirstColumn="1" showLastColumn="1" showRowStripes="1"/>
</table>
</file>

<file path=xl/tables/table14.xml><?xml version="1.0" encoding="utf-8"?>
<table xmlns="http://schemas.openxmlformats.org/spreadsheetml/2006/main" ref="A2:P36" displayName="Table_14" name="Table_14" id="14">
  <tableColumns count="16">
    <tableColumn name="Data" id="1"/>
    <tableColumn name="Realizado " id="2"/>
    <tableColumn name="Meta" id="3"/>
    <tableColumn name="Gap" id="4"/>
    <tableColumn name="Realizado  2" id="5"/>
    <tableColumn name="Meta 2" id="6"/>
    <tableColumn name="Gap 2" id="7"/>
    <tableColumn name="Realizado  3" id="8"/>
    <tableColumn name="Meta 3" id="9"/>
    <tableColumn name="Gap 3" id="10"/>
    <tableColumn name="Realizado  4" id="11"/>
    <tableColumn name="Meta 4" id="12"/>
    <tableColumn name="Gap 4" id="13"/>
    <tableColumn name="Realizado  5" id="14"/>
    <tableColumn name="Meta 5" id="15"/>
    <tableColumn name="Gap 5" id="16"/>
  </tableColumns>
  <tableStyleInfo name="Compra - 09 -style" showColumnStripes="0" showFirstColumn="1" showLastColumn="1" showRowStripes="1"/>
</table>
</file>

<file path=xl/tables/table15.xml><?xml version="1.0" encoding="utf-8"?>
<table xmlns="http://schemas.openxmlformats.org/spreadsheetml/2006/main" headerRowCount="0" ref="A37:P66" displayName="Table_15" name="Table_15" id="1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09 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67:P97" displayName="Table_16" name="Table_16" id="1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09 -style 3" showColumnStripes="0" showFirstColumn="1" showLastColumn="1" showRowStripes="1"/>
</table>
</file>

<file path=xl/tables/table17.xml><?xml version="1.0" encoding="utf-8"?>
<table xmlns="http://schemas.openxmlformats.org/spreadsheetml/2006/main" headerRowCount="0" ref="A2:P36" displayName="Table_17" name="Table_17" id="1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0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7:P66" displayName="Table_18" name="Table_18" id="1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09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67:P97" displayName="Table_19" name="Table_19" id="1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09-style 3" showColumnStripes="0" showFirstColumn="1" showLastColumn="1" showRowStripes="1"/>
</table>
</file>

<file path=xl/tables/table20.xml><?xml version="1.0" encoding="utf-8"?>
<table xmlns="http://schemas.openxmlformats.org/spreadsheetml/2006/main" headerRowCount="0" ref="A98:P128" displayName="Table_20" name="Table_20" id="2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09-style 4" showColumnStripes="0" showFirstColumn="1" showLastColumn="1" showRowStripes="1"/>
</table>
</file>

<file path=xl/tables/table21.xml><?xml version="1.0" encoding="utf-8"?>
<table xmlns="http://schemas.openxmlformats.org/spreadsheetml/2006/main" ref="A2:P37" displayName="Table_21" name="Table_21" id="21">
  <tableColumns count="16">
    <tableColumn name="Data" id="1"/>
    <tableColumn name="Realizado " id="2"/>
    <tableColumn name="Meta" id="3"/>
    <tableColumn name="Gap" id="4"/>
    <tableColumn name="Realizado  2" id="5"/>
    <tableColumn name="Meta 2" id="6"/>
    <tableColumn name="Gap 2" id="7"/>
    <tableColumn name="Realizado  3" id="8"/>
    <tableColumn name="Meta 3" id="9"/>
    <tableColumn name="Gap 3" id="10"/>
    <tableColumn name="Realizado  4" id="11"/>
    <tableColumn name="Meta 4" id="12"/>
    <tableColumn name="Gap 4" id="13"/>
    <tableColumn name="Realizado  5" id="14"/>
    <tableColumn name="Meta 5" id="15"/>
    <tableColumn name="Gap 5" id="16"/>
  </tableColumns>
  <tableStyleInfo name="Compra - 10 -style" showColumnStripes="0" showFirstColumn="1" showLastColumn="1" showRowStripes="1"/>
</table>
</file>

<file path=xl/tables/table22.xml><?xml version="1.0" encoding="utf-8"?>
<table xmlns="http://schemas.openxmlformats.org/spreadsheetml/2006/main" headerRowCount="0" ref="A38:P68" displayName="Table_22" name="Table_22" id="2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10 -style 2" showColumnStripes="0" showFirstColumn="1" showLastColumn="1" showRowStripes="1"/>
</table>
</file>

<file path=xl/tables/table23.xml><?xml version="1.0" encoding="utf-8"?>
<table xmlns="http://schemas.openxmlformats.org/spreadsheetml/2006/main" headerRowCount="0" ref="A69:P100" displayName="Table_23" name="Table_23" id="2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Compra - 10 -style 3" showColumnStripes="0" showFirstColumn="1" showLastColumn="1" showRowStripes="1"/>
</table>
</file>

<file path=xl/tables/table24.xml><?xml version="1.0" encoding="utf-8"?>
<table xmlns="http://schemas.openxmlformats.org/spreadsheetml/2006/main" headerRowCount="0" ref="A2:P35" displayName="Table_24" name="Table_24" id="2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36:P36" displayName="Table_25" name="Table_25" id="2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0-style 2" showColumnStripes="0" showFirstColumn="1" showLastColumn="1" showRowStripes="1"/>
</table>
</file>

<file path=xl/tables/table26.xml><?xml version="1.0" encoding="utf-8"?>
<table xmlns="http://schemas.openxmlformats.org/spreadsheetml/2006/main" headerRowCount="0" ref="A37:P68" displayName="Table_26" name="Table_26" id="2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0-style 3" showColumnStripes="0" showFirstColumn="1" showLastColumn="1" showRowStripes="1"/>
</table>
</file>

<file path=xl/tables/table27.xml><?xml version="1.0" encoding="utf-8"?>
<table xmlns="http://schemas.openxmlformats.org/spreadsheetml/2006/main" headerRowCount="0" ref="A69:P100" displayName="Table_27" name="Table_27" id="2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0-style 4" showColumnStripes="0" showFirstColumn="1" showLastColumn="1" showRowStripes="1"/>
</table>
</file>

<file path=xl/tables/table28.xml><?xml version="1.0" encoding="utf-8"?>
<table xmlns="http://schemas.openxmlformats.org/spreadsheetml/2006/main" headerRowCount="0" ref="A101:P132" displayName="Table_28" name="Table_28" id="2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0-style 5" showColumnStripes="0" showFirstColumn="1" showLastColumn="1" showRowStripes="1"/>
</table>
</file>

<file path=xl/tables/table29.xml><?xml version="1.0" encoding="utf-8"?>
<table xmlns="http://schemas.openxmlformats.org/spreadsheetml/2006/main" headerRowCount="0" ref="A2:P35" displayName="Table_29" name="Table_29" id="2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A36:P66" displayName="Table_30" name="Table_30" id="3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1-style 2" showColumnStripes="0" showFirstColumn="1" showLastColumn="1" showRowStripes="1"/>
</table>
</file>

<file path=xl/tables/table31.xml><?xml version="1.0" encoding="utf-8"?>
<table xmlns="http://schemas.openxmlformats.org/spreadsheetml/2006/main" headerRowCount="0" ref="A67:P97" displayName="Table_31" name="Table_31" id="3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1-style 3" showColumnStripes="0" showFirstColumn="1" showLastColumn="1" showRowStripes="1"/>
</table>
</file>

<file path=xl/tables/table32.xml><?xml version="1.0" encoding="utf-8"?>
<table xmlns="http://schemas.openxmlformats.org/spreadsheetml/2006/main" headerRowCount="0" ref="A98:P128" displayName="Table_32" name="Table_32" id="3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ompra - 1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0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Relationship Id="rId8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1.x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21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11" Type="http://schemas.openxmlformats.org/officeDocument/2006/relationships/table" Target="../tables/table28.xml"/><Relationship Id="rId10" Type="http://schemas.openxmlformats.org/officeDocument/2006/relationships/table" Target="../tables/table27.xml"/><Relationship Id="rId9" Type="http://schemas.openxmlformats.org/officeDocument/2006/relationships/table" Target="../tables/table26.xml"/><Relationship Id="rId7" Type="http://schemas.openxmlformats.org/officeDocument/2006/relationships/table" Target="../tables/table24.xml"/><Relationship Id="rId8" Type="http://schemas.openxmlformats.org/officeDocument/2006/relationships/table" Target="../tables/table2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32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Relationship Id="rId8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38"/>
    <col customWidth="1" min="2" max="2" width="9.25"/>
    <col customWidth="1" min="3" max="3" width="4.75"/>
    <col customWidth="1" min="4" max="4" width="5.25"/>
    <col customWidth="1" min="5" max="5" width="9.25"/>
    <col customWidth="1" min="6" max="6" width="4.75"/>
    <col customWidth="1" min="7" max="7" width="5.88"/>
    <col customWidth="1" min="8" max="8" width="12.0"/>
    <col customWidth="1" min="9" max="9" width="11.88"/>
    <col customWidth="1" min="10" max="10" width="12.5"/>
    <col customWidth="1" min="11" max="11" width="12.38"/>
    <col customWidth="1" min="12" max="12" width="13.75"/>
    <col customWidth="1" min="13" max="13" width="4.75"/>
    <col customWidth="1" min="14" max="14" width="6.63"/>
    <col customWidth="1" min="15" max="15" width="11.0"/>
    <col customWidth="1" min="16" max="18" width="8.75"/>
    <col customWidth="1" min="19" max="28" width="5.25"/>
  </cols>
  <sheetData>
    <row r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3"/>
      <c r="K1" s="4"/>
      <c r="L1" s="2" t="s">
        <v>4</v>
      </c>
      <c r="M1" s="3"/>
      <c r="N1" s="4"/>
      <c r="O1" s="2" t="s">
        <v>5</v>
      </c>
      <c r="P1" s="3"/>
      <c r="Q1" s="4"/>
      <c r="R1" s="5"/>
    </row>
    <row r="2">
      <c r="A2" s="6" t="s">
        <v>6</v>
      </c>
      <c r="B2" s="7" t="s">
        <v>7</v>
      </c>
      <c r="C2" s="5" t="s">
        <v>8</v>
      </c>
      <c r="D2" s="8" t="s">
        <v>9</v>
      </c>
      <c r="E2" s="9" t="s">
        <v>7</v>
      </c>
      <c r="F2" s="10" t="s">
        <v>8</v>
      </c>
      <c r="G2" s="11" t="s">
        <v>9</v>
      </c>
      <c r="H2" s="7" t="s">
        <v>7</v>
      </c>
      <c r="I2" s="5" t="s">
        <v>8</v>
      </c>
      <c r="J2" s="5" t="s">
        <v>9</v>
      </c>
      <c r="K2" s="8" t="s">
        <v>10</v>
      </c>
      <c r="L2" s="9" t="s">
        <v>7</v>
      </c>
      <c r="M2" s="12" t="s">
        <v>8</v>
      </c>
      <c r="N2" s="11" t="s">
        <v>9</v>
      </c>
      <c r="O2" s="9" t="s">
        <v>7</v>
      </c>
      <c r="P2" s="13" t="s">
        <v>8</v>
      </c>
      <c r="Q2" s="11" t="s">
        <v>9</v>
      </c>
      <c r="R2" s="5"/>
    </row>
    <row r="3">
      <c r="A3" s="6">
        <v>2025.0</v>
      </c>
      <c r="B3" s="14"/>
      <c r="C3" s="15"/>
      <c r="D3" s="16"/>
      <c r="E3" s="14"/>
      <c r="F3" s="15"/>
      <c r="G3" s="16"/>
      <c r="H3" s="14"/>
      <c r="I3" s="15"/>
      <c r="J3" s="17"/>
      <c r="K3" s="18"/>
      <c r="L3" s="14"/>
      <c r="M3" s="15"/>
      <c r="N3" s="16"/>
      <c r="O3" s="14"/>
      <c r="P3" s="15"/>
      <c r="Q3" s="16"/>
      <c r="R3" s="17"/>
    </row>
    <row r="4" hidden="1">
      <c r="A4" s="19" t="s">
        <v>11</v>
      </c>
      <c r="B4" s="20">
        <f>'Recompra - 09'!B4+'Compra - 09 '!B4</f>
        <v>4310</v>
      </c>
      <c r="C4" s="21">
        <f>'Recompra - 09'!C4+'Compra - 09 '!C4</f>
        <v>6120</v>
      </c>
      <c r="D4" s="22">
        <f t="shared" ref="D4:D7" si="1">B4-C4</f>
        <v>-1810</v>
      </c>
      <c r="E4" s="20">
        <f>'Recompra - 09'!E4+'Compra - 09 '!E4</f>
        <v>1177</v>
      </c>
      <c r="F4" s="21">
        <f>'Recompra - 09'!F4+'Compra - 09 '!F4</f>
        <v>1458</v>
      </c>
      <c r="G4" s="22">
        <f t="shared" ref="G4:G5" si="2">F4-E4</f>
        <v>281</v>
      </c>
      <c r="H4" s="23">
        <f>'Compra - 09 '!H4+'Recompra - 09'!H4</f>
        <v>305877.8</v>
      </c>
      <c r="I4" s="24">
        <f>'Compra - 09 '!I4+'Recompra - 09'!I4</f>
        <v>357900</v>
      </c>
      <c r="J4" s="24">
        <f t="shared" ref="J4:J7" si="3">H4-I4</f>
        <v>-52022.2</v>
      </c>
      <c r="K4" s="22"/>
      <c r="L4" s="25">
        <f t="shared" ref="L4:L7" si="4">E4/B4</f>
        <v>0.2730858469</v>
      </c>
      <c r="M4" s="26">
        <v>0.4</v>
      </c>
      <c r="N4" s="27">
        <f t="shared" ref="N4:N7" si="5">L4-M4</f>
        <v>-0.1269141531</v>
      </c>
      <c r="O4" s="23">
        <f t="shared" ref="O4:O7" si="6">H4/E4</f>
        <v>259.8791844</v>
      </c>
      <c r="P4" s="28">
        <v>250.0</v>
      </c>
      <c r="Q4" s="29">
        <f t="shared" ref="Q4:Q7" si="7">O4-P4</f>
        <v>9.879184367</v>
      </c>
      <c r="R4" s="21"/>
    </row>
    <row r="5" hidden="1">
      <c r="A5" s="19" t="s">
        <v>12</v>
      </c>
      <c r="B5" s="20">
        <f>'Recompra - 10'!B4+'Compra - 10 '!B4</f>
        <v>4018</v>
      </c>
      <c r="C5" s="21">
        <f>'Recompra - 10'!C4+'Compra - 10 '!C4</f>
        <v>6030</v>
      </c>
      <c r="D5" s="22">
        <f t="shared" si="1"/>
        <v>-2012</v>
      </c>
      <c r="E5" s="20">
        <f>'Recompra - 10'!E4+'Compra - 10 '!E4</f>
        <v>1220</v>
      </c>
      <c r="F5" s="21">
        <f>'Recompra - 10'!F4+'Compra - 10 '!F4</f>
        <v>1431</v>
      </c>
      <c r="G5" s="22">
        <f t="shared" si="2"/>
        <v>211</v>
      </c>
      <c r="H5" s="23">
        <f>'Compra - 09 '!H5+'Recompra - 09'!H5</f>
        <v>151018.97</v>
      </c>
      <c r="I5" s="30">
        <v>550000.0</v>
      </c>
      <c r="J5" s="24">
        <f t="shared" si="3"/>
        <v>-398981.03</v>
      </c>
      <c r="K5" s="22"/>
      <c r="L5" s="25">
        <f t="shared" si="4"/>
        <v>0.3036336486</v>
      </c>
      <c r="M5" s="26">
        <v>0.4</v>
      </c>
      <c r="N5" s="27">
        <f t="shared" si="5"/>
        <v>-0.09636635142</v>
      </c>
      <c r="O5" s="23">
        <f t="shared" si="6"/>
        <v>123.786041</v>
      </c>
      <c r="P5" s="28">
        <v>250.0</v>
      </c>
      <c r="Q5" s="29">
        <f t="shared" si="7"/>
        <v>-126.213959</v>
      </c>
      <c r="R5" s="21"/>
    </row>
    <row r="6">
      <c r="A6" s="31" t="s">
        <v>13</v>
      </c>
      <c r="B6" s="32">
        <f>'Recompra - 11'!B4+'Compra - 11'!B4</f>
        <v>2986</v>
      </c>
      <c r="C6" s="33">
        <f>'Recompra - 10'!C5+'Compra - 10 '!C5</f>
        <v>2310</v>
      </c>
      <c r="D6" s="34">
        <f t="shared" si="1"/>
        <v>676</v>
      </c>
      <c r="E6" s="35">
        <f>'Recompra - 11'!E4+'Compra - 11'!E4</f>
        <v>1446</v>
      </c>
      <c r="F6" s="33">
        <f>'Recompra - 10'!F5+'Compra - 10 '!F5</f>
        <v>693</v>
      </c>
      <c r="G6" s="36">
        <f t="shared" ref="G6:G7" si="8">E6-F6</f>
        <v>753</v>
      </c>
      <c r="H6" s="37">
        <v>414625.26</v>
      </c>
      <c r="I6" s="38">
        <v>510000.0</v>
      </c>
      <c r="J6" s="39">
        <f t="shared" si="3"/>
        <v>-95374.74</v>
      </c>
      <c r="K6" s="40">
        <f t="shared" ref="K6:K7" si="9">H6/I6</f>
        <v>0.8129907059</v>
      </c>
      <c r="L6" s="41">
        <f t="shared" si="4"/>
        <v>0.4842598794</v>
      </c>
      <c r="M6" s="42">
        <v>0.4</v>
      </c>
      <c r="N6" s="43">
        <f t="shared" si="5"/>
        <v>0.08425987944</v>
      </c>
      <c r="O6" s="44">
        <f t="shared" si="6"/>
        <v>286.7394606</v>
      </c>
      <c r="P6" s="38">
        <v>250.0</v>
      </c>
      <c r="Q6" s="45">
        <f t="shared" si="7"/>
        <v>36.73946058</v>
      </c>
      <c r="R6" s="21"/>
    </row>
    <row r="7">
      <c r="A7" s="31" t="s">
        <v>14</v>
      </c>
      <c r="B7" s="46">
        <f>'Recompra - 12'!B4+'Compra - 12'!B4</f>
        <v>1908</v>
      </c>
      <c r="C7" s="47">
        <f>'Recompra - 12'!C4+'Compra - 12'!C4</f>
        <v>6061</v>
      </c>
      <c r="D7" s="48">
        <f t="shared" si="1"/>
        <v>-4153</v>
      </c>
      <c r="E7" s="49">
        <f>'Recompra - 12'!E4+'Compra - 12'!E4</f>
        <v>1131</v>
      </c>
      <c r="F7" s="50">
        <f>'Recompra - 12'!F4+'Compra - 12'!F4</f>
        <v>2616.1</v>
      </c>
      <c r="G7" s="51">
        <f t="shared" si="8"/>
        <v>-1485.1</v>
      </c>
      <c r="H7" s="37">
        <v>287241.46</v>
      </c>
      <c r="I7" s="38">
        <v>510000.0</v>
      </c>
      <c r="J7" s="52">
        <f t="shared" si="3"/>
        <v>-222758.54</v>
      </c>
      <c r="K7" s="40">
        <f t="shared" si="9"/>
        <v>0.563218549</v>
      </c>
      <c r="L7" s="53">
        <f t="shared" si="4"/>
        <v>0.5927672956</v>
      </c>
      <c r="M7" s="54">
        <v>0.4</v>
      </c>
      <c r="N7" s="55">
        <f t="shared" si="5"/>
        <v>0.1927672956</v>
      </c>
      <c r="O7" s="56">
        <f t="shared" si="6"/>
        <v>253.971229</v>
      </c>
      <c r="P7" s="57">
        <v>250.0</v>
      </c>
      <c r="Q7" s="58">
        <f t="shared" si="7"/>
        <v>3.971229001</v>
      </c>
      <c r="R7" s="21"/>
    </row>
    <row r="18">
      <c r="A18" s="59"/>
      <c r="B18" s="59"/>
      <c r="C18" s="59"/>
      <c r="D18" s="59"/>
      <c r="E18" s="59"/>
      <c r="F18" s="59"/>
      <c r="G18" s="59"/>
      <c r="H18" s="59"/>
      <c r="I18" s="59"/>
    </row>
    <row r="19">
      <c r="A19" s="59"/>
      <c r="B19" s="59"/>
      <c r="C19" s="59"/>
      <c r="D19" s="59"/>
      <c r="E19" s="59"/>
      <c r="F19" s="59"/>
      <c r="G19" s="59"/>
      <c r="H19" s="59"/>
      <c r="I19" s="59"/>
    </row>
    <row r="20">
      <c r="A20" s="59"/>
      <c r="B20" s="59"/>
      <c r="C20" s="59"/>
      <c r="D20" s="59"/>
      <c r="E20" s="59"/>
      <c r="F20" s="59"/>
      <c r="G20" s="59"/>
      <c r="H20" s="59"/>
      <c r="I20" s="59"/>
    </row>
    <row r="21">
      <c r="A21" s="59"/>
      <c r="B21" s="59"/>
      <c r="C21" s="59"/>
      <c r="D21" s="59"/>
      <c r="E21" s="59"/>
      <c r="F21" s="59"/>
      <c r="G21" s="59"/>
      <c r="H21" s="59"/>
      <c r="I21" s="59"/>
    </row>
    <row r="22">
      <c r="A22" s="59"/>
      <c r="B22" s="59"/>
      <c r="C22" s="59"/>
      <c r="D22" s="59"/>
      <c r="E22" s="59"/>
      <c r="F22" s="59"/>
      <c r="G22" s="59"/>
      <c r="H22" s="59"/>
      <c r="I22" s="59"/>
    </row>
    <row r="23">
      <c r="A23" s="59"/>
      <c r="B23" s="59"/>
      <c r="C23" s="59"/>
      <c r="D23" s="59"/>
      <c r="E23" s="59"/>
      <c r="F23" s="59"/>
      <c r="G23" s="59"/>
      <c r="H23" s="59"/>
      <c r="I23" s="59"/>
    </row>
    <row r="24">
      <c r="A24" s="59"/>
      <c r="B24" s="59"/>
      <c r="C24" s="59"/>
      <c r="D24" s="59"/>
      <c r="E24" s="59"/>
      <c r="F24" s="59"/>
      <c r="G24" s="59"/>
      <c r="H24" s="59"/>
      <c r="I24" s="59"/>
    </row>
    <row r="25">
      <c r="A25" s="59"/>
      <c r="B25" s="59"/>
      <c r="C25" s="59"/>
      <c r="D25" s="59"/>
      <c r="E25" s="59"/>
      <c r="F25" s="59"/>
      <c r="G25" s="59"/>
      <c r="H25" s="59"/>
      <c r="I25" s="59"/>
    </row>
    <row r="26">
      <c r="A26" s="59"/>
      <c r="B26" s="59"/>
      <c r="C26" s="59"/>
      <c r="D26" s="59"/>
      <c r="E26" s="59"/>
      <c r="F26" s="59"/>
      <c r="G26" s="59"/>
      <c r="H26" s="59"/>
      <c r="I26" s="59"/>
    </row>
    <row r="27">
      <c r="A27" s="59"/>
      <c r="B27" s="59"/>
      <c r="C27" s="59"/>
      <c r="D27" s="59"/>
      <c r="E27" s="59"/>
      <c r="F27" s="59"/>
      <c r="G27" s="59"/>
      <c r="H27" s="59"/>
      <c r="I27" s="59"/>
    </row>
    <row r="28">
      <c r="A28" s="59"/>
      <c r="B28" s="59"/>
      <c r="C28" s="59"/>
      <c r="D28" s="59"/>
      <c r="E28" s="59"/>
      <c r="F28" s="59"/>
      <c r="G28" s="59"/>
      <c r="H28" s="59"/>
      <c r="I28" s="59"/>
    </row>
    <row r="29">
      <c r="A29" s="59"/>
      <c r="B29" s="59"/>
      <c r="C29" s="59"/>
      <c r="D29" s="59"/>
      <c r="E29" s="59"/>
      <c r="F29" s="59"/>
      <c r="G29" s="59"/>
      <c r="H29" s="59"/>
      <c r="I29" s="59"/>
    </row>
    <row r="30">
      <c r="A30" s="59"/>
      <c r="B30" s="59"/>
      <c r="C30" s="59"/>
      <c r="D30" s="59"/>
      <c r="E30" s="59"/>
      <c r="F30" s="59"/>
      <c r="G30" s="59"/>
      <c r="H30" s="59"/>
      <c r="I30" s="59"/>
    </row>
    <row r="31">
      <c r="A31" s="59"/>
      <c r="B31" s="59"/>
      <c r="C31" s="59"/>
      <c r="D31" s="59"/>
      <c r="E31" s="59"/>
      <c r="F31" s="59"/>
      <c r="G31" s="59"/>
      <c r="H31" s="59"/>
      <c r="I31" s="59"/>
    </row>
    <row r="32">
      <c r="A32" s="59"/>
      <c r="B32" s="59"/>
      <c r="C32" s="59"/>
      <c r="D32" s="59"/>
      <c r="E32" s="59"/>
      <c r="F32" s="59"/>
      <c r="G32" s="59"/>
      <c r="H32" s="59"/>
      <c r="I32" s="59"/>
    </row>
    <row r="33">
      <c r="A33" s="59"/>
      <c r="B33" s="59"/>
      <c r="C33" s="59"/>
      <c r="D33" s="59"/>
      <c r="E33" s="59"/>
      <c r="F33" s="59"/>
      <c r="G33" s="59"/>
      <c r="H33" s="59"/>
      <c r="I33" s="59"/>
    </row>
    <row r="34">
      <c r="A34" s="59"/>
      <c r="B34" s="59"/>
      <c r="C34" s="59"/>
      <c r="D34" s="59"/>
      <c r="E34" s="59"/>
      <c r="F34" s="59"/>
      <c r="G34" s="59"/>
      <c r="H34" s="59"/>
      <c r="I34" s="59"/>
    </row>
    <row r="35">
      <c r="A35" s="59"/>
      <c r="B35" s="59"/>
      <c r="C35" s="59"/>
      <c r="D35" s="59"/>
      <c r="E35" s="59"/>
      <c r="F35" s="59"/>
      <c r="G35" s="59"/>
      <c r="H35" s="59"/>
      <c r="I35" s="59"/>
    </row>
    <row r="36">
      <c r="A36" s="59"/>
      <c r="B36" s="59"/>
      <c r="C36" s="59"/>
      <c r="D36" s="59"/>
      <c r="E36" s="59"/>
      <c r="F36" s="59"/>
      <c r="G36" s="59"/>
      <c r="H36" s="59"/>
      <c r="I36" s="59"/>
    </row>
    <row r="37">
      <c r="A37" s="59"/>
      <c r="B37" s="59"/>
      <c r="C37" s="59"/>
      <c r="D37" s="59"/>
      <c r="E37" s="59"/>
      <c r="F37" s="59"/>
      <c r="G37" s="59"/>
      <c r="H37" s="59"/>
      <c r="I37" s="59"/>
    </row>
    <row r="38">
      <c r="A38" s="59"/>
      <c r="B38" s="59"/>
      <c r="C38" s="59"/>
      <c r="D38" s="59"/>
      <c r="E38" s="59"/>
      <c r="F38" s="59"/>
      <c r="G38" s="59"/>
      <c r="H38" s="59"/>
      <c r="I38" s="59"/>
    </row>
    <row r="39">
      <c r="A39" s="59"/>
      <c r="B39" s="59"/>
      <c r="C39" s="59"/>
      <c r="D39" s="59"/>
      <c r="E39" s="59"/>
      <c r="F39" s="59"/>
      <c r="G39" s="59"/>
      <c r="H39" s="59"/>
      <c r="I39" s="59"/>
    </row>
    <row r="40">
      <c r="A40" s="59"/>
      <c r="B40" s="59"/>
      <c r="C40" s="59"/>
      <c r="D40" s="59"/>
      <c r="E40" s="59"/>
      <c r="F40" s="59"/>
      <c r="G40" s="59"/>
      <c r="H40" s="59"/>
      <c r="I40" s="59"/>
    </row>
    <row r="41">
      <c r="A41" s="59"/>
      <c r="B41" s="59"/>
      <c r="C41" s="59"/>
      <c r="D41" s="59"/>
      <c r="E41" s="59"/>
      <c r="F41" s="59"/>
      <c r="G41" s="59"/>
      <c r="H41" s="59"/>
      <c r="I41" s="59"/>
    </row>
    <row r="42">
      <c r="A42" s="59"/>
      <c r="B42" s="59"/>
      <c r="C42" s="59"/>
      <c r="D42" s="59"/>
      <c r="E42" s="59"/>
      <c r="F42" s="59"/>
      <c r="G42" s="59"/>
      <c r="H42" s="59"/>
      <c r="I42" s="59"/>
    </row>
    <row r="43">
      <c r="A43" s="59"/>
      <c r="B43" s="59"/>
      <c r="C43" s="59"/>
      <c r="D43" s="59"/>
      <c r="E43" s="59"/>
      <c r="F43" s="59"/>
      <c r="G43" s="59"/>
      <c r="H43" s="59"/>
      <c r="I43" s="59"/>
    </row>
    <row r="44">
      <c r="A44" s="59"/>
      <c r="B44" s="59"/>
      <c r="C44" s="59"/>
      <c r="D44" s="59"/>
      <c r="E44" s="59"/>
      <c r="F44" s="59"/>
      <c r="G44" s="59"/>
      <c r="H44" s="59"/>
      <c r="I44" s="59"/>
    </row>
    <row r="45">
      <c r="A45" s="59"/>
      <c r="B45" s="59"/>
      <c r="C45" s="59"/>
      <c r="D45" s="59"/>
      <c r="E45" s="59"/>
      <c r="F45" s="59"/>
      <c r="G45" s="59"/>
      <c r="H45" s="59"/>
      <c r="I45" s="59"/>
    </row>
    <row r="46">
      <c r="A46" s="59"/>
      <c r="B46" s="59"/>
      <c r="C46" s="59"/>
      <c r="D46" s="59"/>
      <c r="E46" s="59"/>
      <c r="F46" s="59"/>
      <c r="G46" s="59"/>
      <c r="H46" s="59"/>
      <c r="I46" s="59"/>
    </row>
    <row r="47">
      <c r="A47" s="59"/>
      <c r="B47" s="59"/>
      <c r="C47" s="59"/>
      <c r="D47" s="59"/>
      <c r="E47" s="59"/>
      <c r="F47" s="59"/>
      <c r="G47" s="59"/>
      <c r="H47" s="59"/>
      <c r="I47" s="59"/>
    </row>
    <row r="48">
      <c r="A48" s="59"/>
      <c r="B48" s="59"/>
      <c r="C48" s="59"/>
      <c r="D48" s="59"/>
      <c r="E48" s="59"/>
      <c r="F48" s="59"/>
      <c r="G48" s="59"/>
      <c r="H48" s="59"/>
      <c r="I48" s="59"/>
    </row>
    <row r="49">
      <c r="A49" s="59"/>
      <c r="B49" s="59"/>
      <c r="C49" s="59"/>
      <c r="D49" s="59"/>
      <c r="E49" s="59"/>
      <c r="F49" s="59"/>
      <c r="G49" s="59"/>
      <c r="H49" s="59"/>
      <c r="I49" s="59"/>
    </row>
    <row r="50">
      <c r="A50" s="59"/>
      <c r="B50" s="59"/>
      <c r="C50" s="59"/>
      <c r="D50" s="59"/>
      <c r="E50" s="59"/>
      <c r="F50" s="59"/>
      <c r="G50" s="59"/>
      <c r="H50" s="59"/>
      <c r="I50" s="59"/>
    </row>
    <row r="51">
      <c r="A51" s="59"/>
      <c r="B51" s="59"/>
      <c r="C51" s="59"/>
      <c r="D51" s="59"/>
      <c r="E51" s="59"/>
      <c r="F51" s="59"/>
      <c r="G51" s="59"/>
      <c r="H51" s="59"/>
      <c r="I51" s="59"/>
    </row>
    <row r="52">
      <c r="A52" s="59"/>
      <c r="B52" s="59"/>
      <c r="C52" s="59"/>
      <c r="D52" s="59"/>
      <c r="E52" s="59"/>
      <c r="F52" s="59"/>
      <c r="G52" s="59"/>
      <c r="H52" s="59"/>
      <c r="I52" s="59"/>
    </row>
    <row r="53">
      <c r="A53" s="59"/>
      <c r="B53" s="59"/>
      <c r="C53" s="59"/>
      <c r="D53" s="59"/>
      <c r="E53" s="59"/>
      <c r="F53" s="59"/>
      <c r="G53" s="59"/>
      <c r="H53" s="59"/>
      <c r="I53" s="59"/>
    </row>
    <row r="54">
      <c r="A54" s="59"/>
      <c r="B54" s="59"/>
      <c r="C54" s="59"/>
      <c r="D54" s="59"/>
      <c r="E54" s="59"/>
      <c r="F54" s="59"/>
      <c r="G54" s="59"/>
      <c r="H54" s="59"/>
      <c r="I54" s="59"/>
    </row>
    <row r="55">
      <c r="A55" s="59"/>
      <c r="B55" s="59"/>
      <c r="C55" s="59"/>
      <c r="D55" s="59"/>
      <c r="E55" s="59"/>
      <c r="F55" s="59"/>
      <c r="G55" s="59"/>
      <c r="H55" s="59"/>
      <c r="I55" s="59"/>
    </row>
    <row r="56">
      <c r="A56" s="59"/>
      <c r="B56" s="59"/>
      <c r="C56" s="59"/>
      <c r="D56" s="59"/>
      <c r="E56" s="59"/>
      <c r="F56" s="59"/>
      <c r="G56" s="59"/>
      <c r="H56" s="59"/>
      <c r="I56" s="59"/>
    </row>
    <row r="57">
      <c r="A57" s="59"/>
      <c r="B57" s="59"/>
      <c r="C57" s="59"/>
      <c r="D57" s="59"/>
      <c r="E57" s="59"/>
      <c r="F57" s="59"/>
      <c r="G57" s="59"/>
      <c r="H57" s="59"/>
      <c r="I57" s="59"/>
    </row>
    <row r="58">
      <c r="A58" s="59"/>
      <c r="B58" s="59"/>
      <c r="C58" s="59"/>
      <c r="D58" s="59"/>
      <c r="E58" s="59"/>
      <c r="F58" s="59"/>
      <c r="G58" s="59"/>
      <c r="H58" s="59"/>
      <c r="I58" s="59"/>
    </row>
    <row r="59">
      <c r="A59" s="59"/>
      <c r="B59" s="59"/>
      <c r="C59" s="59"/>
      <c r="D59" s="59"/>
      <c r="E59" s="59"/>
      <c r="F59" s="59"/>
      <c r="G59" s="59"/>
      <c r="H59" s="59"/>
      <c r="I59" s="59"/>
    </row>
    <row r="60">
      <c r="A60" s="59"/>
      <c r="B60" s="59"/>
      <c r="C60" s="59"/>
      <c r="D60" s="59"/>
      <c r="E60" s="59"/>
      <c r="F60" s="59"/>
      <c r="G60" s="59"/>
      <c r="H60" s="59"/>
      <c r="I60" s="59"/>
    </row>
    <row r="61">
      <c r="A61" s="59"/>
      <c r="B61" s="59"/>
      <c r="C61" s="59"/>
      <c r="D61" s="59"/>
      <c r="E61" s="59"/>
      <c r="F61" s="59"/>
      <c r="G61" s="59"/>
    </row>
  </sheetData>
  <mergeCells count="5">
    <mergeCell ref="B1:D1"/>
    <mergeCell ref="E1:G1"/>
    <mergeCell ref="H1:K1"/>
    <mergeCell ref="L1:N1"/>
    <mergeCell ref="O1:Q1"/>
  </mergeCells>
  <conditionalFormatting sqref="G3:G8">
    <cfRule type="cellIs" dxfId="4" priority="1" operator="greaterThan">
      <formula>0</formula>
    </cfRule>
  </conditionalFormatting>
  <conditionalFormatting sqref="J3:K7">
    <cfRule type="cellIs" dxfId="5" priority="2" operator="lessThan">
      <formula>I3:I101</formula>
    </cfRule>
  </conditionalFormatting>
  <conditionalFormatting sqref="J3:K7">
    <cfRule type="cellIs" dxfId="4" priority="3" operator="greaterThan">
      <formula>I3:I101</formula>
    </cfRule>
  </conditionalFormatting>
  <conditionalFormatting sqref="N4:N7">
    <cfRule type="cellIs" dxfId="6" priority="4" operator="lessThan">
      <formula>0</formula>
    </cfRule>
  </conditionalFormatting>
  <conditionalFormatting sqref="N4:N7">
    <cfRule type="cellIs" dxfId="4" priority="5" operator="greaterThan">
      <formula>0</formula>
    </cfRule>
  </conditionalFormatting>
  <conditionalFormatting sqref="N4:N7">
    <cfRule type="notContainsBlanks" dxfId="7" priority="6">
      <formula>LEN(TRIM(N4))&gt;0</formula>
    </cfRule>
  </conditionalFormatting>
  <conditionalFormatting sqref="Q4:R7">
    <cfRule type="cellIs" dxfId="5" priority="7" operator="lessThan">
      <formula>0</formula>
    </cfRule>
  </conditionalFormatting>
  <conditionalFormatting sqref="Q4:R7">
    <cfRule type="cellIs" dxfId="4" priority="8" operator="greaterThan">
      <formula>0</formula>
    </cfRule>
  </conditionalFormatting>
  <conditionalFormatting sqref="D4:D7">
    <cfRule type="cellIs" dxfId="8" priority="9" operator="greaterThan">
      <formula>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7.13"/>
    <col customWidth="1" min="4" max="4" width="13.13"/>
    <col customWidth="1" min="5" max="5" width="10.25"/>
    <col customWidth="1" min="6" max="7" width="13.13"/>
  </cols>
  <sheetData>
    <row r="1">
      <c r="A1" s="60"/>
      <c r="B1" s="60"/>
      <c r="C1" s="61" t="s">
        <v>15</v>
      </c>
      <c r="D1" s="62"/>
      <c r="E1" s="63"/>
      <c r="F1" s="60"/>
      <c r="G1" s="60"/>
    </row>
    <row r="2">
      <c r="A2" s="60"/>
      <c r="B2" s="60"/>
      <c r="C2" s="64">
        <v>510000.0</v>
      </c>
      <c r="D2" s="65">
        <v>24150.0</v>
      </c>
      <c r="E2" s="66">
        <v>8000.0</v>
      </c>
      <c r="F2" s="60"/>
      <c r="G2" s="60"/>
    </row>
    <row r="3">
      <c r="A3" s="60"/>
      <c r="B3" s="60"/>
      <c r="C3" s="60"/>
      <c r="D3" s="60"/>
      <c r="E3" s="60"/>
      <c r="F3" s="60"/>
      <c r="G3" s="60"/>
    </row>
    <row r="4">
      <c r="A4" s="67" t="s">
        <v>16</v>
      </c>
      <c r="B4" s="67" t="s">
        <v>17</v>
      </c>
      <c r="C4" s="67" t="s">
        <v>18</v>
      </c>
      <c r="D4" s="68" t="s">
        <v>19</v>
      </c>
      <c r="E4" s="67" t="s">
        <v>20</v>
      </c>
      <c r="F4" s="67" t="s">
        <v>21</v>
      </c>
      <c r="G4" s="67" t="s">
        <v>22</v>
      </c>
    </row>
    <row r="5">
      <c r="A5" s="69">
        <v>45992.0</v>
      </c>
      <c r="B5" s="70" t="s">
        <v>23</v>
      </c>
      <c r="C5" s="71">
        <v>19973.4</v>
      </c>
      <c r="D5" s="70">
        <v>82.0</v>
      </c>
      <c r="E5" s="72">
        <f t="shared" ref="E5:E10" si="1">C5/D5</f>
        <v>243.5780488</v>
      </c>
      <c r="F5" s="72">
        <f>C5-D2</f>
        <v>-4176.6</v>
      </c>
      <c r="G5" s="72">
        <f>F5</f>
        <v>-4176.6</v>
      </c>
    </row>
    <row r="6">
      <c r="A6" s="69">
        <v>45993.0</v>
      </c>
      <c r="B6" s="70" t="s">
        <v>24</v>
      </c>
      <c r="C6" s="71">
        <v>24491.75</v>
      </c>
      <c r="D6" s="70">
        <v>85.0</v>
      </c>
      <c r="E6" s="72">
        <f t="shared" si="1"/>
        <v>288.1382353</v>
      </c>
      <c r="F6" s="72">
        <f>C6-D2</f>
        <v>341.75</v>
      </c>
      <c r="G6" s="72">
        <f t="shared" ref="G6:G29" si="2">F6+G5</f>
        <v>-3834.85</v>
      </c>
    </row>
    <row r="7">
      <c r="A7" s="69">
        <v>45994.0</v>
      </c>
      <c r="B7" s="70" t="s">
        <v>25</v>
      </c>
      <c r="C7" s="71">
        <v>13334.3</v>
      </c>
      <c r="D7" s="70">
        <v>66.0</v>
      </c>
      <c r="E7" s="72">
        <f t="shared" si="1"/>
        <v>202.0348485</v>
      </c>
      <c r="F7" s="72">
        <f>C7-D2</f>
        <v>-10815.7</v>
      </c>
      <c r="G7" s="72">
        <f t="shared" si="2"/>
        <v>-14650.55</v>
      </c>
    </row>
    <row r="8">
      <c r="A8" s="69">
        <v>45995.0</v>
      </c>
      <c r="B8" s="70" t="s">
        <v>26</v>
      </c>
      <c r="C8" s="71">
        <v>13138.01</v>
      </c>
      <c r="D8" s="70">
        <v>63.0</v>
      </c>
      <c r="E8" s="72">
        <f t="shared" si="1"/>
        <v>208.5398413</v>
      </c>
      <c r="F8" s="72">
        <f>C8-D2</f>
        <v>-11011.99</v>
      </c>
      <c r="G8" s="72">
        <f t="shared" si="2"/>
        <v>-25662.54</v>
      </c>
    </row>
    <row r="9">
      <c r="A9" s="69">
        <v>45996.0</v>
      </c>
      <c r="B9" s="70" t="s">
        <v>27</v>
      </c>
      <c r="C9" s="71">
        <v>18642.39</v>
      </c>
      <c r="D9" s="70">
        <v>78.0</v>
      </c>
      <c r="E9" s="72">
        <f t="shared" si="1"/>
        <v>239.005</v>
      </c>
      <c r="F9" s="72">
        <f>C9-D2</f>
        <v>-5507.61</v>
      </c>
      <c r="G9" s="72">
        <f t="shared" si="2"/>
        <v>-31170.15</v>
      </c>
    </row>
    <row r="10">
      <c r="A10" s="69">
        <v>45997.0</v>
      </c>
      <c r="B10" s="70" t="s">
        <v>28</v>
      </c>
      <c r="C10" s="71">
        <v>4916.29</v>
      </c>
      <c r="D10" s="70">
        <v>30.0</v>
      </c>
      <c r="E10" s="72">
        <f t="shared" si="1"/>
        <v>163.8763333</v>
      </c>
      <c r="F10" s="72">
        <f>C10-E2</f>
        <v>-3083.71</v>
      </c>
      <c r="G10" s="72">
        <f t="shared" si="2"/>
        <v>-34253.86</v>
      </c>
    </row>
    <row r="11">
      <c r="A11" s="69">
        <v>45998.0</v>
      </c>
      <c r="B11" s="70" t="s">
        <v>29</v>
      </c>
      <c r="C11" s="72"/>
      <c r="D11" s="73"/>
      <c r="E11" s="72"/>
      <c r="F11" s="72"/>
      <c r="G11" s="72">
        <f t="shared" si="2"/>
        <v>-34253.86</v>
      </c>
    </row>
    <row r="12">
      <c r="A12" s="69">
        <v>45999.0</v>
      </c>
      <c r="B12" s="70" t="s">
        <v>23</v>
      </c>
      <c r="C12" s="71">
        <v>18033.93</v>
      </c>
      <c r="D12" s="70">
        <v>79.0</v>
      </c>
      <c r="E12" s="72">
        <f t="shared" ref="E12:E17" si="3">C12/D12</f>
        <v>228.2775949</v>
      </c>
      <c r="F12" s="72">
        <f>C12-D2</f>
        <v>-6116.07</v>
      </c>
      <c r="G12" s="72">
        <f t="shared" si="2"/>
        <v>-40369.93</v>
      </c>
    </row>
    <row r="13">
      <c r="A13" s="69">
        <v>46000.0</v>
      </c>
      <c r="B13" s="70" t="s">
        <v>24</v>
      </c>
      <c r="C13" s="71">
        <v>18356.73</v>
      </c>
      <c r="D13" s="70">
        <v>76.0</v>
      </c>
      <c r="E13" s="72">
        <f t="shared" si="3"/>
        <v>241.5359211</v>
      </c>
      <c r="F13" s="72">
        <f>C13-D2</f>
        <v>-5793.27</v>
      </c>
      <c r="G13" s="72">
        <f t="shared" si="2"/>
        <v>-46163.2</v>
      </c>
    </row>
    <row r="14">
      <c r="A14" s="69">
        <v>46001.0</v>
      </c>
      <c r="B14" s="70" t="s">
        <v>25</v>
      </c>
      <c r="C14" s="71">
        <v>20158.71</v>
      </c>
      <c r="D14" s="70">
        <v>84.0</v>
      </c>
      <c r="E14" s="72">
        <f t="shared" si="3"/>
        <v>239.9846429</v>
      </c>
      <c r="F14" s="72">
        <f>C14-D2</f>
        <v>-3991.29</v>
      </c>
      <c r="G14" s="72">
        <f t="shared" si="2"/>
        <v>-50154.49</v>
      </c>
    </row>
    <row r="15">
      <c r="A15" s="69">
        <v>46002.0</v>
      </c>
      <c r="B15" s="70" t="s">
        <v>26</v>
      </c>
      <c r="C15" s="71">
        <v>16635.79</v>
      </c>
      <c r="D15" s="70">
        <v>86.0</v>
      </c>
      <c r="E15" s="72">
        <f t="shared" si="3"/>
        <v>193.4394186</v>
      </c>
      <c r="F15" s="72">
        <f>C15-D2</f>
        <v>-7514.21</v>
      </c>
      <c r="G15" s="72">
        <f t="shared" si="2"/>
        <v>-57668.7</v>
      </c>
    </row>
    <row r="16">
      <c r="A16" s="69">
        <v>46003.0</v>
      </c>
      <c r="B16" s="70" t="s">
        <v>27</v>
      </c>
      <c r="C16" s="71">
        <v>15007.88</v>
      </c>
      <c r="D16" s="70">
        <v>70.0</v>
      </c>
      <c r="E16" s="72">
        <f t="shared" si="3"/>
        <v>214.3982857</v>
      </c>
      <c r="F16" s="72">
        <f>C16-D2</f>
        <v>-9142.12</v>
      </c>
      <c r="G16" s="72">
        <f t="shared" si="2"/>
        <v>-66810.82</v>
      </c>
    </row>
    <row r="17">
      <c r="A17" s="69">
        <v>46004.0</v>
      </c>
      <c r="B17" s="70" t="s">
        <v>28</v>
      </c>
      <c r="C17" s="71">
        <v>5586.66</v>
      </c>
      <c r="D17" s="70">
        <v>25.0</v>
      </c>
      <c r="E17" s="72">
        <f t="shared" si="3"/>
        <v>223.4664</v>
      </c>
      <c r="F17" s="72">
        <f>C17-E2</f>
        <v>-2413.34</v>
      </c>
      <c r="G17" s="72">
        <f t="shared" si="2"/>
        <v>-69224.16</v>
      </c>
    </row>
    <row r="18">
      <c r="A18" s="69">
        <v>46005.0</v>
      </c>
      <c r="B18" s="70" t="s">
        <v>29</v>
      </c>
      <c r="C18" s="72"/>
      <c r="D18" s="73"/>
      <c r="E18" s="72"/>
      <c r="F18" s="71"/>
      <c r="G18" s="72">
        <f t="shared" si="2"/>
        <v>-69224.16</v>
      </c>
    </row>
    <row r="19">
      <c r="A19" s="69">
        <v>46006.0</v>
      </c>
      <c r="B19" s="70" t="s">
        <v>23</v>
      </c>
      <c r="C19" s="71">
        <v>16104.86</v>
      </c>
      <c r="D19" s="70">
        <v>80.0</v>
      </c>
      <c r="E19" s="72">
        <f t="shared" ref="E19:E24" si="4">C19/D19</f>
        <v>201.31075</v>
      </c>
      <c r="F19" s="72">
        <f>C19-D2</f>
        <v>-8045.14</v>
      </c>
      <c r="G19" s="72">
        <f t="shared" si="2"/>
        <v>-77269.3</v>
      </c>
    </row>
    <row r="20">
      <c r="A20" s="69">
        <v>46007.0</v>
      </c>
      <c r="B20" s="70" t="s">
        <v>24</v>
      </c>
      <c r="C20" s="71">
        <v>18870.71</v>
      </c>
      <c r="D20" s="70">
        <v>77.0</v>
      </c>
      <c r="E20" s="72">
        <f t="shared" si="4"/>
        <v>245.0741558</v>
      </c>
      <c r="F20" s="72">
        <f>C20-D2</f>
        <v>-5279.29</v>
      </c>
      <c r="G20" s="72">
        <f t="shared" si="2"/>
        <v>-82548.59</v>
      </c>
    </row>
    <row r="21">
      <c r="A21" s="69">
        <v>46008.0</v>
      </c>
      <c r="B21" s="70" t="s">
        <v>25</v>
      </c>
      <c r="C21" s="71">
        <v>15490.14</v>
      </c>
      <c r="D21" s="70">
        <v>59.0</v>
      </c>
      <c r="E21" s="72">
        <f t="shared" si="4"/>
        <v>262.5447458</v>
      </c>
      <c r="F21" s="72">
        <f>C21-D2</f>
        <v>-8659.86</v>
      </c>
      <c r="G21" s="72">
        <f t="shared" si="2"/>
        <v>-91208.45</v>
      </c>
    </row>
    <row r="22">
      <c r="A22" s="69">
        <v>46009.0</v>
      </c>
      <c r="B22" s="70" t="s">
        <v>26</v>
      </c>
      <c r="C22" s="71">
        <v>15554.44</v>
      </c>
      <c r="D22" s="70">
        <v>66.0</v>
      </c>
      <c r="E22" s="72">
        <f t="shared" si="4"/>
        <v>235.6733333</v>
      </c>
      <c r="F22" s="72">
        <f>C22-D2</f>
        <v>-8595.56</v>
      </c>
      <c r="G22" s="72">
        <f t="shared" si="2"/>
        <v>-99804.01</v>
      </c>
    </row>
    <row r="23">
      <c r="A23" s="69">
        <v>46010.0</v>
      </c>
      <c r="B23" s="70" t="s">
        <v>27</v>
      </c>
      <c r="C23" s="71">
        <v>9613.42</v>
      </c>
      <c r="D23" s="70">
        <v>50.0</v>
      </c>
      <c r="E23" s="72">
        <f t="shared" si="4"/>
        <v>192.2684</v>
      </c>
      <c r="F23" s="72">
        <f>C23-D2</f>
        <v>-14536.58</v>
      </c>
      <c r="G23" s="72">
        <f t="shared" si="2"/>
        <v>-114340.59</v>
      </c>
    </row>
    <row r="24">
      <c r="A24" s="69">
        <v>46011.0</v>
      </c>
      <c r="B24" s="70" t="s">
        <v>28</v>
      </c>
      <c r="C24" s="71">
        <v>5251.1</v>
      </c>
      <c r="D24" s="70">
        <v>24.0</v>
      </c>
      <c r="E24" s="72">
        <f t="shared" si="4"/>
        <v>218.7958333</v>
      </c>
      <c r="F24" s="72">
        <f>C24-E2</f>
        <v>-2748.9</v>
      </c>
      <c r="G24" s="72">
        <f t="shared" si="2"/>
        <v>-117089.49</v>
      </c>
    </row>
    <row r="25">
      <c r="A25" s="69">
        <v>46012.0</v>
      </c>
      <c r="B25" s="70" t="s">
        <v>29</v>
      </c>
      <c r="C25" s="72"/>
      <c r="D25" s="73"/>
      <c r="E25" s="72"/>
      <c r="F25" s="72"/>
      <c r="G25" s="72">
        <f t="shared" si="2"/>
        <v>-117089.49</v>
      </c>
    </row>
    <row r="26">
      <c r="A26" s="69">
        <v>46013.0</v>
      </c>
      <c r="B26" s="70" t="s">
        <v>23</v>
      </c>
      <c r="C26" s="71">
        <v>18080.95</v>
      </c>
      <c r="D26" s="70">
        <v>72.0</v>
      </c>
      <c r="E26" s="72">
        <f t="shared" ref="E26:E31" si="5">C26/D26</f>
        <v>251.1243056</v>
      </c>
      <c r="F26" s="72">
        <f>C26-D2</f>
        <v>-6069.05</v>
      </c>
      <c r="G26" s="72">
        <f t="shared" si="2"/>
        <v>-123158.54</v>
      </c>
    </row>
    <row r="27">
      <c r="A27" s="69">
        <v>46014.0</v>
      </c>
      <c r="B27" s="70" t="s">
        <v>24</v>
      </c>
      <c r="C27" s="72"/>
      <c r="D27" s="73"/>
      <c r="E27" s="72" t="str">
        <f t="shared" si="5"/>
        <v>#DIV/0!</v>
      </c>
      <c r="F27" s="72">
        <f>C27-D2</f>
        <v>-24150</v>
      </c>
      <c r="G27" s="72">
        <f t="shared" si="2"/>
        <v>-147308.54</v>
      </c>
    </row>
    <row r="28">
      <c r="A28" s="74">
        <v>46015.0</v>
      </c>
      <c r="B28" s="75" t="s">
        <v>25</v>
      </c>
      <c r="C28" s="76"/>
      <c r="D28" s="77"/>
      <c r="E28" s="76" t="str">
        <f t="shared" si="5"/>
        <v>#DIV/0!</v>
      </c>
      <c r="F28" s="76">
        <f>C28-D2</f>
        <v>-24150</v>
      </c>
      <c r="G28" s="76">
        <f t="shared" si="2"/>
        <v>-171458.54</v>
      </c>
    </row>
    <row r="29">
      <c r="A29" s="78">
        <v>46016.0</v>
      </c>
      <c r="B29" s="79" t="s">
        <v>26</v>
      </c>
      <c r="C29" s="80"/>
      <c r="D29" s="81"/>
      <c r="E29" s="80" t="str">
        <f t="shared" si="5"/>
        <v>#DIV/0!</v>
      </c>
      <c r="F29" s="80"/>
      <c r="G29" s="80">
        <f t="shared" si="2"/>
        <v>-171458.54</v>
      </c>
    </row>
    <row r="30">
      <c r="A30" s="69">
        <v>46017.0</v>
      </c>
      <c r="B30" s="70" t="s">
        <v>27</v>
      </c>
      <c r="C30" s="72"/>
      <c r="D30" s="73"/>
      <c r="E30" s="72" t="str">
        <f t="shared" si="5"/>
        <v>#DIV/0!</v>
      </c>
      <c r="F30" s="72">
        <f>C30-D2</f>
        <v>-24150</v>
      </c>
      <c r="G30" s="72">
        <f>F30+G28</f>
        <v>-195608.54</v>
      </c>
    </row>
    <row r="31">
      <c r="A31" s="69">
        <v>46018.0</v>
      </c>
      <c r="B31" s="70" t="s">
        <v>28</v>
      </c>
      <c r="C31" s="72"/>
      <c r="D31" s="73"/>
      <c r="E31" s="72" t="str">
        <f t="shared" si="5"/>
        <v>#DIV/0!</v>
      </c>
      <c r="F31" s="72">
        <f>C31-E2</f>
        <v>-8000</v>
      </c>
      <c r="G31" s="72">
        <f t="shared" ref="G31:G35" si="6">F31+G30</f>
        <v>-203608.54</v>
      </c>
    </row>
    <row r="32">
      <c r="A32" s="69">
        <v>46019.0</v>
      </c>
      <c r="B32" s="70" t="s">
        <v>29</v>
      </c>
      <c r="C32" s="72"/>
      <c r="D32" s="73"/>
      <c r="E32" s="72"/>
      <c r="F32" s="72"/>
      <c r="G32" s="72">
        <f t="shared" si="6"/>
        <v>-203608.54</v>
      </c>
    </row>
    <row r="33">
      <c r="A33" s="69">
        <v>46020.0</v>
      </c>
      <c r="B33" s="70" t="s">
        <v>23</v>
      </c>
      <c r="C33" s="72"/>
      <c r="D33" s="73"/>
      <c r="E33" s="72" t="str">
        <f t="shared" ref="E33:E35" si="7">C33/D33</f>
        <v>#DIV/0!</v>
      </c>
      <c r="F33" s="72">
        <f>C33-D2</f>
        <v>-24150</v>
      </c>
      <c r="G33" s="72">
        <f t="shared" si="6"/>
        <v>-227758.54</v>
      </c>
    </row>
    <row r="34">
      <c r="A34" s="74">
        <v>46021.0</v>
      </c>
      <c r="B34" s="75" t="s">
        <v>24</v>
      </c>
      <c r="C34" s="76"/>
      <c r="D34" s="77"/>
      <c r="E34" s="76" t="str">
        <f t="shared" si="7"/>
        <v>#DIV/0!</v>
      </c>
      <c r="F34" s="76">
        <f>C34-D2</f>
        <v>-24150</v>
      </c>
      <c r="G34" s="76">
        <f t="shared" si="6"/>
        <v>-251908.54</v>
      </c>
    </row>
    <row r="35">
      <c r="A35" s="78">
        <v>46022.0</v>
      </c>
      <c r="B35" s="79" t="s">
        <v>25</v>
      </c>
      <c r="C35" s="80"/>
      <c r="D35" s="81"/>
      <c r="E35" s="80" t="str">
        <f t="shared" si="7"/>
        <v>#DIV/0!</v>
      </c>
      <c r="F35" s="80"/>
      <c r="G35" s="80">
        <f t="shared" si="6"/>
        <v>-251908.54</v>
      </c>
    </row>
    <row r="36">
      <c r="A36" s="82"/>
      <c r="B36" s="83"/>
      <c r="C36" s="82"/>
      <c r="D36" s="82"/>
      <c r="E36" s="82"/>
      <c r="F36" s="82"/>
      <c r="G36" s="82"/>
    </row>
    <row r="37">
      <c r="A37" s="84" t="s">
        <v>30</v>
      </c>
      <c r="B37" s="84"/>
      <c r="C37" s="85">
        <f t="shared" ref="C37:D37" si="8">SUM(C5:C35)</f>
        <v>287241.46</v>
      </c>
      <c r="D37" s="86">
        <f t="shared" si="8"/>
        <v>1252</v>
      </c>
      <c r="E37" s="85">
        <f>C37/D37</f>
        <v>229.4260863</v>
      </c>
      <c r="F37" s="84"/>
      <c r="G37" s="84"/>
    </row>
    <row r="38">
      <c r="A38" s="87"/>
      <c r="B38" s="87"/>
      <c r="C38" s="88"/>
      <c r="D38" s="89"/>
      <c r="E38" s="87"/>
      <c r="F38" s="87"/>
      <c r="G38" s="87"/>
    </row>
  </sheetData>
  <mergeCells count="1">
    <mergeCell ref="C1:E1"/>
  </mergeCells>
  <conditionalFormatting sqref="F5:G35">
    <cfRule type="cellIs" dxfId="8" priority="1" operator="greaterThan">
      <formula>0</formula>
    </cfRule>
  </conditionalFormatting>
  <conditionalFormatting sqref="F5:G35">
    <cfRule type="cellIs" dxfId="5" priority="2" operator="lessThan">
      <formula>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1"/>
  <cols>
    <col customWidth="1" min="1" max="1" width="14.0"/>
    <col customWidth="1" min="2" max="2" width="9.25"/>
    <col customWidth="1" min="3" max="3" width="4.75"/>
    <col customWidth="1" min="4" max="4" width="5.13"/>
    <col customWidth="1" min="5" max="5" width="9.25"/>
    <col customWidth="1" min="6" max="6" width="4.75"/>
    <col customWidth="1" min="7" max="7" width="4.25"/>
    <col customWidth="1" min="8" max="8" width="13.0"/>
    <col customWidth="1" min="9" max="9" width="11.88"/>
    <col customWidth="1" min="10" max="10" width="11.13"/>
    <col customWidth="1" min="11" max="11" width="12.0"/>
    <col customWidth="1" min="12" max="12" width="4.75"/>
    <col customWidth="1" min="13" max="13" width="6.5"/>
    <col customWidth="1" min="14" max="14" width="11.0"/>
    <col customWidth="1" min="15" max="15" width="6.38"/>
    <col customWidth="1" min="16" max="16" width="8.75"/>
    <col customWidth="1" min="18" max="18" width="16.25"/>
  </cols>
  <sheetData>
    <row r="1">
      <c r="A1" s="5" t="s">
        <v>0</v>
      </c>
      <c r="B1" s="5" t="s">
        <v>1</v>
      </c>
      <c r="E1" s="5" t="s">
        <v>2</v>
      </c>
      <c r="H1" s="5" t="s">
        <v>3</v>
      </c>
      <c r="K1" s="5" t="s">
        <v>4</v>
      </c>
      <c r="N1" s="5" t="s">
        <v>5</v>
      </c>
      <c r="Q1" s="90"/>
      <c r="R1" s="90"/>
      <c r="S1" s="91"/>
      <c r="T1" s="90"/>
      <c r="U1" s="90"/>
      <c r="V1" s="90"/>
      <c r="W1" s="90"/>
      <c r="X1" s="90"/>
      <c r="Y1" s="90"/>
      <c r="Z1" s="90"/>
      <c r="AA1" s="90"/>
      <c r="AB1" s="90"/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92" t="s">
        <v>38</v>
      </c>
      <c r="M2" s="5" t="s">
        <v>39</v>
      </c>
      <c r="N2" s="5" t="s">
        <v>40</v>
      </c>
      <c r="O2" s="93" t="s">
        <v>41</v>
      </c>
      <c r="P2" s="5" t="s">
        <v>42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5">
        <v>2025.0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S3" s="94"/>
    </row>
    <row r="4">
      <c r="A4" s="5" t="s">
        <v>13</v>
      </c>
      <c r="B4" s="17">
        <f>B5+B36+B67+B98</f>
        <v>1647</v>
      </c>
      <c r="C4" s="17">
        <f>C5+C36</f>
        <v>2125</v>
      </c>
      <c r="D4" s="17">
        <f>D5</f>
        <v>-763</v>
      </c>
      <c r="E4" s="17">
        <f>E5+E36+E67+E98</f>
        <v>619</v>
      </c>
      <c r="F4" s="17">
        <f t="shared" ref="F4:G4" si="1">F5</f>
        <v>511.5</v>
      </c>
      <c r="G4" s="17">
        <f t="shared" si="1"/>
        <v>-132</v>
      </c>
      <c r="H4" s="95">
        <f t="shared" ref="H4:I4" si="2">H5+H36+H67+H98</f>
        <v>149212.54</v>
      </c>
      <c r="I4" s="95">
        <f t="shared" si="2"/>
        <v>170000</v>
      </c>
      <c r="J4" s="96">
        <f>J5</f>
        <v>-17438.89</v>
      </c>
      <c r="K4" s="97">
        <f t="shared" ref="K4:K36" si="6">E4/B4</f>
        <v>0.3758348512</v>
      </c>
      <c r="L4" s="98">
        <f>L5</f>
        <v>0.3</v>
      </c>
      <c r="M4" s="97">
        <f t="shared" ref="M4:M5" si="7">K4-L4</f>
        <v>0.07583485124</v>
      </c>
      <c r="N4" s="96">
        <f t="shared" ref="N4:P4" si="3">N5</f>
        <v>297.3815984</v>
      </c>
      <c r="O4" s="99">
        <f t="shared" si="3"/>
        <v>250</v>
      </c>
      <c r="P4" s="96">
        <f t="shared" si="3"/>
        <v>47.38159836</v>
      </c>
    </row>
    <row r="5" collapsed="1">
      <c r="A5" s="100" t="s">
        <v>43</v>
      </c>
      <c r="B5" s="100">
        <f t="shared" ref="B5:E5" si="4">SUM(B6:B35)</f>
        <v>942</v>
      </c>
      <c r="C5" s="100">
        <f t="shared" si="4"/>
        <v>1705</v>
      </c>
      <c r="D5" s="100">
        <f t="shared" si="4"/>
        <v>-763</v>
      </c>
      <c r="E5" s="100">
        <f t="shared" si="4"/>
        <v>244</v>
      </c>
      <c r="F5" s="100">
        <f>C5*30%</f>
        <v>511.5</v>
      </c>
      <c r="G5" s="100">
        <f t="shared" ref="G5:J5" si="5">SUM(G6:G35)</f>
        <v>-132</v>
      </c>
      <c r="H5" s="101">
        <f t="shared" si="5"/>
        <v>72561.11</v>
      </c>
      <c r="I5" s="101">
        <f t="shared" si="5"/>
        <v>90000</v>
      </c>
      <c r="J5" s="102">
        <f t="shared" si="5"/>
        <v>-17438.89</v>
      </c>
      <c r="K5" s="103">
        <f t="shared" si="6"/>
        <v>0.2590233546</v>
      </c>
      <c r="L5" s="103">
        <v>0.3</v>
      </c>
      <c r="M5" s="103">
        <f t="shared" si="7"/>
        <v>-0.04097664544</v>
      </c>
      <c r="N5" s="102">
        <f t="shared" ref="N5:N58" si="8">IFERROR(H5/E5,"")</f>
        <v>297.3815984</v>
      </c>
      <c r="O5" s="104">
        <v>250.0</v>
      </c>
      <c r="P5" s="102">
        <f t="shared" ref="P5:P128" si="9">N5-O5</f>
        <v>47.38159836</v>
      </c>
    </row>
    <row r="6" hidden="1" outlineLevel="1">
      <c r="A6" s="105">
        <v>45962.0</v>
      </c>
      <c r="B6" s="106">
        <v>10.0</v>
      </c>
      <c r="C6" s="107">
        <v>29.0</v>
      </c>
      <c r="D6" s="107">
        <f t="shared" ref="D6:D35" si="10">B6-C6</f>
        <v>-19</v>
      </c>
      <c r="E6" s="106">
        <v>4.0</v>
      </c>
      <c r="F6" s="107">
        <v>9.0</v>
      </c>
      <c r="G6" s="107">
        <f t="shared" ref="G6:G11" si="11">E6-F6</f>
        <v>-5</v>
      </c>
      <c r="H6" s="108">
        <v>1678.81</v>
      </c>
      <c r="I6" s="109">
        <v>0.0</v>
      </c>
      <c r="J6" s="109">
        <f t="shared" ref="J6:J58" si="12">H6-I6</f>
        <v>1678.81</v>
      </c>
      <c r="K6" s="110">
        <f t="shared" si="6"/>
        <v>0.4</v>
      </c>
      <c r="L6" s="111">
        <v>0.3</v>
      </c>
      <c r="M6" s="111">
        <f t="shared" ref="M6:M11" si="13">L6-K6</f>
        <v>-0.1</v>
      </c>
      <c r="N6" s="109">
        <f t="shared" si="8"/>
        <v>419.7025</v>
      </c>
      <c r="O6" s="112">
        <v>250.0</v>
      </c>
      <c r="P6" s="109">
        <f t="shared" si="9"/>
        <v>169.7025</v>
      </c>
      <c r="R6" s="113" t="s">
        <v>44</v>
      </c>
    </row>
    <row r="7" hidden="1" outlineLevel="1">
      <c r="A7" s="105">
        <v>45963.0</v>
      </c>
      <c r="B7" s="106">
        <v>0.0</v>
      </c>
      <c r="C7" s="107">
        <v>0.0</v>
      </c>
      <c r="D7" s="107">
        <f t="shared" si="10"/>
        <v>0</v>
      </c>
      <c r="E7" s="106">
        <v>0.0</v>
      </c>
      <c r="F7" s="107">
        <v>0.0</v>
      </c>
      <c r="G7" s="107">
        <f t="shared" si="11"/>
        <v>0</v>
      </c>
      <c r="H7" s="108">
        <v>0.0</v>
      </c>
      <c r="I7" s="109">
        <v>0.0</v>
      </c>
      <c r="J7" s="109">
        <f t="shared" si="12"/>
        <v>0</v>
      </c>
      <c r="K7" s="110" t="str">
        <f t="shared" si="6"/>
        <v>#DIV/0!</v>
      </c>
      <c r="L7" s="111">
        <v>0.3</v>
      </c>
      <c r="M7" s="114" t="str">
        <f t="shared" si="13"/>
        <v>#DIV/0!</v>
      </c>
      <c r="N7" s="109" t="str">
        <f t="shared" si="8"/>
        <v/>
      </c>
      <c r="O7" s="112">
        <v>250.0</v>
      </c>
      <c r="P7" s="109">
        <f t="shared" si="9"/>
        <v>-250</v>
      </c>
      <c r="R7" s="115" t="s">
        <v>12</v>
      </c>
    </row>
    <row r="8" hidden="1" outlineLevel="1">
      <c r="A8" s="105">
        <v>45964.0</v>
      </c>
      <c r="B8" s="106">
        <v>57.0</v>
      </c>
      <c r="C8" s="107">
        <v>78.0</v>
      </c>
      <c r="D8" s="107">
        <f t="shared" si="10"/>
        <v>-21</v>
      </c>
      <c r="E8" s="106">
        <v>18.0</v>
      </c>
      <c r="F8" s="107">
        <v>17.0</v>
      </c>
      <c r="G8" s="107">
        <f t="shared" si="11"/>
        <v>1</v>
      </c>
      <c r="H8" s="108">
        <v>7938.59</v>
      </c>
      <c r="I8" s="109">
        <v>4500.0</v>
      </c>
      <c r="J8" s="109">
        <f t="shared" si="12"/>
        <v>3438.59</v>
      </c>
      <c r="K8" s="110">
        <f t="shared" si="6"/>
        <v>0.3157894737</v>
      </c>
      <c r="L8" s="111">
        <v>0.3</v>
      </c>
      <c r="M8" s="111">
        <f t="shared" si="13"/>
        <v>-0.01578947368</v>
      </c>
      <c r="N8" s="109">
        <f t="shared" si="8"/>
        <v>441.0327778</v>
      </c>
      <c r="O8" s="112">
        <v>250.0</v>
      </c>
      <c r="P8" s="109">
        <f t="shared" si="9"/>
        <v>191.0327778</v>
      </c>
      <c r="R8" s="113" t="s">
        <v>8</v>
      </c>
      <c r="S8" s="116">
        <v>90000.0</v>
      </c>
    </row>
    <row r="9" hidden="1" outlineLevel="1">
      <c r="A9" s="105">
        <v>45965.0</v>
      </c>
      <c r="B9" s="106">
        <v>57.0</v>
      </c>
      <c r="C9" s="107">
        <v>78.0</v>
      </c>
      <c r="D9" s="107">
        <f t="shared" si="10"/>
        <v>-21</v>
      </c>
      <c r="E9" s="106">
        <v>15.0</v>
      </c>
      <c r="F9" s="107">
        <v>17.0</v>
      </c>
      <c r="G9" s="107">
        <f t="shared" si="11"/>
        <v>-2</v>
      </c>
      <c r="H9" s="108">
        <v>4336.09</v>
      </c>
      <c r="I9" s="109">
        <v>4500.0</v>
      </c>
      <c r="J9" s="109">
        <f t="shared" si="12"/>
        <v>-163.91</v>
      </c>
      <c r="K9" s="110">
        <f t="shared" si="6"/>
        <v>0.2631578947</v>
      </c>
      <c r="L9" s="111">
        <v>0.3</v>
      </c>
      <c r="M9" s="111">
        <f t="shared" si="13"/>
        <v>0.03684210526</v>
      </c>
      <c r="N9" s="109">
        <f t="shared" si="8"/>
        <v>289.0726667</v>
      </c>
      <c r="O9" s="112">
        <v>250.0</v>
      </c>
      <c r="P9" s="109">
        <f t="shared" si="9"/>
        <v>39.07266667</v>
      </c>
      <c r="R9" s="113" t="s">
        <v>45</v>
      </c>
      <c r="S9" s="117">
        <f>S8/30</f>
        <v>3000</v>
      </c>
    </row>
    <row r="10" hidden="1" outlineLevel="1">
      <c r="A10" s="105">
        <v>45966.0</v>
      </c>
      <c r="B10" s="106">
        <v>39.0</v>
      </c>
      <c r="C10" s="107">
        <v>78.0</v>
      </c>
      <c r="D10" s="107">
        <f t="shared" si="10"/>
        <v>-39</v>
      </c>
      <c r="E10" s="106">
        <v>12.0</v>
      </c>
      <c r="F10" s="107">
        <v>17.0</v>
      </c>
      <c r="G10" s="107">
        <f t="shared" si="11"/>
        <v>-5</v>
      </c>
      <c r="H10" s="108">
        <v>2905.36</v>
      </c>
      <c r="I10" s="109">
        <v>4500.0</v>
      </c>
      <c r="J10" s="109">
        <f t="shared" si="12"/>
        <v>-1594.64</v>
      </c>
      <c r="K10" s="110">
        <f t="shared" si="6"/>
        <v>0.3076923077</v>
      </c>
      <c r="L10" s="111">
        <v>0.3</v>
      </c>
      <c r="M10" s="111">
        <f t="shared" si="13"/>
        <v>-0.007692307692</v>
      </c>
      <c r="N10" s="109">
        <f t="shared" si="8"/>
        <v>242.1133333</v>
      </c>
      <c r="O10" s="112">
        <v>250.0</v>
      </c>
      <c r="P10" s="109">
        <f t="shared" si="9"/>
        <v>-7.886666667</v>
      </c>
      <c r="R10" s="113" t="s">
        <v>46</v>
      </c>
      <c r="S10" s="117">
        <f>S8/20</f>
        <v>4500</v>
      </c>
    </row>
    <row r="11" hidden="1" outlineLevel="1">
      <c r="A11" s="105">
        <v>45967.0</v>
      </c>
      <c r="B11" s="106">
        <v>39.0</v>
      </c>
      <c r="C11" s="107">
        <v>78.0</v>
      </c>
      <c r="D11" s="107">
        <f t="shared" si="10"/>
        <v>-39</v>
      </c>
      <c r="E11" s="106">
        <v>15.0</v>
      </c>
      <c r="F11" s="107">
        <v>17.0</v>
      </c>
      <c r="G11" s="107">
        <f t="shared" si="11"/>
        <v>-2</v>
      </c>
      <c r="H11" s="108">
        <v>7649.02</v>
      </c>
      <c r="I11" s="109">
        <v>4500.0</v>
      </c>
      <c r="J11" s="109">
        <f t="shared" si="12"/>
        <v>3149.02</v>
      </c>
      <c r="K11" s="110">
        <f t="shared" si="6"/>
        <v>0.3846153846</v>
      </c>
      <c r="L11" s="111">
        <v>0.3</v>
      </c>
      <c r="M11" s="111">
        <f t="shared" si="13"/>
        <v>-0.08461538462</v>
      </c>
      <c r="N11" s="109">
        <f t="shared" si="8"/>
        <v>509.9346667</v>
      </c>
      <c r="O11" s="112">
        <v>250.0</v>
      </c>
      <c r="P11" s="109">
        <f t="shared" si="9"/>
        <v>259.9346667</v>
      </c>
      <c r="R11" s="113" t="s">
        <v>7</v>
      </c>
      <c r="S11" s="117">
        <f>H5</f>
        <v>72561.11</v>
      </c>
      <c r="T11" s="118">
        <f>S8-S11</f>
        <v>17438.89</v>
      </c>
    </row>
    <row r="12" hidden="1" outlineLevel="1">
      <c r="A12" s="105">
        <v>45968.0</v>
      </c>
      <c r="B12" s="106">
        <v>43.0</v>
      </c>
      <c r="C12" s="107">
        <v>78.0</v>
      </c>
      <c r="D12" s="107">
        <f t="shared" si="10"/>
        <v>-35</v>
      </c>
      <c r="E12" s="106">
        <v>8.0</v>
      </c>
      <c r="F12" s="107">
        <v>17.0</v>
      </c>
      <c r="G12" s="107"/>
      <c r="H12" s="108">
        <v>1900.89</v>
      </c>
      <c r="I12" s="109">
        <v>4500.0</v>
      </c>
      <c r="J12" s="109">
        <f t="shared" si="12"/>
        <v>-2599.11</v>
      </c>
      <c r="K12" s="110">
        <f t="shared" si="6"/>
        <v>0.1860465116</v>
      </c>
      <c r="L12" s="111"/>
      <c r="M12" s="114"/>
      <c r="N12" s="109">
        <f t="shared" si="8"/>
        <v>237.61125</v>
      </c>
      <c r="O12" s="112"/>
      <c r="P12" s="109">
        <f t="shared" si="9"/>
        <v>237.61125</v>
      </c>
      <c r="R12" s="113" t="s">
        <v>47</v>
      </c>
      <c r="S12" s="119">
        <f>S11/S8</f>
        <v>0.8062345556</v>
      </c>
    </row>
    <row r="13" hidden="1" outlineLevel="1">
      <c r="A13" s="105">
        <v>45969.0</v>
      </c>
      <c r="B13" s="106">
        <v>19.0</v>
      </c>
      <c r="C13" s="107">
        <v>29.0</v>
      </c>
      <c r="D13" s="107">
        <f t="shared" si="10"/>
        <v>-10</v>
      </c>
      <c r="E13" s="106">
        <v>2.0</v>
      </c>
      <c r="F13" s="107">
        <v>9.0</v>
      </c>
      <c r="G13" s="107">
        <f t="shared" ref="G13:G35" si="14">E13-F13</f>
        <v>-7</v>
      </c>
      <c r="H13" s="108">
        <v>1415.0</v>
      </c>
      <c r="I13" s="109">
        <v>0.0</v>
      </c>
      <c r="J13" s="109">
        <f t="shared" si="12"/>
        <v>1415</v>
      </c>
      <c r="K13" s="110">
        <f t="shared" si="6"/>
        <v>0.1052631579</v>
      </c>
      <c r="L13" s="111">
        <v>0.3</v>
      </c>
      <c r="M13" s="111">
        <f t="shared" ref="M13:M35" si="15">L13-K13</f>
        <v>0.1947368421</v>
      </c>
      <c r="N13" s="109">
        <f t="shared" si="8"/>
        <v>707.5</v>
      </c>
      <c r="O13" s="112">
        <v>250.0</v>
      </c>
      <c r="P13" s="109">
        <f t="shared" si="9"/>
        <v>457.5</v>
      </c>
      <c r="R13" s="113" t="s">
        <v>48</v>
      </c>
      <c r="S13" s="120">
        <v>1.0</v>
      </c>
    </row>
    <row r="14" hidden="1" outlineLevel="1">
      <c r="A14" s="105">
        <v>45970.0</v>
      </c>
      <c r="B14" s="106">
        <v>0.0</v>
      </c>
      <c r="C14" s="107">
        <v>0.0</v>
      </c>
      <c r="D14" s="107">
        <f t="shared" si="10"/>
        <v>0</v>
      </c>
      <c r="E14" s="106">
        <v>0.0</v>
      </c>
      <c r="F14" s="107">
        <v>0.0</v>
      </c>
      <c r="G14" s="107">
        <f t="shared" si="14"/>
        <v>0</v>
      </c>
      <c r="H14" s="108">
        <v>0.0</v>
      </c>
      <c r="I14" s="109">
        <v>0.0</v>
      </c>
      <c r="J14" s="109">
        <f t="shared" si="12"/>
        <v>0</v>
      </c>
      <c r="K14" s="110" t="str">
        <f t="shared" si="6"/>
        <v>#DIV/0!</v>
      </c>
      <c r="L14" s="111">
        <v>0.3</v>
      </c>
      <c r="M14" s="114" t="str">
        <f t="shared" si="15"/>
        <v>#DIV/0!</v>
      </c>
      <c r="N14" s="109" t="str">
        <f t="shared" si="8"/>
        <v/>
      </c>
      <c r="O14" s="112">
        <v>250.0</v>
      </c>
      <c r="P14" s="109">
        <f t="shared" si="9"/>
        <v>-250</v>
      </c>
      <c r="R14" s="113" t="s">
        <v>49</v>
      </c>
      <c r="S14" s="121">
        <f>(S8-S11)/S13</f>
        <v>17438.89</v>
      </c>
    </row>
    <row r="15" hidden="1" outlineLevel="1">
      <c r="A15" s="105">
        <v>45971.0</v>
      </c>
      <c r="B15" s="106">
        <v>36.0</v>
      </c>
      <c r="C15" s="107">
        <v>78.0</v>
      </c>
      <c r="D15" s="107">
        <f t="shared" si="10"/>
        <v>-42</v>
      </c>
      <c r="E15" s="106">
        <v>8.0</v>
      </c>
      <c r="F15" s="107">
        <v>17.0</v>
      </c>
      <c r="G15" s="107">
        <f t="shared" si="14"/>
        <v>-9</v>
      </c>
      <c r="H15" s="108">
        <v>2512.07</v>
      </c>
      <c r="I15" s="109">
        <v>4500.0</v>
      </c>
      <c r="J15" s="109">
        <f t="shared" si="12"/>
        <v>-1987.93</v>
      </c>
      <c r="K15" s="110">
        <f t="shared" si="6"/>
        <v>0.2222222222</v>
      </c>
      <c r="L15" s="111">
        <v>0.3</v>
      </c>
      <c r="M15" s="111">
        <f t="shared" si="15"/>
        <v>0.07777777778</v>
      </c>
      <c r="N15" s="109">
        <f t="shared" si="8"/>
        <v>314.00875</v>
      </c>
      <c r="O15" s="112">
        <v>250.0</v>
      </c>
      <c r="P15" s="109">
        <f t="shared" si="9"/>
        <v>64.00875</v>
      </c>
      <c r="R15" s="113" t="s">
        <v>50</v>
      </c>
      <c r="S15" s="122">
        <f>N5</f>
        <v>297.3815984</v>
      </c>
    </row>
    <row r="16" hidden="1" outlineLevel="1">
      <c r="A16" s="105">
        <v>45972.0</v>
      </c>
      <c r="B16" s="106">
        <v>67.0</v>
      </c>
      <c r="C16" s="107">
        <v>78.0</v>
      </c>
      <c r="D16" s="123">
        <f t="shared" si="10"/>
        <v>-11</v>
      </c>
      <c r="E16" s="106">
        <v>17.0</v>
      </c>
      <c r="F16" s="107">
        <v>17.0</v>
      </c>
      <c r="G16" s="123">
        <f t="shared" si="14"/>
        <v>0</v>
      </c>
      <c r="H16" s="108">
        <v>3772.71</v>
      </c>
      <c r="I16" s="109">
        <v>4500.0</v>
      </c>
      <c r="J16" s="124">
        <f t="shared" si="12"/>
        <v>-727.29</v>
      </c>
      <c r="K16" s="110">
        <f t="shared" si="6"/>
        <v>0.2537313433</v>
      </c>
      <c r="L16" s="125">
        <v>0.3</v>
      </c>
      <c r="M16" s="125">
        <f t="shared" si="15"/>
        <v>0.04626865672</v>
      </c>
      <c r="N16" s="124">
        <f t="shared" si="8"/>
        <v>221.9241176</v>
      </c>
      <c r="O16" s="126">
        <v>250.0</v>
      </c>
      <c r="P16" s="124">
        <f t="shared" si="9"/>
        <v>-28.07588235</v>
      </c>
      <c r="R16" s="113" t="s">
        <v>51</v>
      </c>
      <c r="S16" s="127">
        <f>B5</f>
        <v>942</v>
      </c>
    </row>
    <row r="17" hidden="1" outlineLevel="1">
      <c r="A17" s="105">
        <v>45973.0</v>
      </c>
      <c r="B17" s="106">
        <v>38.0</v>
      </c>
      <c r="C17" s="107">
        <v>78.0</v>
      </c>
      <c r="D17" s="123">
        <f t="shared" si="10"/>
        <v>-40</v>
      </c>
      <c r="E17" s="106">
        <v>15.0</v>
      </c>
      <c r="F17" s="107">
        <v>17.0</v>
      </c>
      <c r="G17" s="123">
        <f t="shared" si="14"/>
        <v>-2</v>
      </c>
      <c r="H17" s="108">
        <v>4546.6</v>
      </c>
      <c r="I17" s="109">
        <v>4500.0</v>
      </c>
      <c r="J17" s="124">
        <f t="shared" si="12"/>
        <v>46.6</v>
      </c>
      <c r="K17" s="110">
        <f t="shared" si="6"/>
        <v>0.3947368421</v>
      </c>
      <c r="L17" s="125">
        <v>0.3</v>
      </c>
      <c r="M17" s="125">
        <f t="shared" si="15"/>
        <v>-0.09473684211</v>
      </c>
      <c r="N17" s="124">
        <f t="shared" si="8"/>
        <v>303.1066667</v>
      </c>
      <c r="O17" s="126">
        <v>250.0</v>
      </c>
      <c r="P17" s="124">
        <f t="shared" si="9"/>
        <v>53.10666667</v>
      </c>
      <c r="R17" s="113" t="s">
        <v>52</v>
      </c>
      <c r="S17" s="128">
        <f>E5</f>
        <v>244</v>
      </c>
    </row>
    <row r="18" hidden="1" outlineLevel="1">
      <c r="A18" s="105">
        <v>45974.0</v>
      </c>
      <c r="B18" s="106">
        <v>68.0</v>
      </c>
      <c r="C18" s="107">
        <v>78.0</v>
      </c>
      <c r="D18" s="123">
        <f t="shared" si="10"/>
        <v>-10</v>
      </c>
      <c r="E18" s="106">
        <v>10.0</v>
      </c>
      <c r="F18" s="107">
        <v>17.0</v>
      </c>
      <c r="G18" s="123">
        <f t="shared" si="14"/>
        <v>-7</v>
      </c>
      <c r="H18" s="108">
        <v>2625.99</v>
      </c>
      <c r="I18" s="109">
        <v>4500.0</v>
      </c>
      <c r="J18" s="124">
        <f t="shared" si="12"/>
        <v>-1874.01</v>
      </c>
      <c r="K18" s="110">
        <f t="shared" si="6"/>
        <v>0.1470588235</v>
      </c>
      <c r="L18" s="125">
        <v>0.3</v>
      </c>
      <c r="M18" s="125">
        <f t="shared" si="15"/>
        <v>0.1529411765</v>
      </c>
      <c r="N18" s="124">
        <f t="shared" si="8"/>
        <v>262.599</v>
      </c>
      <c r="O18" s="126">
        <v>250.0</v>
      </c>
      <c r="P18" s="124">
        <f t="shared" si="9"/>
        <v>12.599</v>
      </c>
      <c r="R18" s="113" t="s">
        <v>4</v>
      </c>
      <c r="S18" s="119">
        <f>E5/B5</f>
        <v>0.2590233546</v>
      </c>
    </row>
    <row r="19" hidden="1" outlineLevel="1">
      <c r="A19" s="105">
        <v>45975.0</v>
      </c>
      <c r="B19" s="106">
        <v>38.0</v>
      </c>
      <c r="C19" s="107">
        <v>78.0</v>
      </c>
      <c r="D19" s="123">
        <f t="shared" si="10"/>
        <v>-40</v>
      </c>
      <c r="E19" s="106">
        <v>17.0</v>
      </c>
      <c r="F19" s="107">
        <v>17.0</v>
      </c>
      <c r="G19" s="123">
        <f t="shared" si="14"/>
        <v>0</v>
      </c>
      <c r="H19" s="108">
        <v>2875.28</v>
      </c>
      <c r="I19" s="109">
        <v>4500.0</v>
      </c>
      <c r="J19" s="124">
        <f t="shared" si="12"/>
        <v>-1624.72</v>
      </c>
      <c r="K19" s="110">
        <f t="shared" si="6"/>
        <v>0.4473684211</v>
      </c>
      <c r="L19" s="125">
        <v>0.3</v>
      </c>
      <c r="M19" s="125">
        <f t="shared" si="15"/>
        <v>-0.1473684211</v>
      </c>
      <c r="N19" s="124">
        <f t="shared" si="8"/>
        <v>169.1341176</v>
      </c>
      <c r="O19" s="126">
        <v>250.0</v>
      </c>
      <c r="P19" s="124">
        <f t="shared" si="9"/>
        <v>-80.86588235</v>
      </c>
    </row>
    <row r="20" hidden="1" outlineLevel="1">
      <c r="A20" s="105">
        <v>45976.0</v>
      </c>
      <c r="B20" s="106">
        <v>11.0</v>
      </c>
      <c r="C20" s="107">
        <v>29.0</v>
      </c>
      <c r="D20" s="123">
        <f t="shared" si="10"/>
        <v>-18</v>
      </c>
      <c r="E20" s="106">
        <v>3.0</v>
      </c>
      <c r="F20" s="107">
        <v>9.0</v>
      </c>
      <c r="G20" s="123">
        <f t="shared" si="14"/>
        <v>-6</v>
      </c>
      <c r="H20" s="108">
        <v>797.07</v>
      </c>
      <c r="I20" s="109">
        <v>0.0</v>
      </c>
      <c r="J20" s="124">
        <f t="shared" si="12"/>
        <v>797.07</v>
      </c>
      <c r="K20" s="110">
        <f t="shared" si="6"/>
        <v>0.2727272727</v>
      </c>
      <c r="L20" s="125">
        <v>0.3</v>
      </c>
      <c r="M20" s="125">
        <f t="shared" si="15"/>
        <v>0.02727272727</v>
      </c>
      <c r="N20" s="124">
        <f t="shared" si="8"/>
        <v>265.69</v>
      </c>
      <c r="O20" s="126">
        <v>250.0</v>
      </c>
      <c r="P20" s="124">
        <f t="shared" si="9"/>
        <v>15.69</v>
      </c>
    </row>
    <row r="21" hidden="1" outlineLevel="1">
      <c r="A21" s="105">
        <v>45977.0</v>
      </c>
      <c r="B21" s="106">
        <v>0.0</v>
      </c>
      <c r="C21" s="107">
        <v>0.0</v>
      </c>
      <c r="D21" s="123">
        <f t="shared" si="10"/>
        <v>0</v>
      </c>
      <c r="E21" s="106">
        <v>0.0</v>
      </c>
      <c r="F21" s="107">
        <v>0.0</v>
      </c>
      <c r="G21" s="123">
        <f t="shared" si="14"/>
        <v>0</v>
      </c>
      <c r="H21" s="108">
        <v>0.0</v>
      </c>
      <c r="I21" s="109">
        <v>0.0</v>
      </c>
      <c r="J21" s="124">
        <f t="shared" si="12"/>
        <v>0</v>
      </c>
      <c r="K21" s="110" t="str">
        <f t="shared" si="6"/>
        <v>#DIV/0!</v>
      </c>
      <c r="L21" s="125">
        <v>0.3</v>
      </c>
      <c r="M21" s="129" t="str">
        <f t="shared" si="15"/>
        <v>#DIV/0!</v>
      </c>
      <c r="N21" s="124" t="str">
        <f t="shared" si="8"/>
        <v/>
      </c>
      <c r="O21" s="126">
        <v>250.0</v>
      </c>
      <c r="P21" s="124">
        <f t="shared" si="9"/>
        <v>-250</v>
      </c>
    </row>
    <row r="22" hidden="1" outlineLevel="1">
      <c r="A22" s="105">
        <v>45978.0</v>
      </c>
      <c r="B22" s="106">
        <v>48.0</v>
      </c>
      <c r="C22" s="107">
        <v>78.0</v>
      </c>
      <c r="D22" s="123">
        <f t="shared" si="10"/>
        <v>-30</v>
      </c>
      <c r="E22" s="106">
        <v>10.0</v>
      </c>
      <c r="F22" s="107">
        <v>17.0</v>
      </c>
      <c r="G22" s="123">
        <f t="shared" si="14"/>
        <v>-7</v>
      </c>
      <c r="H22" s="108">
        <v>1570.83</v>
      </c>
      <c r="I22" s="109">
        <v>4500.0</v>
      </c>
      <c r="J22" s="124">
        <f t="shared" si="12"/>
        <v>-2929.17</v>
      </c>
      <c r="K22" s="110">
        <f t="shared" si="6"/>
        <v>0.2083333333</v>
      </c>
      <c r="L22" s="125">
        <v>0.3</v>
      </c>
      <c r="M22" s="125">
        <f t="shared" si="15"/>
        <v>0.09166666667</v>
      </c>
      <c r="N22" s="124">
        <f t="shared" si="8"/>
        <v>157.083</v>
      </c>
      <c r="O22" s="126">
        <v>250.0</v>
      </c>
      <c r="P22" s="124">
        <f t="shared" si="9"/>
        <v>-92.917</v>
      </c>
      <c r="S22" s="94"/>
    </row>
    <row r="23" hidden="1" outlineLevel="1">
      <c r="A23" s="105">
        <v>45979.0</v>
      </c>
      <c r="B23" s="106">
        <v>49.0</v>
      </c>
      <c r="C23" s="107">
        <v>78.0</v>
      </c>
      <c r="D23" s="123">
        <f t="shared" si="10"/>
        <v>-29</v>
      </c>
      <c r="E23" s="106">
        <v>13.0</v>
      </c>
      <c r="F23" s="107">
        <v>17.0</v>
      </c>
      <c r="G23" s="123">
        <f t="shared" si="14"/>
        <v>-4</v>
      </c>
      <c r="H23" s="108">
        <v>1614.8</v>
      </c>
      <c r="I23" s="109">
        <v>4500.0</v>
      </c>
      <c r="J23" s="124">
        <f t="shared" si="12"/>
        <v>-2885.2</v>
      </c>
      <c r="K23" s="110">
        <f t="shared" si="6"/>
        <v>0.2653061224</v>
      </c>
      <c r="L23" s="125">
        <v>0.3</v>
      </c>
      <c r="M23" s="125">
        <f t="shared" si="15"/>
        <v>0.03469387755</v>
      </c>
      <c r="N23" s="124">
        <f t="shared" si="8"/>
        <v>124.2153846</v>
      </c>
      <c r="O23" s="126">
        <v>250.0</v>
      </c>
      <c r="P23" s="124">
        <f t="shared" si="9"/>
        <v>-125.7846154</v>
      </c>
      <c r="S23" s="130"/>
    </row>
    <row r="24" hidden="1" outlineLevel="1">
      <c r="A24" s="105">
        <v>45980.0</v>
      </c>
      <c r="B24" s="106">
        <v>47.0</v>
      </c>
      <c r="C24" s="107">
        <v>78.0</v>
      </c>
      <c r="D24" s="123">
        <f t="shared" si="10"/>
        <v>-31</v>
      </c>
      <c r="E24" s="106">
        <v>9.0</v>
      </c>
      <c r="F24" s="107">
        <v>17.0</v>
      </c>
      <c r="G24" s="123">
        <f t="shared" si="14"/>
        <v>-8</v>
      </c>
      <c r="H24" s="108">
        <v>3508.6</v>
      </c>
      <c r="I24" s="109">
        <v>4500.0</v>
      </c>
      <c r="J24" s="124">
        <f t="shared" si="12"/>
        <v>-991.4</v>
      </c>
      <c r="K24" s="110">
        <f t="shared" si="6"/>
        <v>0.1914893617</v>
      </c>
      <c r="L24" s="125">
        <v>0.3</v>
      </c>
      <c r="M24" s="125">
        <f t="shared" si="15"/>
        <v>0.1085106383</v>
      </c>
      <c r="N24" s="124">
        <f t="shared" si="8"/>
        <v>389.8444444</v>
      </c>
      <c r="O24" s="126">
        <v>250.0</v>
      </c>
      <c r="P24" s="124">
        <f t="shared" si="9"/>
        <v>139.8444444</v>
      </c>
      <c r="S24" s="131"/>
    </row>
    <row r="25" hidden="1" outlineLevel="1">
      <c r="A25" s="105">
        <v>45981.0</v>
      </c>
      <c r="B25" s="106">
        <v>11.0</v>
      </c>
      <c r="C25" s="107">
        <v>78.0</v>
      </c>
      <c r="D25" s="123">
        <f t="shared" si="10"/>
        <v>-67</v>
      </c>
      <c r="E25" s="106">
        <v>2.0</v>
      </c>
      <c r="F25" s="107">
        <v>17.0</v>
      </c>
      <c r="G25" s="123">
        <f t="shared" si="14"/>
        <v>-15</v>
      </c>
      <c r="H25" s="108">
        <v>213.56</v>
      </c>
      <c r="I25" s="109">
        <v>4500.0</v>
      </c>
      <c r="J25" s="124">
        <f t="shared" si="12"/>
        <v>-4286.44</v>
      </c>
      <c r="K25" s="110">
        <f t="shared" si="6"/>
        <v>0.1818181818</v>
      </c>
      <c r="L25" s="125">
        <v>0.3</v>
      </c>
      <c r="M25" s="125">
        <f t="shared" si="15"/>
        <v>0.1181818182</v>
      </c>
      <c r="N25" s="124">
        <f t="shared" si="8"/>
        <v>106.78</v>
      </c>
      <c r="O25" s="126">
        <v>250.0</v>
      </c>
      <c r="P25" s="124">
        <f t="shared" si="9"/>
        <v>-143.22</v>
      </c>
      <c r="S25" s="94"/>
    </row>
    <row r="26" hidden="1" outlineLevel="1">
      <c r="A26" s="105">
        <v>45982.0</v>
      </c>
      <c r="B26" s="106">
        <v>43.0</v>
      </c>
      <c r="C26" s="107">
        <v>78.0</v>
      </c>
      <c r="D26" s="123">
        <f t="shared" si="10"/>
        <v>-35</v>
      </c>
      <c r="E26" s="106">
        <v>9.0</v>
      </c>
      <c r="F26" s="107">
        <v>17.0</v>
      </c>
      <c r="G26" s="123">
        <f t="shared" si="14"/>
        <v>-8</v>
      </c>
      <c r="H26" s="108">
        <v>3036.53</v>
      </c>
      <c r="I26" s="109">
        <v>4500.0</v>
      </c>
      <c r="J26" s="124">
        <f t="shared" si="12"/>
        <v>-1463.47</v>
      </c>
      <c r="K26" s="110">
        <f t="shared" si="6"/>
        <v>0.2093023256</v>
      </c>
      <c r="L26" s="125">
        <v>0.3</v>
      </c>
      <c r="M26" s="125">
        <f t="shared" si="15"/>
        <v>0.09069767442</v>
      </c>
      <c r="N26" s="124">
        <f t="shared" si="8"/>
        <v>337.3922222</v>
      </c>
      <c r="O26" s="126">
        <v>250.0</v>
      </c>
      <c r="P26" s="124">
        <f t="shared" si="9"/>
        <v>87.39222222</v>
      </c>
      <c r="S26" s="94"/>
    </row>
    <row r="27" hidden="1" outlineLevel="1">
      <c r="A27" s="105">
        <v>45983.0</v>
      </c>
      <c r="B27" s="106">
        <v>17.0</v>
      </c>
      <c r="C27" s="107">
        <v>29.0</v>
      </c>
      <c r="D27" s="123">
        <f t="shared" si="10"/>
        <v>-12</v>
      </c>
      <c r="E27" s="106">
        <v>2.0</v>
      </c>
      <c r="F27" s="107">
        <v>9.0</v>
      </c>
      <c r="G27" s="123">
        <f t="shared" si="14"/>
        <v>-7</v>
      </c>
      <c r="H27" s="108">
        <v>505.61</v>
      </c>
      <c r="I27" s="109">
        <v>0.0</v>
      </c>
      <c r="J27" s="124">
        <f t="shared" si="12"/>
        <v>505.61</v>
      </c>
      <c r="K27" s="110">
        <f t="shared" si="6"/>
        <v>0.1176470588</v>
      </c>
      <c r="L27" s="125">
        <v>0.3</v>
      </c>
      <c r="M27" s="125">
        <f t="shared" si="15"/>
        <v>0.1823529412</v>
      </c>
      <c r="N27" s="124">
        <f t="shared" si="8"/>
        <v>252.805</v>
      </c>
      <c r="O27" s="126">
        <v>250.0</v>
      </c>
      <c r="P27" s="124">
        <f t="shared" si="9"/>
        <v>2.805</v>
      </c>
      <c r="S27" s="94"/>
    </row>
    <row r="28" hidden="1" outlineLevel="1">
      <c r="A28" s="105">
        <v>45984.0</v>
      </c>
      <c r="B28" s="106">
        <v>0.0</v>
      </c>
      <c r="C28" s="107">
        <v>0.0</v>
      </c>
      <c r="D28" s="123">
        <f t="shared" si="10"/>
        <v>0</v>
      </c>
      <c r="E28" s="106">
        <v>0.0</v>
      </c>
      <c r="F28" s="107">
        <v>0.0</v>
      </c>
      <c r="G28" s="123">
        <f t="shared" si="14"/>
        <v>0</v>
      </c>
      <c r="H28" s="108">
        <v>0.0</v>
      </c>
      <c r="I28" s="109">
        <v>0.0</v>
      </c>
      <c r="J28" s="124">
        <f t="shared" si="12"/>
        <v>0</v>
      </c>
      <c r="K28" s="110" t="str">
        <f t="shared" si="6"/>
        <v>#DIV/0!</v>
      </c>
      <c r="L28" s="125">
        <v>0.3</v>
      </c>
      <c r="M28" s="129" t="str">
        <f t="shared" si="15"/>
        <v>#DIV/0!</v>
      </c>
      <c r="N28" s="124" t="str">
        <f t="shared" si="8"/>
        <v/>
      </c>
      <c r="O28" s="126">
        <v>250.0</v>
      </c>
      <c r="P28" s="124">
        <f t="shared" si="9"/>
        <v>-250</v>
      </c>
      <c r="S28" s="94"/>
    </row>
    <row r="29" hidden="1" outlineLevel="1">
      <c r="A29" s="105">
        <v>45985.0</v>
      </c>
      <c r="B29" s="106">
        <v>49.0</v>
      </c>
      <c r="C29" s="107">
        <v>78.0</v>
      </c>
      <c r="D29" s="123">
        <f t="shared" si="10"/>
        <v>-29</v>
      </c>
      <c r="E29" s="106">
        <v>8.0</v>
      </c>
      <c r="F29" s="107">
        <v>17.0</v>
      </c>
      <c r="G29" s="123">
        <f t="shared" si="14"/>
        <v>-9</v>
      </c>
      <c r="H29" s="108">
        <v>2064.32</v>
      </c>
      <c r="I29" s="109">
        <v>4500.0</v>
      </c>
      <c r="J29" s="124">
        <f t="shared" si="12"/>
        <v>-2435.68</v>
      </c>
      <c r="K29" s="110">
        <f t="shared" si="6"/>
        <v>0.1632653061</v>
      </c>
      <c r="L29" s="125">
        <v>0.3</v>
      </c>
      <c r="M29" s="125">
        <f t="shared" si="15"/>
        <v>0.1367346939</v>
      </c>
      <c r="N29" s="124">
        <f t="shared" si="8"/>
        <v>258.04</v>
      </c>
      <c r="O29" s="126">
        <v>250.0</v>
      </c>
      <c r="P29" s="124">
        <f t="shared" si="9"/>
        <v>8.04</v>
      </c>
      <c r="S29" s="94"/>
    </row>
    <row r="30" hidden="1" outlineLevel="1">
      <c r="A30" s="105">
        <v>45986.0</v>
      </c>
      <c r="B30" s="106">
        <v>32.0</v>
      </c>
      <c r="C30" s="107">
        <v>78.0</v>
      </c>
      <c r="D30" s="123">
        <f t="shared" si="10"/>
        <v>-46</v>
      </c>
      <c r="E30" s="106">
        <v>10.0</v>
      </c>
      <c r="F30" s="107">
        <v>17.0</v>
      </c>
      <c r="G30" s="123">
        <f t="shared" si="14"/>
        <v>-7</v>
      </c>
      <c r="H30" s="108">
        <v>3054.12</v>
      </c>
      <c r="I30" s="109">
        <v>4500.0</v>
      </c>
      <c r="J30" s="124">
        <f t="shared" si="12"/>
        <v>-1445.88</v>
      </c>
      <c r="K30" s="110">
        <f t="shared" si="6"/>
        <v>0.3125</v>
      </c>
      <c r="L30" s="125">
        <v>0.3</v>
      </c>
      <c r="M30" s="125">
        <f t="shared" si="15"/>
        <v>-0.0125</v>
      </c>
      <c r="N30" s="124">
        <f t="shared" si="8"/>
        <v>305.412</v>
      </c>
      <c r="O30" s="126">
        <v>250.0</v>
      </c>
      <c r="P30" s="124">
        <f t="shared" si="9"/>
        <v>55.412</v>
      </c>
      <c r="S30" s="94"/>
    </row>
    <row r="31" hidden="1" outlineLevel="1">
      <c r="A31" s="105">
        <v>45987.0</v>
      </c>
      <c r="B31" s="106">
        <v>36.0</v>
      </c>
      <c r="C31" s="107">
        <v>78.0</v>
      </c>
      <c r="D31" s="123">
        <f t="shared" si="10"/>
        <v>-42</v>
      </c>
      <c r="E31" s="106">
        <v>9.0</v>
      </c>
      <c r="F31" s="107">
        <v>17.0</v>
      </c>
      <c r="G31" s="123">
        <f t="shared" si="14"/>
        <v>-8</v>
      </c>
      <c r="H31" s="108">
        <v>1789.34</v>
      </c>
      <c r="I31" s="109">
        <v>4500.0</v>
      </c>
      <c r="J31" s="124">
        <f t="shared" si="12"/>
        <v>-2710.66</v>
      </c>
      <c r="K31" s="110">
        <f t="shared" si="6"/>
        <v>0.25</v>
      </c>
      <c r="L31" s="125">
        <v>0.3</v>
      </c>
      <c r="M31" s="125">
        <f t="shared" si="15"/>
        <v>0.05</v>
      </c>
      <c r="N31" s="124">
        <f t="shared" si="8"/>
        <v>198.8155556</v>
      </c>
      <c r="O31" s="126">
        <v>250.0</v>
      </c>
      <c r="P31" s="124">
        <f t="shared" si="9"/>
        <v>-51.18444444</v>
      </c>
      <c r="S31" s="94"/>
    </row>
    <row r="32" hidden="1" outlineLevel="1">
      <c r="A32" s="105">
        <v>45988.0</v>
      </c>
      <c r="B32" s="106">
        <v>35.0</v>
      </c>
      <c r="C32" s="107">
        <v>78.0</v>
      </c>
      <c r="D32" s="123">
        <f t="shared" si="10"/>
        <v>-43</v>
      </c>
      <c r="E32" s="106">
        <v>9.0</v>
      </c>
      <c r="F32" s="107">
        <v>17.0</v>
      </c>
      <c r="G32" s="123">
        <f t="shared" si="14"/>
        <v>-8</v>
      </c>
      <c r="H32" s="108">
        <v>3520.56</v>
      </c>
      <c r="I32" s="109">
        <v>4500.0</v>
      </c>
      <c r="J32" s="124">
        <f t="shared" si="12"/>
        <v>-979.44</v>
      </c>
      <c r="K32" s="110">
        <f t="shared" si="6"/>
        <v>0.2571428571</v>
      </c>
      <c r="L32" s="125">
        <v>0.3</v>
      </c>
      <c r="M32" s="125">
        <f t="shared" si="15"/>
        <v>0.04285714286</v>
      </c>
      <c r="N32" s="124">
        <f t="shared" si="8"/>
        <v>391.1733333</v>
      </c>
      <c r="O32" s="126">
        <v>250.0</v>
      </c>
      <c r="P32" s="124">
        <f t="shared" si="9"/>
        <v>141.1733333</v>
      </c>
      <c r="S32" s="94"/>
    </row>
    <row r="33" hidden="1" outlineLevel="1">
      <c r="A33" s="105">
        <v>45989.0</v>
      </c>
      <c r="B33" s="106">
        <v>39.0</v>
      </c>
      <c r="C33" s="107">
        <v>78.0</v>
      </c>
      <c r="D33" s="123">
        <f t="shared" si="10"/>
        <v>-39</v>
      </c>
      <c r="E33" s="106">
        <v>10.0</v>
      </c>
      <c r="F33" s="107">
        <v>17.0</v>
      </c>
      <c r="G33" s="123">
        <f t="shared" si="14"/>
        <v>-7</v>
      </c>
      <c r="H33" s="108">
        <v>3839.43</v>
      </c>
      <c r="I33" s="109">
        <v>4500.0</v>
      </c>
      <c r="J33" s="124">
        <f t="shared" si="12"/>
        <v>-660.57</v>
      </c>
      <c r="K33" s="110">
        <f t="shared" si="6"/>
        <v>0.2564102564</v>
      </c>
      <c r="L33" s="125">
        <v>0.3</v>
      </c>
      <c r="M33" s="125">
        <f t="shared" si="15"/>
        <v>0.04358974359</v>
      </c>
      <c r="N33" s="124">
        <f t="shared" si="8"/>
        <v>383.943</v>
      </c>
      <c r="O33" s="126">
        <v>250.0</v>
      </c>
      <c r="P33" s="124">
        <f t="shared" si="9"/>
        <v>133.943</v>
      </c>
      <c r="S33" s="94"/>
    </row>
    <row r="34" hidden="1" outlineLevel="1">
      <c r="A34" s="105">
        <v>45990.0</v>
      </c>
      <c r="B34" s="106">
        <v>14.0</v>
      </c>
      <c r="C34" s="107">
        <v>29.0</v>
      </c>
      <c r="D34" s="123">
        <f t="shared" si="10"/>
        <v>-15</v>
      </c>
      <c r="E34" s="106">
        <v>9.0</v>
      </c>
      <c r="F34" s="107">
        <v>9.0</v>
      </c>
      <c r="G34" s="123">
        <f t="shared" si="14"/>
        <v>0</v>
      </c>
      <c r="H34" s="108">
        <v>2889.93</v>
      </c>
      <c r="I34" s="109">
        <v>0.0</v>
      </c>
      <c r="J34" s="124">
        <f t="shared" si="12"/>
        <v>2889.93</v>
      </c>
      <c r="K34" s="110">
        <f t="shared" si="6"/>
        <v>0.6428571429</v>
      </c>
      <c r="L34" s="125">
        <v>0.3</v>
      </c>
      <c r="M34" s="125">
        <f t="shared" si="15"/>
        <v>-0.3428571429</v>
      </c>
      <c r="N34" s="124">
        <f t="shared" si="8"/>
        <v>321.1033333</v>
      </c>
      <c r="O34" s="126">
        <v>250.0</v>
      </c>
      <c r="P34" s="124">
        <f t="shared" si="9"/>
        <v>71.10333333</v>
      </c>
      <c r="S34" s="94"/>
    </row>
    <row r="35" hidden="1" outlineLevel="1">
      <c r="A35" s="105">
        <v>45991.0</v>
      </c>
      <c r="B35" s="106">
        <v>0.0</v>
      </c>
      <c r="C35" s="107">
        <v>0.0</v>
      </c>
      <c r="D35" s="123">
        <f t="shared" si="10"/>
        <v>0</v>
      </c>
      <c r="E35" s="106">
        <v>0.0</v>
      </c>
      <c r="F35" s="107">
        <v>0.0</v>
      </c>
      <c r="G35" s="123">
        <f t="shared" si="14"/>
        <v>0</v>
      </c>
      <c r="H35" s="108">
        <v>0.0</v>
      </c>
      <c r="I35" s="109">
        <v>0.0</v>
      </c>
      <c r="J35" s="124">
        <f t="shared" si="12"/>
        <v>0</v>
      </c>
      <c r="K35" s="110" t="str">
        <f t="shared" si="6"/>
        <v>#DIV/0!</v>
      </c>
      <c r="L35" s="125">
        <v>0.3</v>
      </c>
      <c r="M35" s="129" t="str">
        <f t="shared" si="15"/>
        <v>#DIV/0!</v>
      </c>
      <c r="N35" s="124" t="str">
        <f t="shared" si="8"/>
        <v/>
      </c>
      <c r="O35" s="126">
        <v>250.0</v>
      </c>
      <c r="P35" s="124">
        <f t="shared" si="9"/>
        <v>-250</v>
      </c>
      <c r="S35" s="94"/>
    </row>
    <row r="36" collapsed="1">
      <c r="A36" s="100" t="s">
        <v>53</v>
      </c>
      <c r="B36" s="100">
        <f t="shared" ref="B36:I36" si="16">SUM(B37:B66)</f>
        <v>416</v>
      </c>
      <c r="C36" s="100">
        <f t="shared" si="16"/>
        <v>420</v>
      </c>
      <c r="D36" s="100">
        <f t="shared" si="16"/>
        <v>-4</v>
      </c>
      <c r="E36" s="100">
        <f t="shared" si="16"/>
        <v>310</v>
      </c>
      <c r="F36" s="100">
        <f t="shared" si="16"/>
        <v>185</v>
      </c>
      <c r="G36" s="100">
        <f t="shared" si="16"/>
        <v>125</v>
      </c>
      <c r="H36" s="101">
        <f t="shared" si="16"/>
        <v>59067.79</v>
      </c>
      <c r="I36" s="101">
        <f t="shared" si="16"/>
        <v>50000</v>
      </c>
      <c r="J36" s="101">
        <f t="shared" si="12"/>
        <v>9067.79</v>
      </c>
      <c r="K36" s="103">
        <f t="shared" si="6"/>
        <v>0.7451923077</v>
      </c>
      <c r="L36" s="103">
        <v>0.5</v>
      </c>
      <c r="M36" s="103">
        <f>K36-L36</f>
        <v>0.2451923077</v>
      </c>
      <c r="N36" s="102">
        <f t="shared" si="8"/>
        <v>190.5412581</v>
      </c>
      <c r="O36" s="104">
        <f>O37</f>
        <v>250</v>
      </c>
      <c r="P36" s="102">
        <f t="shared" si="9"/>
        <v>-59.45874194</v>
      </c>
    </row>
    <row r="37" hidden="1" outlineLevel="1">
      <c r="A37" s="132">
        <v>45962.0</v>
      </c>
      <c r="B37" s="106">
        <v>3.0</v>
      </c>
      <c r="C37" s="107">
        <v>4.0</v>
      </c>
      <c r="D37" s="107">
        <f t="shared" ref="D37:D66" si="17">B37-C37</f>
        <v>-1</v>
      </c>
      <c r="E37" s="106">
        <v>3.0</v>
      </c>
      <c r="F37" s="107">
        <v>5.0</v>
      </c>
      <c r="G37" s="107">
        <f t="shared" ref="G37:G42" si="18">E37-F37</f>
        <v>-2</v>
      </c>
      <c r="H37" s="108">
        <v>782.58</v>
      </c>
      <c r="I37" s="109">
        <v>0.0</v>
      </c>
      <c r="J37" s="109">
        <f t="shared" si="12"/>
        <v>782.58</v>
      </c>
      <c r="K37" s="133">
        <f t="shared" ref="K37:K66" si="19">IFERROR(E37/B37,"")</f>
        <v>1</v>
      </c>
      <c r="L37" s="111">
        <v>0.0</v>
      </c>
      <c r="M37" s="111">
        <f t="shared" ref="M37:M66" si="20">L37-K37</f>
        <v>-1</v>
      </c>
      <c r="N37" s="109">
        <f t="shared" si="8"/>
        <v>260.86</v>
      </c>
      <c r="O37" s="112">
        <v>250.0</v>
      </c>
      <c r="P37" s="109">
        <f t="shared" si="9"/>
        <v>10.86</v>
      </c>
      <c r="R37" s="113" t="s">
        <v>54</v>
      </c>
      <c r="S37" s="94"/>
    </row>
    <row r="38" hidden="1" outlineLevel="1">
      <c r="A38" s="132">
        <v>45963.0</v>
      </c>
      <c r="B38" s="106">
        <v>0.0</v>
      </c>
      <c r="C38" s="107">
        <v>0.0</v>
      </c>
      <c r="D38" s="107">
        <f t="shared" si="17"/>
        <v>0</v>
      </c>
      <c r="E38" s="106">
        <v>0.0</v>
      </c>
      <c r="F38" s="107">
        <v>0.0</v>
      </c>
      <c r="G38" s="107">
        <f t="shared" si="18"/>
        <v>0</v>
      </c>
      <c r="H38" s="108">
        <v>0.0</v>
      </c>
      <c r="I38" s="109">
        <v>0.0</v>
      </c>
      <c r="J38" s="109">
        <f t="shared" si="12"/>
        <v>0</v>
      </c>
      <c r="K38" s="133" t="str">
        <f t="shared" si="19"/>
        <v/>
      </c>
      <c r="L38" s="111">
        <v>0.0</v>
      </c>
      <c r="M38" s="111">
        <f t="shared" si="20"/>
        <v>0</v>
      </c>
      <c r="N38" s="109" t="str">
        <f t="shared" si="8"/>
        <v/>
      </c>
      <c r="O38" s="112">
        <v>250.0</v>
      </c>
      <c r="P38" s="109">
        <f t="shared" si="9"/>
        <v>-250</v>
      </c>
      <c r="R38" s="115" t="s">
        <v>12</v>
      </c>
    </row>
    <row r="39" hidden="1" outlineLevel="1">
      <c r="A39" s="132">
        <v>45964.0</v>
      </c>
      <c r="B39" s="106">
        <v>15.0</v>
      </c>
      <c r="C39" s="107">
        <v>20.0</v>
      </c>
      <c r="D39" s="107">
        <f t="shared" si="17"/>
        <v>-5</v>
      </c>
      <c r="E39" s="106">
        <v>13.0</v>
      </c>
      <c r="F39" s="107">
        <v>8.0</v>
      </c>
      <c r="G39" s="107">
        <f t="shared" si="18"/>
        <v>5</v>
      </c>
      <c r="H39" s="108">
        <v>5284.61</v>
      </c>
      <c r="I39" s="109">
        <v>2500.0</v>
      </c>
      <c r="J39" s="109">
        <f t="shared" si="12"/>
        <v>2784.61</v>
      </c>
      <c r="K39" s="133">
        <f t="shared" si="19"/>
        <v>0.8666666667</v>
      </c>
      <c r="L39" s="111">
        <v>0.5</v>
      </c>
      <c r="M39" s="111">
        <f t="shared" si="20"/>
        <v>-0.3666666667</v>
      </c>
      <c r="N39" s="109">
        <f t="shared" si="8"/>
        <v>406.5084615</v>
      </c>
      <c r="O39" s="112">
        <v>250.0</v>
      </c>
      <c r="P39" s="109">
        <f t="shared" si="9"/>
        <v>156.5084615</v>
      </c>
      <c r="R39" s="113" t="s">
        <v>8</v>
      </c>
      <c r="S39" s="116">
        <v>50000.0</v>
      </c>
    </row>
    <row r="40" hidden="1" outlineLevel="1">
      <c r="A40" s="132">
        <v>45965.0</v>
      </c>
      <c r="B40" s="106">
        <v>25.0</v>
      </c>
      <c r="C40" s="107">
        <v>20.0</v>
      </c>
      <c r="D40" s="107">
        <f t="shared" si="17"/>
        <v>5</v>
      </c>
      <c r="E40" s="106">
        <v>18.0</v>
      </c>
      <c r="F40" s="107">
        <v>8.0</v>
      </c>
      <c r="G40" s="107">
        <f t="shared" si="18"/>
        <v>10</v>
      </c>
      <c r="H40" s="108">
        <v>2291.07</v>
      </c>
      <c r="I40" s="109">
        <v>2500.0</v>
      </c>
      <c r="J40" s="109">
        <f t="shared" si="12"/>
        <v>-208.93</v>
      </c>
      <c r="K40" s="133">
        <f t="shared" si="19"/>
        <v>0.72</v>
      </c>
      <c r="L40" s="111">
        <v>0.5</v>
      </c>
      <c r="M40" s="111">
        <f t="shared" si="20"/>
        <v>-0.22</v>
      </c>
      <c r="N40" s="109">
        <f t="shared" si="8"/>
        <v>127.2816667</v>
      </c>
      <c r="O40" s="112">
        <v>250.0</v>
      </c>
      <c r="P40" s="109">
        <f t="shared" si="9"/>
        <v>-122.7183333</v>
      </c>
      <c r="R40" s="113" t="s">
        <v>45</v>
      </c>
      <c r="S40" s="117">
        <f>S39/30</f>
        <v>1666.666667</v>
      </c>
    </row>
    <row r="41" hidden="1" outlineLevel="1">
      <c r="A41" s="132">
        <v>45966.0</v>
      </c>
      <c r="B41" s="106">
        <v>15.0</v>
      </c>
      <c r="C41" s="107">
        <v>20.0</v>
      </c>
      <c r="D41" s="107">
        <f t="shared" si="17"/>
        <v>-5</v>
      </c>
      <c r="E41" s="106">
        <v>12.0</v>
      </c>
      <c r="F41" s="107">
        <v>8.0</v>
      </c>
      <c r="G41" s="107">
        <f t="shared" si="18"/>
        <v>4</v>
      </c>
      <c r="H41" s="108">
        <v>1648.38</v>
      </c>
      <c r="I41" s="109">
        <v>2500.0</v>
      </c>
      <c r="J41" s="109">
        <f t="shared" si="12"/>
        <v>-851.62</v>
      </c>
      <c r="K41" s="133">
        <f t="shared" si="19"/>
        <v>0.8</v>
      </c>
      <c r="L41" s="111">
        <v>0.5</v>
      </c>
      <c r="M41" s="111">
        <f t="shared" si="20"/>
        <v>-0.3</v>
      </c>
      <c r="N41" s="109">
        <f t="shared" si="8"/>
        <v>137.365</v>
      </c>
      <c r="O41" s="112">
        <v>250.0</v>
      </c>
      <c r="P41" s="109">
        <f t="shared" si="9"/>
        <v>-112.635</v>
      </c>
      <c r="R41" s="113" t="s">
        <v>46</v>
      </c>
      <c r="S41" s="117">
        <f>S39/20</f>
        <v>2500</v>
      </c>
    </row>
    <row r="42" hidden="1" outlineLevel="1">
      <c r="A42" s="132">
        <v>45967.0</v>
      </c>
      <c r="B42" s="106">
        <v>22.0</v>
      </c>
      <c r="C42" s="107">
        <v>20.0</v>
      </c>
      <c r="D42" s="107">
        <f t="shared" si="17"/>
        <v>2</v>
      </c>
      <c r="E42" s="106">
        <v>13.0</v>
      </c>
      <c r="F42" s="107">
        <v>8.0</v>
      </c>
      <c r="G42" s="107">
        <f t="shared" si="18"/>
        <v>5</v>
      </c>
      <c r="H42" s="108">
        <v>2782.19</v>
      </c>
      <c r="I42" s="109">
        <v>2500.0</v>
      </c>
      <c r="J42" s="109">
        <f t="shared" si="12"/>
        <v>282.19</v>
      </c>
      <c r="K42" s="133">
        <f t="shared" si="19"/>
        <v>0.5909090909</v>
      </c>
      <c r="L42" s="111">
        <v>0.5</v>
      </c>
      <c r="M42" s="111">
        <f t="shared" si="20"/>
        <v>-0.09090909091</v>
      </c>
      <c r="N42" s="109">
        <f t="shared" si="8"/>
        <v>214.0146154</v>
      </c>
      <c r="O42" s="112">
        <v>250.0</v>
      </c>
      <c r="P42" s="109">
        <f t="shared" si="9"/>
        <v>-35.98538462</v>
      </c>
      <c r="R42" s="113" t="s">
        <v>7</v>
      </c>
      <c r="S42" s="117">
        <f>H36</f>
        <v>59067.79</v>
      </c>
    </row>
    <row r="43" hidden="1" outlineLevel="1">
      <c r="A43" s="132">
        <v>45968.0</v>
      </c>
      <c r="B43" s="106">
        <v>14.0</v>
      </c>
      <c r="C43" s="107">
        <v>20.0</v>
      </c>
      <c r="D43" s="107">
        <f t="shared" si="17"/>
        <v>-6</v>
      </c>
      <c r="E43" s="106">
        <v>8.0</v>
      </c>
      <c r="F43" s="107">
        <v>8.0</v>
      </c>
      <c r="G43" s="107"/>
      <c r="H43" s="108">
        <v>927.61</v>
      </c>
      <c r="I43" s="109">
        <v>2500.0</v>
      </c>
      <c r="J43" s="109">
        <f t="shared" si="12"/>
        <v>-1572.39</v>
      </c>
      <c r="K43" s="133">
        <f t="shared" si="19"/>
        <v>0.5714285714</v>
      </c>
      <c r="L43" s="111">
        <v>0.5</v>
      </c>
      <c r="M43" s="111">
        <f t="shared" si="20"/>
        <v>-0.07142857143</v>
      </c>
      <c r="N43" s="109">
        <f t="shared" si="8"/>
        <v>115.95125</v>
      </c>
      <c r="O43" s="112"/>
      <c r="P43" s="109">
        <f t="shared" si="9"/>
        <v>115.95125</v>
      </c>
      <c r="R43" s="113" t="s">
        <v>47</v>
      </c>
      <c r="S43" s="119">
        <f>S42/S39</f>
        <v>1.1813558</v>
      </c>
    </row>
    <row r="44" hidden="1" outlineLevel="1">
      <c r="A44" s="132">
        <v>45969.0</v>
      </c>
      <c r="B44" s="106">
        <v>24.0</v>
      </c>
      <c r="C44" s="107">
        <v>4.0</v>
      </c>
      <c r="D44" s="107">
        <f t="shared" si="17"/>
        <v>20</v>
      </c>
      <c r="E44" s="106">
        <v>12.0</v>
      </c>
      <c r="F44" s="107">
        <v>5.0</v>
      </c>
      <c r="G44" s="107">
        <f t="shared" ref="G44:G66" si="21">E44-F44</f>
        <v>7</v>
      </c>
      <c r="H44" s="108">
        <v>2527.83</v>
      </c>
      <c r="I44" s="109">
        <v>0.0</v>
      </c>
      <c r="J44" s="109">
        <f t="shared" si="12"/>
        <v>2527.83</v>
      </c>
      <c r="K44" s="133">
        <f t="shared" si="19"/>
        <v>0.5</v>
      </c>
      <c r="L44" s="111">
        <v>0.0</v>
      </c>
      <c r="M44" s="111">
        <f t="shared" si="20"/>
        <v>-0.5</v>
      </c>
      <c r="N44" s="109">
        <f t="shared" si="8"/>
        <v>210.6525</v>
      </c>
      <c r="O44" s="112">
        <v>250.0</v>
      </c>
      <c r="P44" s="109">
        <f t="shared" si="9"/>
        <v>-39.3475</v>
      </c>
      <c r="R44" s="113" t="s">
        <v>48</v>
      </c>
      <c r="S44" s="120">
        <v>2.0</v>
      </c>
    </row>
    <row r="45" hidden="1" outlineLevel="1">
      <c r="A45" s="132">
        <v>45970.0</v>
      </c>
      <c r="B45" s="106">
        <v>0.0</v>
      </c>
      <c r="C45" s="107">
        <v>0.0</v>
      </c>
      <c r="D45" s="107">
        <f t="shared" si="17"/>
        <v>0</v>
      </c>
      <c r="E45" s="106">
        <v>0.0</v>
      </c>
      <c r="F45" s="107">
        <v>0.0</v>
      </c>
      <c r="G45" s="107">
        <f t="shared" si="21"/>
        <v>0</v>
      </c>
      <c r="H45" s="108">
        <v>0.0</v>
      </c>
      <c r="I45" s="109">
        <v>0.0</v>
      </c>
      <c r="J45" s="109">
        <f t="shared" si="12"/>
        <v>0</v>
      </c>
      <c r="K45" s="133" t="str">
        <f t="shared" si="19"/>
        <v/>
      </c>
      <c r="L45" s="111">
        <v>0.0</v>
      </c>
      <c r="M45" s="111">
        <f t="shared" si="20"/>
        <v>0</v>
      </c>
      <c r="N45" s="109" t="str">
        <f t="shared" si="8"/>
        <v/>
      </c>
      <c r="O45" s="112">
        <v>250.0</v>
      </c>
      <c r="P45" s="109">
        <f t="shared" si="9"/>
        <v>-250</v>
      </c>
      <c r="R45" s="113" t="s">
        <v>49</v>
      </c>
      <c r="S45" s="121">
        <f>(S39-S42)/S44</f>
        <v>-4533.895</v>
      </c>
    </row>
    <row r="46" hidden="1" outlineLevel="1">
      <c r="A46" s="132">
        <v>45971.0</v>
      </c>
      <c r="B46" s="106">
        <v>20.0</v>
      </c>
      <c r="C46" s="107">
        <v>20.0</v>
      </c>
      <c r="D46" s="107">
        <f t="shared" si="17"/>
        <v>0</v>
      </c>
      <c r="E46" s="106">
        <v>16.0</v>
      </c>
      <c r="F46" s="107">
        <v>8.0</v>
      </c>
      <c r="G46" s="107">
        <f t="shared" si="21"/>
        <v>8</v>
      </c>
      <c r="H46" s="108">
        <v>2911.02</v>
      </c>
      <c r="I46" s="109">
        <v>2500.0</v>
      </c>
      <c r="J46" s="109">
        <f t="shared" si="12"/>
        <v>411.02</v>
      </c>
      <c r="K46" s="133">
        <f t="shared" si="19"/>
        <v>0.8</v>
      </c>
      <c r="L46" s="111">
        <v>0.5</v>
      </c>
      <c r="M46" s="111">
        <f t="shared" si="20"/>
        <v>-0.3</v>
      </c>
      <c r="N46" s="109">
        <f t="shared" si="8"/>
        <v>181.93875</v>
      </c>
      <c r="O46" s="112">
        <v>250.0</v>
      </c>
      <c r="P46" s="109">
        <f t="shared" si="9"/>
        <v>-68.06125</v>
      </c>
      <c r="R46" s="113" t="s">
        <v>50</v>
      </c>
      <c r="S46" s="122">
        <f>N36</f>
        <v>190.5412581</v>
      </c>
    </row>
    <row r="47" hidden="1" outlineLevel="1">
      <c r="A47" s="132">
        <v>45972.0</v>
      </c>
      <c r="B47" s="106">
        <v>15.0</v>
      </c>
      <c r="C47" s="107">
        <v>20.0</v>
      </c>
      <c r="D47" s="123">
        <f t="shared" si="17"/>
        <v>-5</v>
      </c>
      <c r="E47" s="106">
        <v>15.0</v>
      </c>
      <c r="F47" s="107">
        <v>8.0</v>
      </c>
      <c r="G47" s="123">
        <f t="shared" si="21"/>
        <v>7</v>
      </c>
      <c r="H47" s="108">
        <v>2457.67</v>
      </c>
      <c r="I47" s="109">
        <v>2500.0</v>
      </c>
      <c r="J47" s="124">
        <f t="shared" si="12"/>
        <v>-42.33</v>
      </c>
      <c r="K47" s="133">
        <f t="shared" si="19"/>
        <v>1</v>
      </c>
      <c r="L47" s="111">
        <v>0.5</v>
      </c>
      <c r="M47" s="111">
        <f t="shared" si="20"/>
        <v>-0.5</v>
      </c>
      <c r="N47" s="124">
        <f t="shared" si="8"/>
        <v>163.8446667</v>
      </c>
      <c r="O47" s="126">
        <v>250.0</v>
      </c>
      <c r="P47" s="124">
        <f t="shared" si="9"/>
        <v>-86.15533333</v>
      </c>
      <c r="R47" s="113" t="s">
        <v>51</v>
      </c>
      <c r="S47" s="128">
        <f>B36</f>
        <v>416</v>
      </c>
    </row>
    <row r="48" hidden="1" outlineLevel="1">
      <c r="A48" s="132">
        <v>45973.0</v>
      </c>
      <c r="B48" s="106">
        <v>13.0</v>
      </c>
      <c r="C48" s="107">
        <v>20.0</v>
      </c>
      <c r="D48" s="123">
        <f t="shared" si="17"/>
        <v>-7</v>
      </c>
      <c r="E48" s="106">
        <v>18.0</v>
      </c>
      <c r="F48" s="107">
        <v>8.0</v>
      </c>
      <c r="G48" s="123">
        <f t="shared" si="21"/>
        <v>10</v>
      </c>
      <c r="H48" s="108">
        <v>4167.17</v>
      </c>
      <c r="I48" s="109">
        <v>2500.0</v>
      </c>
      <c r="J48" s="124">
        <f t="shared" si="12"/>
        <v>1667.17</v>
      </c>
      <c r="K48" s="134">
        <f t="shared" si="19"/>
        <v>1.384615385</v>
      </c>
      <c r="L48" s="111">
        <v>0.5</v>
      </c>
      <c r="M48" s="111">
        <f t="shared" si="20"/>
        <v>-0.8846153846</v>
      </c>
      <c r="N48" s="124">
        <f t="shared" si="8"/>
        <v>231.5094444</v>
      </c>
      <c r="O48" s="126">
        <v>250.0</v>
      </c>
      <c r="P48" s="124">
        <f t="shared" si="9"/>
        <v>-18.49055556</v>
      </c>
      <c r="R48" s="113" t="s">
        <v>52</v>
      </c>
      <c r="S48" s="128">
        <f>E36</f>
        <v>310</v>
      </c>
    </row>
    <row r="49" hidden="1" outlineLevel="1">
      <c r="A49" s="132">
        <v>45974.0</v>
      </c>
      <c r="B49" s="106">
        <v>16.0</v>
      </c>
      <c r="C49" s="107">
        <v>20.0</v>
      </c>
      <c r="D49" s="123">
        <f t="shared" si="17"/>
        <v>-4</v>
      </c>
      <c r="E49" s="106">
        <v>14.0</v>
      </c>
      <c r="F49" s="107">
        <v>8.0</v>
      </c>
      <c r="G49" s="123">
        <f t="shared" si="21"/>
        <v>6</v>
      </c>
      <c r="H49" s="108">
        <v>3557.62</v>
      </c>
      <c r="I49" s="109">
        <v>2500.0</v>
      </c>
      <c r="J49" s="124">
        <f t="shared" si="12"/>
        <v>1057.62</v>
      </c>
      <c r="K49" s="134">
        <f t="shared" si="19"/>
        <v>0.875</v>
      </c>
      <c r="L49" s="111">
        <v>0.5</v>
      </c>
      <c r="M49" s="111">
        <f t="shared" si="20"/>
        <v>-0.375</v>
      </c>
      <c r="N49" s="124">
        <f t="shared" si="8"/>
        <v>254.1157143</v>
      </c>
      <c r="O49" s="126">
        <v>250.0</v>
      </c>
      <c r="P49" s="124">
        <f t="shared" si="9"/>
        <v>4.115714286</v>
      </c>
      <c r="R49" s="113" t="s">
        <v>4</v>
      </c>
      <c r="S49" s="119">
        <f>E36/B36</f>
        <v>0.7451923077</v>
      </c>
    </row>
    <row r="50" hidden="1" outlineLevel="1">
      <c r="A50" s="132">
        <v>45975.0</v>
      </c>
      <c r="B50" s="106">
        <v>26.0</v>
      </c>
      <c r="C50" s="107">
        <v>20.0</v>
      </c>
      <c r="D50" s="123">
        <f t="shared" si="17"/>
        <v>6</v>
      </c>
      <c r="E50" s="106">
        <v>17.0</v>
      </c>
      <c r="F50" s="107">
        <v>8.0</v>
      </c>
      <c r="G50" s="123">
        <f t="shared" si="21"/>
        <v>9</v>
      </c>
      <c r="H50" s="108">
        <v>2789.12</v>
      </c>
      <c r="I50" s="109">
        <v>2500.0</v>
      </c>
      <c r="J50" s="124">
        <f t="shared" si="12"/>
        <v>289.12</v>
      </c>
      <c r="K50" s="134">
        <f t="shared" si="19"/>
        <v>0.6538461538</v>
      </c>
      <c r="L50" s="111">
        <v>0.5</v>
      </c>
      <c r="M50" s="111">
        <f t="shared" si="20"/>
        <v>-0.1538461538</v>
      </c>
      <c r="N50" s="124">
        <f t="shared" si="8"/>
        <v>164.0658824</v>
      </c>
      <c r="O50" s="126">
        <v>250.0</v>
      </c>
      <c r="P50" s="124">
        <f t="shared" si="9"/>
        <v>-85.93411765</v>
      </c>
    </row>
    <row r="51" hidden="1" outlineLevel="1">
      <c r="A51" s="132">
        <v>45976.0</v>
      </c>
      <c r="B51" s="106">
        <v>0.0</v>
      </c>
      <c r="C51" s="107">
        <v>4.0</v>
      </c>
      <c r="D51" s="123">
        <f t="shared" si="17"/>
        <v>-4</v>
      </c>
      <c r="E51" s="106">
        <v>0.0</v>
      </c>
      <c r="F51" s="107">
        <v>5.0</v>
      </c>
      <c r="G51" s="123">
        <f t="shared" si="21"/>
        <v>-5</v>
      </c>
      <c r="H51" s="108">
        <v>0.0</v>
      </c>
      <c r="I51" s="109">
        <v>0.0</v>
      </c>
      <c r="J51" s="124">
        <f t="shared" si="12"/>
        <v>0</v>
      </c>
      <c r="K51" s="134" t="str">
        <f t="shared" si="19"/>
        <v/>
      </c>
      <c r="L51" s="111">
        <v>0.0</v>
      </c>
      <c r="M51" s="111">
        <f t="shared" si="20"/>
        <v>0</v>
      </c>
      <c r="N51" s="124" t="str">
        <f t="shared" si="8"/>
        <v/>
      </c>
      <c r="O51" s="126">
        <v>250.0</v>
      </c>
      <c r="P51" s="124">
        <f t="shared" si="9"/>
        <v>-250</v>
      </c>
    </row>
    <row r="52" hidden="1" outlineLevel="1">
      <c r="A52" s="132">
        <v>45977.0</v>
      </c>
      <c r="B52" s="106">
        <v>0.0</v>
      </c>
      <c r="C52" s="107">
        <v>0.0</v>
      </c>
      <c r="D52" s="123">
        <f t="shared" si="17"/>
        <v>0</v>
      </c>
      <c r="E52" s="106">
        <v>0.0</v>
      </c>
      <c r="F52" s="107">
        <v>0.0</v>
      </c>
      <c r="G52" s="123">
        <f t="shared" si="21"/>
        <v>0</v>
      </c>
      <c r="H52" s="108">
        <v>0.0</v>
      </c>
      <c r="I52" s="109">
        <v>0.0</v>
      </c>
      <c r="J52" s="124">
        <f t="shared" si="12"/>
        <v>0</v>
      </c>
      <c r="K52" s="134" t="str">
        <f t="shared" si="19"/>
        <v/>
      </c>
      <c r="L52" s="111">
        <v>0.0</v>
      </c>
      <c r="M52" s="111">
        <f t="shared" si="20"/>
        <v>0</v>
      </c>
      <c r="N52" s="124" t="str">
        <f t="shared" si="8"/>
        <v/>
      </c>
      <c r="O52" s="126">
        <v>250.0</v>
      </c>
      <c r="P52" s="124">
        <f t="shared" si="9"/>
        <v>-250</v>
      </c>
    </row>
    <row r="53" hidden="1" outlineLevel="1">
      <c r="A53" s="132">
        <v>45978.0</v>
      </c>
      <c r="B53" s="106">
        <v>26.0</v>
      </c>
      <c r="C53" s="107">
        <v>20.0</v>
      </c>
      <c r="D53" s="123">
        <f t="shared" si="17"/>
        <v>6</v>
      </c>
      <c r="E53" s="106">
        <v>15.0</v>
      </c>
      <c r="F53" s="107">
        <v>8.0</v>
      </c>
      <c r="G53" s="123">
        <f t="shared" si="21"/>
        <v>7</v>
      </c>
      <c r="H53" s="108">
        <v>3056.7</v>
      </c>
      <c r="I53" s="109">
        <v>2500.0</v>
      </c>
      <c r="J53" s="124">
        <f t="shared" si="12"/>
        <v>556.7</v>
      </c>
      <c r="K53" s="134">
        <f t="shared" si="19"/>
        <v>0.5769230769</v>
      </c>
      <c r="L53" s="111">
        <v>0.5</v>
      </c>
      <c r="M53" s="111">
        <f t="shared" si="20"/>
        <v>-0.07692307692</v>
      </c>
      <c r="N53" s="124">
        <f t="shared" si="8"/>
        <v>203.78</v>
      </c>
      <c r="O53" s="126">
        <v>250.0</v>
      </c>
      <c r="P53" s="124">
        <f t="shared" si="9"/>
        <v>-46.22</v>
      </c>
    </row>
    <row r="54" hidden="1" outlineLevel="1">
      <c r="A54" s="132">
        <v>45979.0</v>
      </c>
      <c r="B54" s="106">
        <v>34.0</v>
      </c>
      <c r="C54" s="107">
        <v>20.0</v>
      </c>
      <c r="D54" s="123">
        <f t="shared" si="17"/>
        <v>14</v>
      </c>
      <c r="E54" s="106">
        <v>20.0</v>
      </c>
      <c r="F54" s="107">
        <v>8.0</v>
      </c>
      <c r="G54" s="123">
        <f t="shared" si="21"/>
        <v>12</v>
      </c>
      <c r="H54" s="108">
        <v>3195.41</v>
      </c>
      <c r="I54" s="109">
        <v>2500.0</v>
      </c>
      <c r="J54" s="124">
        <f t="shared" si="12"/>
        <v>695.41</v>
      </c>
      <c r="K54" s="134">
        <f t="shared" si="19"/>
        <v>0.5882352941</v>
      </c>
      <c r="L54" s="111">
        <v>0.5</v>
      </c>
      <c r="M54" s="111">
        <f t="shared" si="20"/>
        <v>-0.08823529412</v>
      </c>
      <c r="N54" s="124">
        <f t="shared" si="8"/>
        <v>159.7705</v>
      </c>
      <c r="O54" s="126">
        <v>250.0</v>
      </c>
      <c r="P54" s="124">
        <f t="shared" si="9"/>
        <v>-90.2295</v>
      </c>
      <c r="S54" s="94"/>
    </row>
    <row r="55" hidden="1" outlineLevel="1">
      <c r="A55" s="132">
        <v>45980.0</v>
      </c>
      <c r="B55" s="106">
        <v>18.0</v>
      </c>
      <c r="C55" s="107">
        <v>20.0</v>
      </c>
      <c r="D55" s="123">
        <f t="shared" si="17"/>
        <v>-2</v>
      </c>
      <c r="E55" s="106">
        <v>15.0</v>
      </c>
      <c r="F55" s="107">
        <v>8.0</v>
      </c>
      <c r="G55" s="123">
        <f t="shared" si="21"/>
        <v>7</v>
      </c>
      <c r="H55" s="108">
        <v>2444.11</v>
      </c>
      <c r="I55" s="109">
        <v>2500.0</v>
      </c>
      <c r="J55" s="124">
        <f t="shared" si="12"/>
        <v>-55.89</v>
      </c>
      <c r="K55" s="134">
        <f t="shared" si="19"/>
        <v>0.8333333333</v>
      </c>
      <c r="L55" s="111">
        <v>0.5</v>
      </c>
      <c r="M55" s="111">
        <f t="shared" si="20"/>
        <v>-0.3333333333</v>
      </c>
      <c r="N55" s="124">
        <f t="shared" si="8"/>
        <v>162.9406667</v>
      </c>
      <c r="O55" s="126">
        <v>250.0</v>
      </c>
      <c r="P55" s="124">
        <f t="shared" si="9"/>
        <v>-87.05933333</v>
      </c>
      <c r="S55" s="94"/>
    </row>
    <row r="56" hidden="1" outlineLevel="1">
      <c r="A56" s="132">
        <v>45981.0</v>
      </c>
      <c r="B56" s="106">
        <v>2.0</v>
      </c>
      <c r="C56" s="107">
        <v>20.0</v>
      </c>
      <c r="D56" s="123">
        <f t="shared" si="17"/>
        <v>-18</v>
      </c>
      <c r="E56" s="106">
        <v>1.0</v>
      </c>
      <c r="F56" s="107">
        <v>8.0</v>
      </c>
      <c r="G56" s="123">
        <f t="shared" si="21"/>
        <v>-7</v>
      </c>
      <c r="H56" s="108">
        <v>193.3</v>
      </c>
      <c r="I56" s="109">
        <v>2500.0</v>
      </c>
      <c r="J56" s="124">
        <f t="shared" si="12"/>
        <v>-2306.7</v>
      </c>
      <c r="K56" s="134">
        <f t="shared" si="19"/>
        <v>0.5</v>
      </c>
      <c r="L56" s="111">
        <v>0.5</v>
      </c>
      <c r="M56" s="111">
        <f t="shared" si="20"/>
        <v>0</v>
      </c>
      <c r="N56" s="124">
        <f t="shared" si="8"/>
        <v>193.3</v>
      </c>
      <c r="O56" s="126">
        <v>250.0</v>
      </c>
      <c r="P56" s="124">
        <f t="shared" si="9"/>
        <v>-56.7</v>
      </c>
      <c r="S56" s="94"/>
    </row>
    <row r="57" hidden="1" outlineLevel="1">
      <c r="A57" s="132">
        <v>45982.0</v>
      </c>
      <c r="B57" s="106">
        <v>17.0</v>
      </c>
      <c r="C57" s="107">
        <v>20.0</v>
      </c>
      <c r="D57" s="123">
        <f t="shared" si="17"/>
        <v>-3</v>
      </c>
      <c r="E57" s="106">
        <v>10.0</v>
      </c>
      <c r="F57" s="107">
        <v>8.0</v>
      </c>
      <c r="G57" s="123">
        <f t="shared" si="21"/>
        <v>2</v>
      </c>
      <c r="H57" s="108">
        <v>1864.9</v>
      </c>
      <c r="I57" s="109">
        <v>2500.0</v>
      </c>
      <c r="J57" s="124">
        <f t="shared" si="12"/>
        <v>-635.1</v>
      </c>
      <c r="K57" s="134">
        <f t="shared" si="19"/>
        <v>0.5882352941</v>
      </c>
      <c r="L57" s="111">
        <v>0.5</v>
      </c>
      <c r="M57" s="111">
        <f t="shared" si="20"/>
        <v>-0.08823529412</v>
      </c>
      <c r="N57" s="124">
        <f t="shared" si="8"/>
        <v>186.49</v>
      </c>
      <c r="O57" s="126">
        <v>250.0</v>
      </c>
      <c r="P57" s="124">
        <f t="shared" si="9"/>
        <v>-63.51</v>
      </c>
      <c r="S57" s="94"/>
    </row>
    <row r="58" hidden="1" outlineLevel="1">
      <c r="A58" s="132">
        <v>45983.0</v>
      </c>
      <c r="B58" s="106">
        <v>6.0</v>
      </c>
      <c r="C58" s="107">
        <v>4.0</v>
      </c>
      <c r="D58" s="123">
        <f t="shared" si="17"/>
        <v>2</v>
      </c>
      <c r="E58" s="106">
        <v>6.0</v>
      </c>
      <c r="F58" s="107">
        <v>5.0</v>
      </c>
      <c r="G58" s="123">
        <f t="shared" si="21"/>
        <v>1</v>
      </c>
      <c r="H58" s="108">
        <v>1215.24</v>
      </c>
      <c r="I58" s="109">
        <v>0.0</v>
      </c>
      <c r="J58" s="124">
        <f t="shared" si="12"/>
        <v>1215.24</v>
      </c>
      <c r="K58" s="134">
        <f t="shared" si="19"/>
        <v>1</v>
      </c>
      <c r="L58" s="111">
        <v>0.0</v>
      </c>
      <c r="M58" s="111">
        <f t="shared" si="20"/>
        <v>-1</v>
      </c>
      <c r="N58" s="124">
        <f t="shared" si="8"/>
        <v>202.54</v>
      </c>
      <c r="O58" s="126">
        <v>250.0</v>
      </c>
      <c r="P58" s="124">
        <f t="shared" si="9"/>
        <v>-47.46</v>
      </c>
      <c r="S58" s="94"/>
    </row>
    <row r="59" hidden="1" outlineLevel="1">
      <c r="A59" s="132">
        <v>45984.0</v>
      </c>
      <c r="B59" s="106">
        <v>0.0</v>
      </c>
      <c r="C59" s="107">
        <v>0.0</v>
      </c>
      <c r="D59" s="123">
        <f t="shared" si="17"/>
        <v>0</v>
      </c>
      <c r="E59" s="106">
        <v>0.0</v>
      </c>
      <c r="F59" s="107">
        <v>0.0</v>
      </c>
      <c r="G59" s="123">
        <f t="shared" si="21"/>
        <v>0</v>
      </c>
      <c r="H59" s="108">
        <v>0.0</v>
      </c>
      <c r="I59" s="109">
        <v>0.0</v>
      </c>
      <c r="J59" s="124">
        <f>H60-I59</f>
        <v>1459.91</v>
      </c>
      <c r="K59" s="134" t="str">
        <f t="shared" si="19"/>
        <v/>
      </c>
      <c r="L59" s="111">
        <v>0.0</v>
      </c>
      <c r="M59" s="111">
        <f t="shared" si="20"/>
        <v>0</v>
      </c>
      <c r="N59" s="124" t="str">
        <f>IFERROR(H60/E59,"")</f>
        <v/>
      </c>
      <c r="O59" s="126">
        <v>250.0</v>
      </c>
      <c r="P59" s="124">
        <f t="shared" si="9"/>
        <v>-250</v>
      </c>
      <c r="S59" s="94"/>
    </row>
    <row r="60" hidden="1" outlineLevel="1">
      <c r="A60" s="132">
        <v>45985.0</v>
      </c>
      <c r="B60" s="106">
        <v>16.0</v>
      </c>
      <c r="C60" s="107">
        <v>20.0</v>
      </c>
      <c r="D60" s="123">
        <f t="shared" si="17"/>
        <v>-4</v>
      </c>
      <c r="E60" s="106">
        <v>8.0</v>
      </c>
      <c r="F60" s="107">
        <v>8.0</v>
      </c>
      <c r="G60" s="123">
        <f t="shared" si="21"/>
        <v>0</v>
      </c>
      <c r="H60" s="108">
        <v>1459.91</v>
      </c>
      <c r="I60" s="109">
        <v>2500.0</v>
      </c>
      <c r="J60" s="124" t="str">
        <f>#REF!-I60</f>
        <v>#REF!</v>
      </c>
      <c r="K60" s="134">
        <f t="shared" si="19"/>
        <v>0.5</v>
      </c>
      <c r="L60" s="111">
        <v>0.5</v>
      </c>
      <c r="M60" s="111">
        <f t="shared" si="20"/>
        <v>0</v>
      </c>
      <c r="N60" s="124" t="str">
        <f>IFERROR(#REF!/E60,"")</f>
        <v/>
      </c>
      <c r="O60" s="126">
        <v>250.0</v>
      </c>
      <c r="P60" s="124">
        <f t="shared" si="9"/>
        <v>-250</v>
      </c>
      <c r="S60" s="94"/>
    </row>
    <row r="61" hidden="1" outlineLevel="1">
      <c r="A61" s="132">
        <v>45986.0</v>
      </c>
      <c r="B61" s="106">
        <v>17.0</v>
      </c>
      <c r="C61" s="107">
        <v>20.0</v>
      </c>
      <c r="D61" s="123">
        <f t="shared" si="17"/>
        <v>-3</v>
      </c>
      <c r="E61" s="106">
        <v>13.0</v>
      </c>
      <c r="F61" s="107">
        <v>8.0</v>
      </c>
      <c r="G61" s="123">
        <f t="shared" si="21"/>
        <v>5</v>
      </c>
      <c r="H61" s="108">
        <v>2567.86</v>
      </c>
      <c r="I61" s="109">
        <v>2500.0</v>
      </c>
      <c r="J61" s="124">
        <f t="shared" ref="J61:J66" si="22">H61-I61</f>
        <v>67.86</v>
      </c>
      <c r="K61" s="134">
        <f t="shared" si="19"/>
        <v>0.7647058824</v>
      </c>
      <c r="L61" s="111">
        <v>0.5</v>
      </c>
      <c r="M61" s="111">
        <f t="shared" si="20"/>
        <v>-0.2647058824</v>
      </c>
      <c r="N61" s="124">
        <f t="shared" ref="N61:N128" si="23">IFERROR(H61/E61,"")</f>
        <v>197.5276923</v>
      </c>
      <c r="O61" s="126">
        <v>250.0</v>
      </c>
      <c r="P61" s="124">
        <f t="shared" si="9"/>
        <v>-52.47230769</v>
      </c>
      <c r="S61" s="94"/>
    </row>
    <row r="62" hidden="1" outlineLevel="1">
      <c r="A62" s="132">
        <v>45987.0</v>
      </c>
      <c r="B62" s="106">
        <v>20.0</v>
      </c>
      <c r="C62" s="107">
        <v>20.0</v>
      </c>
      <c r="D62" s="123">
        <f t="shared" si="17"/>
        <v>0</v>
      </c>
      <c r="E62" s="106">
        <v>17.0</v>
      </c>
      <c r="F62" s="107">
        <v>8.0</v>
      </c>
      <c r="G62" s="123">
        <f t="shared" si="21"/>
        <v>9</v>
      </c>
      <c r="H62" s="108">
        <v>2890.43</v>
      </c>
      <c r="I62" s="109">
        <v>2500.0</v>
      </c>
      <c r="J62" s="124">
        <f t="shared" si="22"/>
        <v>390.43</v>
      </c>
      <c r="K62" s="134">
        <f t="shared" si="19"/>
        <v>0.85</v>
      </c>
      <c r="L62" s="111">
        <v>0.5</v>
      </c>
      <c r="M62" s="111">
        <f t="shared" si="20"/>
        <v>-0.35</v>
      </c>
      <c r="N62" s="124">
        <f t="shared" si="23"/>
        <v>170.0252941</v>
      </c>
      <c r="O62" s="126">
        <v>250.0</v>
      </c>
      <c r="P62" s="124">
        <f t="shared" si="9"/>
        <v>-79.97470588</v>
      </c>
      <c r="S62" s="94"/>
    </row>
    <row r="63" hidden="1" outlineLevel="1">
      <c r="A63" s="132">
        <v>45988.0</v>
      </c>
      <c r="B63" s="106">
        <v>27.0</v>
      </c>
      <c r="C63" s="107">
        <v>20.0</v>
      </c>
      <c r="D63" s="123">
        <f t="shared" si="17"/>
        <v>7</v>
      </c>
      <c r="E63" s="106">
        <v>20.0</v>
      </c>
      <c r="F63" s="107">
        <v>8.0</v>
      </c>
      <c r="G63" s="123">
        <f t="shared" si="21"/>
        <v>12</v>
      </c>
      <c r="H63" s="108">
        <v>3732.2</v>
      </c>
      <c r="I63" s="109">
        <v>2500.0</v>
      </c>
      <c r="J63" s="124">
        <f t="shared" si="22"/>
        <v>1232.2</v>
      </c>
      <c r="K63" s="134">
        <f t="shared" si="19"/>
        <v>0.7407407407</v>
      </c>
      <c r="L63" s="111">
        <v>0.5</v>
      </c>
      <c r="M63" s="111">
        <f t="shared" si="20"/>
        <v>-0.2407407407</v>
      </c>
      <c r="N63" s="124">
        <f t="shared" si="23"/>
        <v>186.61</v>
      </c>
      <c r="O63" s="126">
        <v>250.0</v>
      </c>
      <c r="P63" s="124">
        <f t="shared" si="9"/>
        <v>-63.39</v>
      </c>
      <c r="S63" s="94"/>
    </row>
    <row r="64" hidden="1" outlineLevel="1">
      <c r="A64" s="132">
        <v>45989.0</v>
      </c>
      <c r="B64" s="106">
        <v>18.0</v>
      </c>
      <c r="C64" s="107">
        <v>20.0</v>
      </c>
      <c r="D64" s="123">
        <f t="shared" si="17"/>
        <v>-2</v>
      </c>
      <c r="E64" s="106">
        <v>19.0</v>
      </c>
      <c r="F64" s="107">
        <v>8.0</v>
      </c>
      <c r="G64" s="123">
        <f t="shared" si="21"/>
        <v>11</v>
      </c>
      <c r="H64" s="108">
        <v>3116.89</v>
      </c>
      <c r="I64" s="109">
        <v>2500.0</v>
      </c>
      <c r="J64" s="124">
        <f t="shared" si="22"/>
        <v>616.89</v>
      </c>
      <c r="K64" s="134">
        <f t="shared" si="19"/>
        <v>1.055555556</v>
      </c>
      <c r="L64" s="111">
        <v>0.5</v>
      </c>
      <c r="M64" s="111">
        <f t="shared" si="20"/>
        <v>-0.5555555556</v>
      </c>
      <c r="N64" s="124">
        <f t="shared" si="23"/>
        <v>164.0468421</v>
      </c>
      <c r="O64" s="126">
        <v>250.0</v>
      </c>
      <c r="P64" s="124">
        <f t="shared" si="9"/>
        <v>-85.95315789</v>
      </c>
      <c r="S64" s="94"/>
    </row>
    <row r="65" hidden="1" outlineLevel="1">
      <c r="A65" s="132">
        <v>45990.0</v>
      </c>
      <c r="B65" s="106">
        <v>7.0</v>
      </c>
      <c r="C65" s="107">
        <v>4.0</v>
      </c>
      <c r="D65" s="123">
        <f t="shared" si="17"/>
        <v>3</v>
      </c>
      <c r="E65" s="106">
        <v>7.0</v>
      </c>
      <c r="F65" s="107">
        <v>5.0</v>
      </c>
      <c r="G65" s="123">
        <f t="shared" si="21"/>
        <v>2</v>
      </c>
      <c r="H65" s="108">
        <v>1203.97</v>
      </c>
      <c r="I65" s="109">
        <v>0.0</v>
      </c>
      <c r="J65" s="124">
        <f t="shared" si="22"/>
        <v>1203.97</v>
      </c>
      <c r="K65" s="134">
        <f t="shared" si="19"/>
        <v>1</v>
      </c>
      <c r="L65" s="111">
        <v>0.0</v>
      </c>
      <c r="M65" s="111">
        <f t="shared" si="20"/>
        <v>-1</v>
      </c>
      <c r="N65" s="124">
        <f t="shared" si="23"/>
        <v>171.9957143</v>
      </c>
      <c r="O65" s="126">
        <v>250.0</v>
      </c>
      <c r="P65" s="124">
        <f t="shared" si="9"/>
        <v>-78.00428571</v>
      </c>
      <c r="S65" s="94"/>
    </row>
    <row r="66" hidden="1" outlineLevel="1">
      <c r="A66" s="132">
        <v>45991.0</v>
      </c>
      <c r="B66" s="106">
        <v>0.0</v>
      </c>
      <c r="C66" s="107">
        <v>0.0</v>
      </c>
      <c r="D66" s="123">
        <f t="shared" si="17"/>
        <v>0</v>
      </c>
      <c r="E66" s="106">
        <v>0.0</v>
      </c>
      <c r="F66" s="107">
        <v>0.0</v>
      </c>
      <c r="G66" s="123">
        <f t="shared" si="21"/>
        <v>0</v>
      </c>
      <c r="H66" s="108">
        <v>0.0</v>
      </c>
      <c r="I66" s="109">
        <v>0.0</v>
      </c>
      <c r="J66" s="124">
        <f t="shared" si="22"/>
        <v>0</v>
      </c>
      <c r="K66" s="134" t="str">
        <f t="shared" si="19"/>
        <v/>
      </c>
      <c r="L66" s="111">
        <v>0.0</v>
      </c>
      <c r="M66" s="111">
        <f t="shared" si="20"/>
        <v>0</v>
      </c>
      <c r="N66" s="124" t="str">
        <f t="shared" si="23"/>
        <v/>
      </c>
      <c r="O66" s="126">
        <v>250.0</v>
      </c>
      <c r="P66" s="124">
        <f t="shared" si="9"/>
        <v>-250</v>
      </c>
      <c r="S66" s="94"/>
    </row>
    <row r="67" collapsed="1">
      <c r="A67" s="100" t="s">
        <v>55</v>
      </c>
      <c r="B67" s="100">
        <f t="shared" ref="B67:J67" si="24">SUM(B68:B97)</f>
        <v>142</v>
      </c>
      <c r="C67" s="100">
        <f t="shared" si="24"/>
        <v>420</v>
      </c>
      <c r="D67" s="100">
        <f t="shared" si="24"/>
        <v>-278</v>
      </c>
      <c r="E67" s="100">
        <f t="shared" si="24"/>
        <v>28</v>
      </c>
      <c r="F67" s="100">
        <f t="shared" si="24"/>
        <v>185</v>
      </c>
      <c r="G67" s="100">
        <f t="shared" si="24"/>
        <v>-149</v>
      </c>
      <c r="H67" s="101">
        <f t="shared" si="24"/>
        <v>6316.08</v>
      </c>
      <c r="I67" s="101">
        <f t="shared" si="24"/>
        <v>15000</v>
      </c>
      <c r="J67" s="102">
        <f t="shared" si="24"/>
        <v>-8683.92</v>
      </c>
      <c r="K67" s="103">
        <f>E67/B67</f>
        <v>0.1971830986</v>
      </c>
      <c r="L67" s="103">
        <v>0.5</v>
      </c>
      <c r="M67" s="103">
        <f>K67-L67</f>
        <v>-0.3028169014</v>
      </c>
      <c r="N67" s="102">
        <f t="shared" si="23"/>
        <v>225.5742857</v>
      </c>
      <c r="O67" s="104">
        <f>O68</f>
        <v>250</v>
      </c>
      <c r="P67" s="102">
        <f t="shared" si="9"/>
        <v>-24.42571429</v>
      </c>
    </row>
    <row r="68" hidden="1" outlineLevel="1">
      <c r="A68" s="132">
        <v>45962.0</v>
      </c>
      <c r="B68" s="106">
        <v>0.0</v>
      </c>
      <c r="C68" s="107">
        <v>4.0</v>
      </c>
      <c r="D68" s="107">
        <f t="shared" ref="D68:D97" si="25">B68-C68</f>
        <v>-4</v>
      </c>
      <c r="E68" s="106">
        <v>0.0</v>
      </c>
      <c r="F68" s="107">
        <v>5.0</v>
      </c>
      <c r="G68" s="107">
        <f t="shared" ref="G68:G73" si="26">E68-F68</f>
        <v>-5</v>
      </c>
      <c r="H68" s="108">
        <v>0.0</v>
      </c>
      <c r="I68" s="109">
        <v>0.0</v>
      </c>
      <c r="J68" s="109">
        <f t="shared" ref="J68:J97" si="27">H68-I68</f>
        <v>0</v>
      </c>
      <c r="K68" s="133" t="str">
        <f t="shared" ref="K68:K97" si="28">IFERROR(E68/B68,"")</f>
        <v/>
      </c>
      <c r="L68" s="111">
        <v>0.0</v>
      </c>
      <c r="M68" s="111">
        <f t="shared" ref="M68:M97" si="29">L68-K68</f>
        <v>0</v>
      </c>
      <c r="N68" s="109" t="str">
        <f t="shared" si="23"/>
        <v/>
      </c>
      <c r="O68" s="112">
        <v>250.0</v>
      </c>
      <c r="P68" s="109">
        <f t="shared" si="9"/>
        <v>-250</v>
      </c>
    </row>
    <row r="69" hidden="1" outlineLevel="1">
      <c r="A69" s="132">
        <v>45963.0</v>
      </c>
      <c r="B69" s="106">
        <v>0.0</v>
      </c>
      <c r="C69" s="107">
        <v>0.0</v>
      </c>
      <c r="D69" s="107">
        <f t="shared" si="25"/>
        <v>0</v>
      </c>
      <c r="E69" s="106">
        <v>0.0</v>
      </c>
      <c r="F69" s="107">
        <v>0.0</v>
      </c>
      <c r="G69" s="107">
        <f t="shared" si="26"/>
        <v>0</v>
      </c>
      <c r="H69" s="108">
        <v>0.0</v>
      </c>
      <c r="I69" s="109">
        <v>0.0</v>
      </c>
      <c r="J69" s="109">
        <f t="shared" si="27"/>
        <v>0</v>
      </c>
      <c r="K69" s="133" t="str">
        <f t="shared" si="28"/>
        <v/>
      </c>
      <c r="L69" s="111">
        <v>0.0</v>
      </c>
      <c r="M69" s="111">
        <f t="shared" si="29"/>
        <v>0</v>
      </c>
      <c r="N69" s="109" t="str">
        <f t="shared" si="23"/>
        <v/>
      </c>
      <c r="O69" s="112">
        <v>250.0</v>
      </c>
      <c r="P69" s="109">
        <f t="shared" si="9"/>
        <v>-250</v>
      </c>
    </row>
    <row r="70" hidden="1" outlineLevel="1">
      <c r="A70" s="132">
        <v>45964.0</v>
      </c>
      <c r="B70" s="106">
        <v>0.0</v>
      </c>
      <c r="C70" s="107">
        <v>20.0</v>
      </c>
      <c r="D70" s="107">
        <f t="shared" si="25"/>
        <v>-20</v>
      </c>
      <c r="E70" s="106">
        <v>0.0</v>
      </c>
      <c r="F70" s="107">
        <v>8.0</v>
      </c>
      <c r="G70" s="107">
        <f t="shared" si="26"/>
        <v>-8</v>
      </c>
      <c r="H70" s="108">
        <v>0.0</v>
      </c>
      <c r="I70" s="109">
        <v>0.0</v>
      </c>
      <c r="J70" s="109">
        <f t="shared" si="27"/>
        <v>0</v>
      </c>
      <c r="K70" s="133" t="str">
        <f t="shared" si="28"/>
        <v/>
      </c>
      <c r="L70" s="111">
        <v>0.5</v>
      </c>
      <c r="M70" s="111">
        <f t="shared" si="29"/>
        <v>0.5</v>
      </c>
      <c r="N70" s="109" t="str">
        <f t="shared" si="23"/>
        <v/>
      </c>
      <c r="O70" s="112">
        <v>250.0</v>
      </c>
      <c r="P70" s="109">
        <f t="shared" si="9"/>
        <v>-250</v>
      </c>
    </row>
    <row r="71" hidden="1" outlineLevel="1">
      <c r="A71" s="132">
        <v>45965.0</v>
      </c>
      <c r="B71" s="106">
        <v>0.0</v>
      </c>
      <c r="C71" s="107">
        <v>20.0</v>
      </c>
      <c r="D71" s="107">
        <f t="shared" si="25"/>
        <v>-20</v>
      </c>
      <c r="E71" s="106">
        <v>0.0</v>
      </c>
      <c r="F71" s="107">
        <v>8.0</v>
      </c>
      <c r="G71" s="107">
        <f t="shared" si="26"/>
        <v>-8</v>
      </c>
      <c r="H71" s="108">
        <v>0.0</v>
      </c>
      <c r="I71" s="109">
        <v>0.0</v>
      </c>
      <c r="J71" s="109">
        <f t="shared" si="27"/>
        <v>0</v>
      </c>
      <c r="K71" s="133" t="str">
        <f t="shared" si="28"/>
        <v/>
      </c>
      <c r="L71" s="111">
        <v>0.5</v>
      </c>
      <c r="M71" s="111">
        <f t="shared" si="29"/>
        <v>0.5</v>
      </c>
      <c r="N71" s="109" t="str">
        <f t="shared" si="23"/>
        <v/>
      </c>
      <c r="O71" s="112">
        <v>250.0</v>
      </c>
      <c r="P71" s="109">
        <f t="shared" si="9"/>
        <v>-250</v>
      </c>
    </row>
    <row r="72" hidden="1" outlineLevel="1">
      <c r="A72" s="132">
        <v>45966.0</v>
      </c>
      <c r="B72" s="106">
        <v>0.0</v>
      </c>
      <c r="C72" s="107">
        <v>20.0</v>
      </c>
      <c r="D72" s="107">
        <f t="shared" si="25"/>
        <v>-20</v>
      </c>
      <c r="E72" s="106">
        <v>0.0</v>
      </c>
      <c r="F72" s="107">
        <v>8.0</v>
      </c>
      <c r="G72" s="107">
        <f t="shared" si="26"/>
        <v>-8</v>
      </c>
      <c r="H72" s="108">
        <v>0.0</v>
      </c>
      <c r="I72" s="109">
        <v>0.0</v>
      </c>
      <c r="J72" s="109">
        <f t="shared" si="27"/>
        <v>0</v>
      </c>
      <c r="K72" s="133" t="str">
        <f t="shared" si="28"/>
        <v/>
      </c>
      <c r="L72" s="111">
        <v>0.5</v>
      </c>
      <c r="M72" s="111">
        <f t="shared" si="29"/>
        <v>0.5</v>
      </c>
      <c r="N72" s="109" t="str">
        <f t="shared" si="23"/>
        <v/>
      </c>
      <c r="O72" s="112">
        <v>250.0</v>
      </c>
      <c r="P72" s="109">
        <f t="shared" si="9"/>
        <v>-250</v>
      </c>
      <c r="R72" s="113" t="s">
        <v>54</v>
      </c>
      <c r="S72" s="94"/>
    </row>
    <row r="73" hidden="1" outlineLevel="1">
      <c r="A73" s="132">
        <v>45967.0</v>
      </c>
      <c r="B73" s="106">
        <v>0.0</v>
      </c>
      <c r="C73" s="107">
        <v>20.0</v>
      </c>
      <c r="D73" s="107">
        <f t="shared" si="25"/>
        <v>-20</v>
      </c>
      <c r="E73" s="106">
        <v>0.0</v>
      </c>
      <c r="F73" s="107">
        <v>8.0</v>
      </c>
      <c r="G73" s="107">
        <f t="shared" si="26"/>
        <v>-8</v>
      </c>
      <c r="H73" s="108">
        <v>0.0</v>
      </c>
      <c r="I73" s="109">
        <v>0.0</v>
      </c>
      <c r="J73" s="109">
        <f t="shared" si="27"/>
        <v>0</v>
      </c>
      <c r="K73" s="133" t="str">
        <f t="shared" si="28"/>
        <v/>
      </c>
      <c r="L73" s="111">
        <v>0.5</v>
      </c>
      <c r="M73" s="111">
        <f t="shared" si="29"/>
        <v>0.5</v>
      </c>
      <c r="N73" s="109" t="str">
        <f t="shared" si="23"/>
        <v/>
      </c>
      <c r="O73" s="112">
        <v>250.0</v>
      </c>
      <c r="P73" s="109">
        <f t="shared" si="9"/>
        <v>-250</v>
      </c>
      <c r="R73" s="115" t="s">
        <v>12</v>
      </c>
    </row>
    <row r="74" hidden="1" outlineLevel="1">
      <c r="A74" s="132">
        <v>45968.0</v>
      </c>
      <c r="B74" s="106">
        <v>0.0</v>
      </c>
      <c r="C74" s="107">
        <v>20.0</v>
      </c>
      <c r="D74" s="107">
        <f t="shared" si="25"/>
        <v>-20</v>
      </c>
      <c r="E74" s="106">
        <v>0.0</v>
      </c>
      <c r="F74" s="107">
        <v>8.0</v>
      </c>
      <c r="G74" s="107"/>
      <c r="H74" s="108">
        <v>0.0</v>
      </c>
      <c r="I74" s="109">
        <v>0.0</v>
      </c>
      <c r="J74" s="109">
        <f t="shared" si="27"/>
        <v>0</v>
      </c>
      <c r="K74" s="133" t="str">
        <f t="shared" si="28"/>
        <v/>
      </c>
      <c r="L74" s="111">
        <v>0.5</v>
      </c>
      <c r="M74" s="111">
        <f t="shared" si="29"/>
        <v>0.5</v>
      </c>
      <c r="N74" s="109" t="str">
        <f t="shared" si="23"/>
        <v/>
      </c>
      <c r="O74" s="112"/>
      <c r="P74" s="109">
        <f t="shared" si="9"/>
        <v>0</v>
      </c>
      <c r="R74" s="113" t="s">
        <v>8</v>
      </c>
      <c r="S74" s="116">
        <v>15000.0</v>
      </c>
    </row>
    <row r="75" hidden="1" outlineLevel="1">
      <c r="A75" s="132">
        <v>45969.0</v>
      </c>
      <c r="B75" s="106">
        <v>0.0</v>
      </c>
      <c r="C75" s="107">
        <v>4.0</v>
      </c>
      <c r="D75" s="107">
        <f t="shared" si="25"/>
        <v>-4</v>
      </c>
      <c r="E75" s="106">
        <v>0.0</v>
      </c>
      <c r="F75" s="107">
        <v>5.0</v>
      </c>
      <c r="G75" s="107">
        <f t="shared" ref="G75:G97" si="30">E75-F75</f>
        <v>-5</v>
      </c>
      <c r="H75" s="108">
        <v>0.0</v>
      </c>
      <c r="I75" s="109">
        <v>0.0</v>
      </c>
      <c r="J75" s="109">
        <f t="shared" si="27"/>
        <v>0</v>
      </c>
      <c r="K75" s="133" t="str">
        <f t="shared" si="28"/>
        <v/>
      </c>
      <c r="L75" s="111">
        <v>0.0</v>
      </c>
      <c r="M75" s="111">
        <f t="shared" si="29"/>
        <v>0</v>
      </c>
      <c r="N75" s="109" t="str">
        <f t="shared" si="23"/>
        <v/>
      </c>
      <c r="O75" s="112">
        <v>250.0</v>
      </c>
      <c r="P75" s="109">
        <f t="shared" si="9"/>
        <v>-250</v>
      </c>
      <c r="R75" s="113" t="s">
        <v>45</v>
      </c>
      <c r="S75" s="117">
        <f>S74/30</f>
        <v>500</v>
      </c>
    </row>
    <row r="76" hidden="1" outlineLevel="1">
      <c r="A76" s="132">
        <v>45970.0</v>
      </c>
      <c r="B76" s="106">
        <v>0.0</v>
      </c>
      <c r="C76" s="107">
        <v>0.0</v>
      </c>
      <c r="D76" s="107">
        <f t="shared" si="25"/>
        <v>0</v>
      </c>
      <c r="E76" s="106">
        <v>0.0</v>
      </c>
      <c r="F76" s="107">
        <v>0.0</v>
      </c>
      <c r="G76" s="107">
        <f t="shared" si="30"/>
        <v>0</v>
      </c>
      <c r="H76" s="108">
        <v>0.0</v>
      </c>
      <c r="I76" s="109">
        <v>0.0</v>
      </c>
      <c r="J76" s="109">
        <f t="shared" si="27"/>
        <v>0</v>
      </c>
      <c r="K76" s="133" t="str">
        <f t="shared" si="28"/>
        <v/>
      </c>
      <c r="L76" s="111">
        <v>0.0</v>
      </c>
      <c r="M76" s="111">
        <f t="shared" si="29"/>
        <v>0</v>
      </c>
      <c r="N76" s="109" t="str">
        <f t="shared" si="23"/>
        <v/>
      </c>
      <c r="O76" s="112">
        <v>250.0</v>
      </c>
      <c r="P76" s="109">
        <f t="shared" si="9"/>
        <v>-250</v>
      </c>
      <c r="R76" s="113" t="s">
        <v>46</v>
      </c>
      <c r="S76" s="117">
        <f>S74/15</f>
        <v>1000</v>
      </c>
    </row>
    <row r="77" hidden="1" outlineLevel="1">
      <c r="A77" s="132">
        <v>45971.0</v>
      </c>
      <c r="B77" s="106">
        <v>3.0</v>
      </c>
      <c r="C77" s="107">
        <v>20.0</v>
      </c>
      <c r="D77" s="107">
        <f t="shared" si="25"/>
        <v>-17</v>
      </c>
      <c r="E77" s="106">
        <v>2.0</v>
      </c>
      <c r="F77" s="107">
        <v>8.0</v>
      </c>
      <c r="G77" s="107">
        <f t="shared" si="30"/>
        <v>-6</v>
      </c>
      <c r="H77" s="108">
        <v>704.99</v>
      </c>
      <c r="I77" s="109">
        <v>1000.0</v>
      </c>
      <c r="J77" s="109">
        <f t="shared" si="27"/>
        <v>-295.01</v>
      </c>
      <c r="K77" s="133">
        <f t="shared" si="28"/>
        <v>0.6666666667</v>
      </c>
      <c r="L77" s="111">
        <v>0.5</v>
      </c>
      <c r="M77" s="111">
        <f t="shared" si="29"/>
        <v>-0.1666666667</v>
      </c>
      <c r="N77" s="109">
        <f t="shared" si="23"/>
        <v>352.495</v>
      </c>
      <c r="O77" s="112">
        <v>250.0</v>
      </c>
      <c r="P77" s="109">
        <f t="shared" si="9"/>
        <v>102.495</v>
      </c>
      <c r="R77" s="113" t="s">
        <v>7</v>
      </c>
      <c r="S77" s="117">
        <f>H67</f>
        <v>6316.08</v>
      </c>
      <c r="T77" s="118">
        <f>S74-S77</f>
        <v>8683.92</v>
      </c>
    </row>
    <row r="78" hidden="1" outlineLevel="1">
      <c r="A78" s="132">
        <v>45972.0</v>
      </c>
      <c r="B78" s="106">
        <v>15.0</v>
      </c>
      <c r="C78" s="107">
        <v>20.0</v>
      </c>
      <c r="D78" s="123">
        <f t="shared" si="25"/>
        <v>-5</v>
      </c>
      <c r="E78" s="106">
        <v>1.0</v>
      </c>
      <c r="F78" s="107">
        <v>8.0</v>
      </c>
      <c r="G78" s="123">
        <f t="shared" si="30"/>
        <v>-7</v>
      </c>
      <c r="H78" s="108">
        <v>274.12</v>
      </c>
      <c r="I78" s="109">
        <v>1000.0</v>
      </c>
      <c r="J78" s="124">
        <f t="shared" si="27"/>
        <v>-725.88</v>
      </c>
      <c r="K78" s="133">
        <f t="shared" si="28"/>
        <v>0.06666666667</v>
      </c>
      <c r="L78" s="111">
        <v>0.5</v>
      </c>
      <c r="M78" s="111">
        <f t="shared" si="29"/>
        <v>0.4333333333</v>
      </c>
      <c r="N78" s="124">
        <f t="shared" si="23"/>
        <v>274.12</v>
      </c>
      <c r="O78" s="126">
        <v>250.0</v>
      </c>
      <c r="P78" s="124">
        <f t="shared" si="9"/>
        <v>24.12</v>
      </c>
      <c r="R78" s="113" t="s">
        <v>47</v>
      </c>
      <c r="S78" s="119">
        <f>S77/S74</f>
        <v>0.421072</v>
      </c>
    </row>
    <row r="79" hidden="1" outlineLevel="1">
      <c r="A79" s="132">
        <v>45973.0</v>
      </c>
      <c r="B79" s="106">
        <v>15.0</v>
      </c>
      <c r="C79" s="107">
        <v>20.0</v>
      </c>
      <c r="D79" s="123">
        <f t="shared" si="25"/>
        <v>-5</v>
      </c>
      <c r="E79" s="106">
        <v>2.0</v>
      </c>
      <c r="F79" s="107">
        <v>8.0</v>
      </c>
      <c r="G79" s="123">
        <f t="shared" si="30"/>
        <v>-6</v>
      </c>
      <c r="H79" s="108">
        <v>365.0</v>
      </c>
      <c r="I79" s="109">
        <v>1000.0</v>
      </c>
      <c r="J79" s="124">
        <f t="shared" si="27"/>
        <v>-635</v>
      </c>
      <c r="K79" s="134">
        <f t="shared" si="28"/>
        <v>0.1333333333</v>
      </c>
      <c r="L79" s="111">
        <v>0.5</v>
      </c>
      <c r="M79" s="111">
        <f t="shared" si="29"/>
        <v>0.3666666667</v>
      </c>
      <c r="N79" s="124">
        <f t="shared" si="23"/>
        <v>182.5</v>
      </c>
      <c r="O79" s="126">
        <v>250.0</v>
      </c>
      <c r="P79" s="124">
        <f t="shared" si="9"/>
        <v>-67.5</v>
      </c>
      <c r="R79" s="113" t="s">
        <v>48</v>
      </c>
      <c r="S79" s="120">
        <v>2.0</v>
      </c>
    </row>
    <row r="80" hidden="1" outlineLevel="1">
      <c r="A80" s="132">
        <v>45974.0</v>
      </c>
      <c r="B80" s="106">
        <v>15.0</v>
      </c>
      <c r="C80" s="107">
        <v>20.0</v>
      </c>
      <c r="D80" s="123">
        <f t="shared" si="25"/>
        <v>-5</v>
      </c>
      <c r="E80" s="106">
        <v>2.0</v>
      </c>
      <c r="F80" s="107">
        <v>8.0</v>
      </c>
      <c r="G80" s="123">
        <f t="shared" si="30"/>
        <v>-6</v>
      </c>
      <c r="H80" s="108">
        <v>259.0</v>
      </c>
      <c r="I80" s="109">
        <v>1000.0</v>
      </c>
      <c r="J80" s="124">
        <f t="shared" si="27"/>
        <v>-741</v>
      </c>
      <c r="K80" s="134">
        <f t="shared" si="28"/>
        <v>0.1333333333</v>
      </c>
      <c r="L80" s="111">
        <v>0.5</v>
      </c>
      <c r="M80" s="111">
        <f t="shared" si="29"/>
        <v>0.3666666667</v>
      </c>
      <c r="N80" s="124">
        <f t="shared" si="23"/>
        <v>129.5</v>
      </c>
      <c r="O80" s="126">
        <v>250.0</v>
      </c>
      <c r="P80" s="124">
        <f t="shared" si="9"/>
        <v>-120.5</v>
      </c>
      <c r="R80" s="113" t="s">
        <v>49</v>
      </c>
      <c r="S80" s="121">
        <f>(S74-S77)/S79</f>
        <v>4341.96</v>
      </c>
    </row>
    <row r="81" hidden="1" outlineLevel="1">
      <c r="A81" s="132">
        <v>45975.0</v>
      </c>
      <c r="B81" s="106">
        <v>0.0</v>
      </c>
      <c r="C81" s="107">
        <v>20.0</v>
      </c>
      <c r="D81" s="123">
        <f t="shared" si="25"/>
        <v>-20</v>
      </c>
      <c r="E81" s="106">
        <v>0.0</v>
      </c>
      <c r="F81" s="107">
        <v>8.0</v>
      </c>
      <c r="G81" s="123">
        <f t="shared" si="30"/>
        <v>-8</v>
      </c>
      <c r="H81" s="108">
        <v>0.0</v>
      </c>
      <c r="I81" s="109">
        <v>1000.0</v>
      </c>
      <c r="J81" s="124">
        <f t="shared" si="27"/>
        <v>-1000</v>
      </c>
      <c r="K81" s="134" t="str">
        <f t="shared" si="28"/>
        <v/>
      </c>
      <c r="L81" s="111">
        <v>0.5</v>
      </c>
      <c r="M81" s="111">
        <f t="shared" si="29"/>
        <v>0.5</v>
      </c>
      <c r="N81" s="124" t="str">
        <f t="shared" si="23"/>
        <v/>
      </c>
      <c r="O81" s="126">
        <v>250.0</v>
      </c>
      <c r="P81" s="124">
        <f t="shared" si="9"/>
        <v>-250</v>
      </c>
      <c r="R81" s="113" t="s">
        <v>50</v>
      </c>
      <c r="S81" s="122">
        <f>N67</f>
        <v>225.5742857</v>
      </c>
    </row>
    <row r="82" hidden="1" outlineLevel="1">
      <c r="A82" s="132">
        <v>45976.0</v>
      </c>
      <c r="B82" s="106">
        <v>0.0</v>
      </c>
      <c r="C82" s="107">
        <v>4.0</v>
      </c>
      <c r="D82" s="123">
        <f t="shared" si="25"/>
        <v>-4</v>
      </c>
      <c r="E82" s="106">
        <v>0.0</v>
      </c>
      <c r="F82" s="107">
        <v>5.0</v>
      </c>
      <c r="G82" s="123">
        <f t="shared" si="30"/>
        <v>-5</v>
      </c>
      <c r="H82" s="108">
        <v>0.0</v>
      </c>
      <c r="I82" s="109">
        <v>0.0</v>
      </c>
      <c r="J82" s="124">
        <f t="shared" si="27"/>
        <v>0</v>
      </c>
      <c r="K82" s="134" t="str">
        <f t="shared" si="28"/>
        <v/>
      </c>
      <c r="L82" s="111">
        <v>0.0</v>
      </c>
      <c r="M82" s="111">
        <f t="shared" si="29"/>
        <v>0</v>
      </c>
      <c r="N82" s="124" t="str">
        <f t="shared" si="23"/>
        <v/>
      </c>
      <c r="O82" s="126">
        <v>250.0</v>
      </c>
      <c r="P82" s="124">
        <f t="shared" si="9"/>
        <v>-250</v>
      </c>
      <c r="R82" s="113" t="s">
        <v>51</v>
      </c>
      <c r="S82" s="128">
        <f>B67</f>
        <v>142</v>
      </c>
    </row>
    <row r="83" hidden="1" outlineLevel="1">
      <c r="A83" s="132">
        <v>45977.0</v>
      </c>
      <c r="B83" s="106">
        <v>0.0</v>
      </c>
      <c r="C83" s="107">
        <v>0.0</v>
      </c>
      <c r="D83" s="123">
        <f t="shared" si="25"/>
        <v>0</v>
      </c>
      <c r="E83" s="106">
        <v>0.0</v>
      </c>
      <c r="F83" s="107">
        <v>0.0</v>
      </c>
      <c r="G83" s="123">
        <f t="shared" si="30"/>
        <v>0</v>
      </c>
      <c r="H83" s="108">
        <v>0.0</v>
      </c>
      <c r="I83" s="109">
        <v>0.0</v>
      </c>
      <c r="J83" s="124">
        <f t="shared" si="27"/>
        <v>0</v>
      </c>
      <c r="K83" s="134" t="str">
        <f t="shared" si="28"/>
        <v/>
      </c>
      <c r="L83" s="111">
        <v>0.0</v>
      </c>
      <c r="M83" s="111">
        <f t="shared" si="29"/>
        <v>0</v>
      </c>
      <c r="N83" s="124" t="str">
        <f t="shared" si="23"/>
        <v/>
      </c>
      <c r="O83" s="126">
        <v>250.0</v>
      </c>
      <c r="P83" s="124">
        <f t="shared" si="9"/>
        <v>-250</v>
      </c>
      <c r="R83" s="113" t="s">
        <v>52</v>
      </c>
      <c r="S83" s="128">
        <f>E67</f>
        <v>28</v>
      </c>
    </row>
    <row r="84" hidden="1" outlineLevel="1">
      <c r="A84" s="132">
        <v>45978.0</v>
      </c>
      <c r="B84" s="106">
        <v>13.0</v>
      </c>
      <c r="C84" s="107">
        <v>20.0</v>
      </c>
      <c r="D84" s="123">
        <f t="shared" si="25"/>
        <v>-7</v>
      </c>
      <c r="E84" s="106">
        <v>3.0</v>
      </c>
      <c r="F84" s="107">
        <v>8.0</v>
      </c>
      <c r="G84" s="123">
        <f t="shared" si="30"/>
        <v>-5</v>
      </c>
      <c r="H84" s="108">
        <v>269.64</v>
      </c>
      <c r="I84" s="109">
        <v>1000.0</v>
      </c>
      <c r="J84" s="124">
        <f t="shared" si="27"/>
        <v>-730.36</v>
      </c>
      <c r="K84" s="134">
        <f t="shared" si="28"/>
        <v>0.2307692308</v>
      </c>
      <c r="L84" s="111">
        <v>0.5</v>
      </c>
      <c r="M84" s="111">
        <f t="shared" si="29"/>
        <v>0.2692307692</v>
      </c>
      <c r="N84" s="124">
        <f t="shared" si="23"/>
        <v>89.88</v>
      </c>
      <c r="O84" s="126">
        <v>250.0</v>
      </c>
      <c r="P84" s="124">
        <f t="shared" si="9"/>
        <v>-160.12</v>
      </c>
      <c r="R84" s="113" t="s">
        <v>4</v>
      </c>
      <c r="S84" s="119">
        <f>E67/B67</f>
        <v>0.1971830986</v>
      </c>
    </row>
    <row r="85" hidden="1" outlineLevel="1">
      <c r="A85" s="132">
        <v>45979.0</v>
      </c>
      <c r="B85" s="106">
        <v>12.0</v>
      </c>
      <c r="C85" s="107">
        <v>20.0</v>
      </c>
      <c r="D85" s="123">
        <f t="shared" si="25"/>
        <v>-8</v>
      </c>
      <c r="E85" s="106">
        <v>1.0</v>
      </c>
      <c r="F85" s="107">
        <v>8.0</v>
      </c>
      <c r="G85" s="123">
        <f t="shared" si="30"/>
        <v>-7</v>
      </c>
      <c r="H85" s="108">
        <v>236.8</v>
      </c>
      <c r="I85" s="109">
        <v>1000.0</v>
      </c>
      <c r="J85" s="124">
        <f t="shared" si="27"/>
        <v>-763.2</v>
      </c>
      <c r="K85" s="134">
        <f t="shared" si="28"/>
        <v>0.08333333333</v>
      </c>
      <c r="L85" s="111">
        <v>0.5</v>
      </c>
      <c r="M85" s="111">
        <f t="shared" si="29"/>
        <v>0.4166666667</v>
      </c>
      <c r="N85" s="124">
        <f t="shared" si="23"/>
        <v>236.8</v>
      </c>
      <c r="O85" s="126">
        <v>250.0</v>
      </c>
      <c r="P85" s="124">
        <f t="shared" si="9"/>
        <v>-13.2</v>
      </c>
      <c r="S85" s="94"/>
    </row>
    <row r="86" hidden="1" outlineLevel="1">
      <c r="A86" s="132">
        <v>45980.0</v>
      </c>
      <c r="B86" s="106">
        <v>11.0</v>
      </c>
      <c r="C86" s="107">
        <v>20.0</v>
      </c>
      <c r="D86" s="123">
        <f t="shared" si="25"/>
        <v>-9</v>
      </c>
      <c r="E86" s="106">
        <v>1.0</v>
      </c>
      <c r="F86" s="107">
        <v>8.0</v>
      </c>
      <c r="G86" s="123">
        <f t="shared" si="30"/>
        <v>-7</v>
      </c>
      <c r="H86" s="108">
        <v>148.0</v>
      </c>
      <c r="I86" s="109">
        <v>1000.0</v>
      </c>
      <c r="J86" s="124">
        <f t="shared" si="27"/>
        <v>-852</v>
      </c>
      <c r="K86" s="134">
        <f t="shared" si="28"/>
        <v>0.09090909091</v>
      </c>
      <c r="L86" s="111">
        <v>0.5</v>
      </c>
      <c r="M86" s="111">
        <f t="shared" si="29"/>
        <v>0.4090909091</v>
      </c>
      <c r="N86" s="124">
        <f t="shared" si="23"/>
        <v>148</v>
      </c>
      <c r="O86" s="126">
        <v>250.0</v>
      </c>
      <c r="P86" s="124">
        <f t="shared" si="9"/>
        <v>-102</v>
      </c>
      <c r="S86" s="94"/>
    </row>
    <row r="87" hidden="1" outlineLevel="1">
      <c r="A87" s="132">
        <v>45981.0</v>
      </c>
      <c r="B87" s="106">
        <v>2.0</v>
      </c>
      <c r="C87" s="107">
        <v>20.0</v>
      </c>
      <c r="D87" s="123">
        <f t="shared" si="25"/>
        <v>-18</v>
      </c>
      <c r="E87" s="106">
        <v>1.0</v>
      </c>
      <c r="F87" s="107">
        <v>8.0</v>
      </c>
      <c r="G87" s="123">
        <f t="shared" si="30"/>
        <v>-7</v>
      </c>
      <c r="H87" s="108">
        <v>226.9</v>
      </c>
      <c r="I87" s="109">
        <v>1000.0</v>
      </c>
      <c r="J87" s="124">
        <f t="shared" si="27"/>
        <v>-773.1</v>
      </c>
      <c r="K87" s="134">
        <f t="shared" si="28"/>
        <v>0.5</v>
      </c>
      <c r="L87" s="111">
        <v>0.5</v>
      </c>
      <c r="M87" s="111">
        <f t="shared" si="29"/>
        <v>0</v>
      </c>
      <c r="N87" s="124">
        <f t="shared" si="23"/>
        <v>226.9</v>
      </c>
      <c r="O87" s="126">
        <v>250.0</v>
      </c>
      <c r="P87" s="124">
        <f t="shared" si="9"/>
        <v>-23.1</v>
      </c>
      <c r="S87" s="94"/>
    </row>
    <row r="88" hidden="1" outlineLevel="1">
      <c r="A88" s="132">
        <v>45982.0</v>
      </c>
      <c r="B88" s="106">
        <v>10.0</v>
      </c>
      <c r="C88" s="107">
        <v>20.0</v>
      </c>
      <c r="D88" s="123">
        <f t="shared" si="25"/>
        <v>-10</v>
      </c>
      <c r="E88" s="106">
        <v>0.0</v>
      </c>
      <c r="F88" s="107">
        <v>8.0</v>
      </c>
      <c r="G88" s="123">
        <f t="shared" si="30"/>
        <v>-8</v>
      </c>
      <c r="H88" s="108">
        <v>0.0</v>
      </c>
      <c r="I88" s="109">
        <v>1000.0</v>
      </c>
      <c r="J88" s="124">
        <f t="shared" si="27"/>
        <v>-1000</v>
      </c>
      <c r="K88" s="134">
        <f t="shared" si="28"/>
        <v>0</v>
      </c>
      <c r="L88" s="111">
        <v>0.5</v>
      </c>
      <c r="M88" s="111">
        <f t="shared" si="29"/>
        <v>0.5</v>
      </c>
      <c r="N88" s="124" t="str">
        <f t="shared" si="23"/>
        <v/>
      </c>
      <c r="O88" s="126">
        <v>250.0</v>
      </c>
      <c r="P88" s="124">
        <f t="shared" si="9"/>
        <v>-250</v>
      </c>
      <c r="S88" s="94"/>
    </row>
    <row r="89" hidden="1" outlineLevel="1">
      <c r="A89" s="132">
        <v>45983.0</v>
      </c>
      <c r="B89" s="106">
        <v>1.0</v>
      </c>
      <c r="C89" s="107">
        <v>4.0</v>
      </c>
      <c r="D89" s="123">
        <f t="shared" si="25"/>
        <v>-3</v>
      </c>
      <c r="E89" s="106">
        <v>0.0</v>
      </c>
      <c r="F89" s="107">
        <v>5.0</v>
      </c>
      <c r="G89" s="123">
        <f t="shared" si="30"/>
        <v>-5</v>
      </c>
      <c r="H89" s="108">
        <v>0.0</v>
      </c>
      <c r="I89" s="109">
        <v>0.0</v>
      </c>
      <c r="J89" s="124">
        <f t="shared" si="27"/>
        <v>0</v>
      </c>
      <c r="K89" s="134">
        <f t="shared" si="28"/>
        <v>0</v>
      </c>
      <c r="L89" s="111">
        <v>0.0</v>
      </c>
      <c r="M89" s="111">
        <f t="shared" si="29"/>
        <v>0</v>
      </c>
      <c r="N89" s="124" t="str">
        <f t="shared" si="23"/>
        <v/>
      </c>
      <c r="O89" s="126">
        <v>250.0</v>
      </c>
      <c r="P89" s="124">
        <f t="shared" si="9"/>
        <v>-250</v>
      </c>
      <c r="S89" s="94"/>
    </row>
    <row r="90" hidden="1" outlineLevel="1">
      <c r="A90" s="132">
        <v>45984.0</v>
      </c>
      <c r="B90" s="106">
        <v>0.0</v>
      </c>
      <c r="C90" s="107">
        <v>0.0</v>
      </c>
      <c r="D90" s="123">
        <f t="shared" si="25"/>
        <v>0</v>
      </c>
      <c r="E90" s="106">
        <v>0.0</v>
      </c>
      <c r="F90" s="107">
        <v>0.0</v>
      </c>
      <c r="G90" s="123">
        <f t="shared" si="30"/>
        <v>0</v>
      </c>
      <c r="H90" s="108">
        <v>0.0</v>
      </c>
      <c r="I90" s="109">
        <v>0.0</v>
      </c>
      <c r="J90" s="124">
        <f t="shared" si="27"/>
        <v>0</v>
      </c>
      <c r="K90" s="134" t="str">
        <f t="shared" si="28"/>
        <v/>
      </c>
      <c r="L90" s="111">
        <v>0.0</v>
      </c>
      <c r="M90" s="111">
        <f t="shared" si="29"/>
        <v>0</v>
      </c>
      <c r="N90" s="124" t="str">
        <f t="shared" si="23"/>
        <v/>
      </c>
      <c r="O90" s="126">
        <v>250.0</v>
      </c>
      <c r="P90" s="124">
        <f t="shared" si="9"/>
        <v>-250</v>
      </c>
      <c r="S90" s="94"/>
    </row>
    <row r="91" hidden="1" outlineLevel="1">
      <c r="A91" s="132">
        <v>45985.0</v>
      </c>
      <c r="B91" s="106">
        <v>10.0</v>
      </c>
      <c r="C91" s="107">
        <v>20.0</v>
      </c>
      <c r="D91" s="123">
        <f t="shared" si="25"/>
        <v>-10</v>
      </c>
      <c r="E91" s="106">
        <v>2.0</v>
      </c>
      <c r="F91" s="107">
        <v>8.0</v>
      </c>
      <c r="G91" s="123">
        <f t="shared" si="30"/>
        <v>-6</v>
      </c>
      <c r="H91" s="108">
        <v>362.79</v>
      </c>
      <c r="I91" s="109">
        <v>1000.0</v>
      </c>
      <c r="J91" s="124">
        <f t="shared" si="27"/>
        <v>-637.21</v>
      </c>
      <c r="K91" s="134">
        <f t="shared" si="28"/>
        <v>0.2</v>
      </c>
      <c r="L91" s="111">
        <v>0.5</v>
      </c>
      <c r="M91" s="111">
        <f t="shared" si="29"/>
        <v>0.3</v>
      </c>
      <c r="N91" s="124">
        <f t="shared" si="23"/>
        <v>181.395</v>
      </c>
      <c r="O91" s="126">
        <v>250.0</v>
      </c>
      <c r="P91" s="124">
        <f t="shared" si="9"/>
        <v>-68.605</v>
      </c>
      <c r="S91" s="94"/>
    </row>
    <row r="92" hidden="1" outlineLevel="1">
      <c r="A92" s="132">
        <v>45986.0</v>
      </c>
      <c r="B92" s="106">
        <v>11.0</v>
      </c>
      <c r="C92" s="107">
        <v>20.0</v>
      </c>
      <c r="D92" s="123">
        <f t="shared" si="25"/>
        <v>-9</v>
      </c>
      <c r="E92" s="106">
        <v>5.0</v>
      </c>
      <c r="F92" s="107">
        <v>8.0</v>
      </c>
      <c r="G92" s="123">
        <f t="shared" si="30"/>
        <v>-3</v>
      </c>
      <c r="H92" s="108">
        <v>1178.59</v>
      </c>
      <c r="I92" s="109">
        <v>1000.0</v>
      </c>
      <c r="J92" s="124">
        <f t="shared" si="27"/>
        <v>178.59</v>
      </c>
      <c r="K92" s="134">
        <f t="shared" si="28"/>
        <v>0.4545454545</v>
      </c>
      <c r="L92" s="111">
        <v>0.5</v>
      </c>
      <c r="M92" s="111">
        <f t="shared" si="29"/>
        <v>0.04545454545</v>
      </c>
      <c r="N92" s="124">
        <f t="shared" si="23"/>
        <v>235.718</v>
      </c>
      <c r="O92" s="126">
        <v>250.0</v>
      </c>
      <c r="P92" s="124">
        <f t="shared" si="9"/>
        <v>-14.282</v>
      </c>
      <c r="S92" s="94"/>
    </row>
    <row r="93" hidden="1" outlineLevel="1">
      <c r="A93" s="132">
        <v>45987.0</v>
      </c>
      <c r="B93" s="106">
        <v>11.0</v>
      </c>
      <c r="C93" s="107">
        <v>20.0</v>
      </c>
      <c r="D93" s="123">
        <f t="shared" si="25"/>
        <v>-9</v>
      </c>
      <c r="E93" s="106">
        <v>2.0</v>
      </c>
      <c r="F93" s="107">
        <v>8.0</v>
      </c>
      <c r="G93" s="123">
        <f t="shared" si="30"/>
        <v>-6</v>
      </c>
      <c r="H93" s="108">
        <v>363.92</v>
      </c>
      <c r="I93" s="109">
        <v>1000.0</v>
      </c>
      <c r="J93" s="124">
        <f t="shared" si="27"/>
        <v>-636.08</v>
      </c>
      <c r="K93" s="134">
        <f t="shared" si="28"/>
        <v>0.1818181818</v>
      </c>
      <c r="L93" s="111">
        <v>0.5</v>
      </c>
      <c r="M93" s="111">
        <f t="shared" si="29"/>
        <v>0.3181818182</v>
      </c>
      <c r="N93" s="124">
        <f t="shared" si="23"/>
        <v>181.96</v>
      </c>
      <c r="O93" s="126">
        <v>250.0</v>
      </c>
      <c r="P93" s="124">
        <f t="shared" si="9"/>
        <v>-68.04</v>
      </c>
      <c r="S93" s="94"/>
    </row>
    <row r="94" hidden="1" outlineLevel="1">
      <c r="A94" s="132">
        <v>45988.0</v>
      </c>
      <c r="B94" s="106">
        <v>7.0</v>
      </c>
      <c r="C94" s="107">
        <v>20.0</v>
      </c>
      <c r="D94" s="123">
        <f t="shared" si="25"/>
        <v>-13</v>
      </c>
      <c r="E94" s="106">
        <v>4.0</v>
      </c>
      <c r="F94" s="107">
        <v>8.0</v>
      </c>
      <c r="G94" s="123">
        <f t="shared" si="30"/>
        <v>-4</v>
      </c>
      <c r="H94" s="108">
        <v>1389.9</v>
      </c>
      <c r="I94" s="109">
        <v>1000.0</v>
      </c>
      <c r="J94" s="124">
        <f t="shared" si="27"/>
        <v>389.9</v>
      </c>
      <c r="K94" s="134">
        <f t="shared" si="28"/>
        <v>0.5714285714</v>
      </c>
      <c r="L94" s="111">
        <v>0.5</v>
      </c>
      <c r="M94" s="111">
        <f t="shared" si="29"/>
        <v>-0.07142857143</v>
      </c>
      <c r="N94" s="124">
        <f t="shared" si="23"/>
        <v>347.475</v>
      </c>
      <c r="O94" s="126">
        <v>250.0</v>
      </c>
      <c r="P94" s="124">
        <f t="shared" si="9"/>
        <v>97.475</v>
      </c>
      <c r="S94" s="94"/>
    </row>
    <row r="95" hidden="1" outlineLevel="1">
      <c r="A95" s="132">
        <v>45989.0</v>
      </c>
      <c r="B95" s="106">
        <v>6.0</v>
      </c>
      <c r="C95" s="107">
        <v>20.0</v>
      </c>
      <c r="D95" s="123">
        <f t="shared" si="25"/>
        <v>-14</v>
      </c>
      <c r="E95" s="106">
        <v>2.0</v>
      </c>
      <c r="F95" s="107">
        <v>8.0</v>
      </c>
      <c r="G95" s="123">
        <f t="shared" si="30"/>
        <v>-6</v>
      </c>
      <c r="H95" s="108">
        <v>536.43</v>
      </c>
      <c r="I95" s="109">
        <v>1000.0</v>
      </c>
      <c r="J95" s="124">
        <f t="shared" si="27"/>
        <v>-463.57</v>
      </c>
      <c r="K95" s="134">
        <f t="shared" si="28"/>
        <v>0.3333333333</v>
      </c>
      <c r="L95" s="111">
        <v>0.5</v>
      </c>
      <c r="M95" s="111">
        <f t="shared" si="29"/>
        <v>0.1666666667</v>
      </c>
      <c r="N95" s="124">
        <f t="shared" si="23"/>
        <v>268.215</v>
      </c>
      <c r="O95" s="126">
        <v>250.0</v>
      </c>
      <c r="P95" s="124">
        <f t="shared" si="9"/>
        <v>18.215</v>
      </c>
      <c r="S95" s="94"/>
    </row>
    <row r="96" hidden="1" outlineLevel="1">
      <c r="A96" s="132">
        <v>45990.0</v>
      </c>
      <c r="B96" s="106">
        <v>0.0</v>
      </c>
      <c r="C96" s="107">
        <v>4.0</v>
      </c>
      <c r="D96" s="123">
        <f t="shared" si="25"/>
        <v>-4</v>
      </c>
      <c r="E96" s="106">
        <v>0.0</v>
      </c>
      <c r="F96" s="107">
        <v>5.0</v>
      </c>
      <c r="G96" s="123">
        <f t="shared" si="30"/>
        <v>-5</v>
      </c>
      <c r="H96" s="108">
        <v>0.0</v>
      </c>
      <c r="I96" s="109">
        <v>0.0</v>
      </c>
      <c r="J96" s="124">
        <f t="shared" si="27"/>
        <v>0</v>
      </c>
      <c r="K96" s="134" t="str">
        <f t="shared" si="28"/>
        <v/>
      </c>
      <c r="L96" s="111">
        <v>0.0</v>
      </c>
      <c r="M96" s="111">
        <f t="shared" si="29"/>
        <v>0</v>
      </c>
      <c r="N96" s="124" t="str">
        <f t="shared" si="23"/>
        <v/>
      </c>
      <c r="O96" s="126">
        <v>250.0</v>
      </c>
      <c r="P96" s="124">
        <f t="shared" si="9"/>
        <v>-250</v>
      </c>
      <c r="S96" s="94"/>
    </row>
    <row r="97" hidden="1" outlineLevel="1">
      <c r="A97" s="132">
        <v>45991.0</v>
      </c>
      <c r="B97" s="106">
        <v>0.0</v>
      </c>
      <c r="C97" s="107">
        <v>0.0</v>
      </c>
      <c r="D97" s="123">
        <f t="shared" si="25"/>
        <v>0</v>
      </c>
      <c r="E97" s="106">
        <v>0.0</v>
      </c>
      <c r="F97" s="107">
        <v>0.0</v>
      </c>
      <c r="G97" s="123">
        <f t="shared" si="30"/>
        <v>0</v>
      </c>
      <c r="H97" s="108">
        <v>0.0</v>
      </c>
      <c r="I97" s="109">
        <v>0.0</v>
      </c>
      <c r="J97" s="124">
        <f t="shared" si="27"/>
        <v>0</v>
      </c>
      <c r="K97" s="134" t="str">
        <f t="shared" si="28"/>
        <v/>
      </c>
      <c r="L97" s="111">
        <v>0.0</v>
      </c>
      <c r="M97" s="111">
        <f t="shared" si="29"/>
        <v>0</v>
      </c>
      <c r="N97" s="124" t="str">
        <f t="shared" si="23"/>
        <v/>
      </c>
      <c r="O97" s="126">
        <v>250.0</v>
      </c>
      <c r="P97" s="124">
        <f t="shared" si="9"/>
        <v>-250</v>
      </c>
      <c r="S97" s="94"/>
    </row>
    <row r="98" collapsed="1">
      <c r="A98" s="100" t="s">
        <v>56</v>
      </c>
      <c r="B98" s="100">
        <f t="shared" ref="B98:J98" si="31">SUM(B99:B128)</f>
        <v>147</v>
      </c>
      <c r="C98" s="100">
        <f t="shared" si="31"/>
        <v>420</v>
      </c>
      <c r="D98" s="100">
        <f t="shared" si="31"/>
        <v>-273</v>
      </c>
      <c r="E98" s="100">
        <f t="shared" si="31"/>
        <v>37</v>
      </c>
      <c r="F98" s="100">
        <f t="shared" si="31"/>
        <v>185</v>
      </c>
      <c r="G98" s="100">
        <f t="shared" si="31"/>
        <v>-140</v>
      </c>
      <c r="H98" s="101">
        <f t="shared" si="31"/>
        <v>11267.56</v>
      </c>
      <c r="I98" s="101">
        <f t="shared" si="31"/>
        <v>15000</v>
      </c>
      <c r="J98" s="102">
        <f t="shared" si="31"/>
        <v>-3732.44</v>
      </c>
      <c r="K98" s="103">
        <f>E98/B98</f>
        <v>0.2517006803</v>
      </c>
      <c r="L98" s="103">
        <v>0.5</v>
      </c>
      <c r="M98" s="103">
        <f>K98-L98</f>
        <v>-0.2482993197</v>
      </c>
      <c r="N98" s="102">
        <f t="shared" si="23"/>
        <v>304.5286486</v>
      </c>
      <c r="O98" s="104">
        <f>O99</f>
        <v>250</v>
      </c>
      <c r="P98" s="102">
        <f t="shared" si="9"/>
        <v>54.52864865</v>
      </c>
    </row>
    <row r="99" hidden="1" outlineLevel="1">
      <c r="A99" s="132">
        <v>45962.0</v>
      </c>
      <c r="B99" s="106">
        <v>0.0</v>
      </c>
      <c r="C99" s="107">
        <v>4.0</v>
      </c>
      <c r="D99" s="107">
        <f t="shared" ref="D99:D128" si="32">B99-C99</f>
        <v>-4</v>
      </c>
      <c r="E99" s="106">
        <v>0.0</v>
      </c>
      <c r="F99" s="107">
        <v>5.0</v>
      </c>
      <c r="G99" s="107">
        <f t="shared" ref="G99:G104" si="33">E99-F99</f>
        <v>-5</v>
      </c>
      <c r="H99" s="108">
        <v>0.0</v>
      </c>
      <c r="I99" s="109">
        <v>0.0</v>
      </c>
      <c r="J99" s="109">
        <f t="shared" ref="J99:J128" si="34">H99-I99</f>
        <v>0</v>
      </c>
      <c r="K99" s="133" t="str">
        <f t="shared" ref="K99:K128" si="35">IFERROR(E99/B99,"")</f>
        <v/>
      </c>
      <c r="L99" s="111">
        <v>0.0</v>
      </c>
      <c r="M99" s="111">
        <f t="shared" ref="M99:M128" si="36">L99-K99</f>
        <v>0</v>
      </c>
      <c r="N99" s="109" t="str">
        <f t="shared" si="23"/>
        <v/>
      </c>
      <c r="O99" s="112">
        <v>250.0</v>
      </c>
      <c r="P99" s="109">
        <f t="shared" si="9"/>
        <v>-250</v>
      </c>
    </row>
    <row r="100" hidden="1" outlineLevel="1">
      <c r="A100" s="132">
        <v>45963.0</v>
      </c>
      <c r="B100" s="106">
        <v>0.0</v>
      </c>
      <c r="C100" s="107">
        <v>0.0</v>
      </c>
      <c r="D100" s="107">
        <f t="shared" si="32"/>
        <v>0</v>
      </c>
      <c r="E100" s="106">
        <v>0.0</v>
      </c>
      <c r="F100" s="107">
        <v>0.0</v>
      </c>
      <c r="G100" s="107">
        <f t="shared" si="33"/>
        <v>0</v>
      </c>
      <c r="H100" s="108">
        <v>0.0</v>
      </c>
      <c r="I100" s="109">
        <v>0.0</v>
      </c>
      <c r="J100" s="109">
        <f t="shared" si="34"/>
        <v>0</v>
      </c>
      <c r="K100" s="133" t="str">
        <f t="shared" si="35"/>
        <v/>
      </c>
      <c r="L100" s="111">
        <v>0.0</v>
      </c>
      <c r="M100" s="111">
        <f t="shared" si="36"/>
        <v>0</v>
      </c>
      <c r="N100" s="109" t="str">
        <f t="shared" si="23"/>
        <v/>
      </c>
      <c r="O100" s="112">
        <v>250.0</v>
      </c>
      <c r="P100" s="109">
        <f t="shared" si="9"/>
        <v>-250</v>
      </c>
    </row>
    <row r="101" hidden="1" outlineLevel="1">
      <c r="A101" s="132">
        <v>45964.0</v>
      </c>
      <c r="B101" s="106">
        <v>0.0</v>
      </c>
      <c r="C101" s="107">
        <v>20.0</v>
      </c>
      <c r="D101" s="107">
        <f t="shared" si="32"/>
        <v>-20</v>
      </c>
      <c r="E101" s="106">
        <v>0.0</v>
      </c>
      <c r="F101" s="107">
        <v>8.0</v>
      </c>
      <c r="G101" s="107">
        <f t="shared" si="33"/>
        <v>-8</v>
      </c>
      <c r="H101" s="108">
        <v>0.0</v>
      </c>
      <c r="I101" s="109">
        <v>0.0</v>
      </c>
      <c r="J101" s="109">
        <f t="shared" si="34"/>
        <v>0</v>
      </c>
      <c r="K101" s="133" t="str">
        <f t="shared" si="35"/>
        <v/>
      </c>
      <c r="L101" s="111">
        <v>0.5</v>
      </c>
      <c r="M101" s="111">
        <f t="shared" si="36"/>
        <v>0.5</v>
      </c>
      <c r="N101" s="109" t="str">
        <f t="shared" si="23"/>
        <v/>
      </c>
      <c r="O101" s="112">
        <v>250.0</v>
      </c>
      <c r="P101" s="109">
        <f t="shared" si="9"/>
        <v>-250</v>
      </c>
    </row>
    <row r="102" hidden="1" outlineLevel="1">
      <c r="A102" s="132">
        <v>45965.0</v>
      </c>
      <c r="B102" s="106">
        <v>0.0</v>
      </c>
      <c r="C102" s="107">
        <v>20.0</v>
      </c>
      <c r="D102" s="107">
        <f t="shared" si="32"/>
        <v>-20</v>
      </c>
      <c r="E102" s="106">
        <v>0.0</v>
      </c>
      <c r="F102" s="107">
        <v>8.0</v>
      </c>
      <c r="G102" s="107">
        <f t="shared" si="33"/>
        <v>-8</v>
      </c>
      <c r="H102" s="108">
        <v>0.0</v>
      </c>
      <c r="I102" s="109">
        <v>0.0</v>
      </c>
      <c r="J102" s="109">
        <f t="shared" si="34"/>
        <v>0</v>
      </c>
      <c r="K102" s="133" t="str">
        <f t="shared" si="35"/>
        <v/>
      </c>
      <c r="L102" s="111">
        <v>0.5</v>
      </c>
      <c r="M102" s="111">
        <f t="shared" si="36"/>
        <v>0.5</v>
      </c>
      <c r="N102" s="109" t="str">
        <f t="shared" si="23"/>
        <v/>
      </c>
      <c r="O102" s="112">
        <v>250.0</v>
      </c>
      <c r="P102" s="109">
        <f t="shared" si="9"/>
        <v>-250</v>
      </c>
    </row>
    <row r="103" hidden="1" outlineLevel="1">
      <c r="A103" s="132">
        <v>45966.0</v>
      </c>
      <c r="B103" s="106">
        <v>0.0</v>
      </c>
      <c r="C103" s="107">
        <v>20.0</v>
      </c>
      <c r="D103" s="107">
        <f t="shared" si="32"/>
        <v>-20</v>
      </c>
      <c r="E103" s="106">
        <v>0.0</v>
      </c>
      <c r="F103" s="107">
        <v>8.0</v>
      </c>
      <c r="G103" s="107">
        <f t="shared" si="33"/>
        <v>-8</v>
      </c>
      <c r="H103" s="108">
        <v>0.0</v>
      </c>
      <c r="I103" s="109">
        <v>0.0</v>
      </c>
      <c r="J103" s="109">
        <f t="shared" si="34"/>
        <v>0</v>
      </c>
      <c r="K103" s="133" t="str">
        <f t="shared" si="35"/>
        <v/>
      </c>
      <c r="L103" s="111">
        <v>0.5</v>
      </c>
      <c r="M103" s="111">
        <f t="shared" si="36"/>
        <v>0.5</v>
      </c>
      <c r="N103" s="109" t="str">
        <f t="shared" si="23"/>
        <v/>
      </c>
      <c r="O103" s="112">
        <v>250.0</v>
      </c>
      <c r="P103" s="109">
        <f t="shared" si="9"/>
        <v>-250</v>
      </c>
      <c r="R103" s="113" t="s">
        <v>54</v>
      </c>
      <c r="S103" s="94"/>
    </row>
    <row r="104" hidden="1" outlineLevel="1">
      <c r="A104" s="132">
        <v>45967.0</v>
      </c>
      <c r="B104" s="106">
        <v>0.0</v>
      </c>
      <c r="C104" s="107">
        <v>20.0</v>
      </c>
      <c r="D104" s="107">
        <f t="shared" si="32"/>
        <v>-20</v>
      </c>
      <c r="E104" s="106">
        <v>0.0</v>
      </c>
      <c r="F104" s="107">
        <v>8.0</v>
      </c>
      <c r="G104" s="107">
        <f t="shared" si="33"/>
        <v>-8</v>
      </c>
      <c r="H104" s="108">
        <v>0.0</v>
      </c>
      <c r="I104" s="109">
        <v>0.0</v>
      </c>
      <c r="J104" s="109">
        <f t="shared" si="34"/>
        <v>0</v>
      </c>
      <c r="K104" s="133" t="str">
        <f t="shared" si="35"/>
        <v/>
      </c>
      <c r="L104" s="111">
        <v>0.5</v>
      </c>
      <c r="M104" s="111">
        <f t="shared" si="36"/>
        <v>0.5</v>
      </c>
      <c r="N104" s="109" t="str">
        <f t="shared" si="23"/>
        <v/>
      </c>
      <c r="O104" s="112">
        <v>250.0</v>
      </c>
      <c r="P104" s="109">
        <f t="shared" si="9"/>
        <v>-250</v>
      </c>
      <c r="R104" s="115" t="s">
        <v>12</v>
      </c>
    </row>
    <row r="105" hidden="1" outlineLevel="1">
      <c r="A105" s="132">
        <v>45968.0</v>
      </c>
      <c r="B105" s="106">
        <v>0.0</v>
      </c>
      <c r="C105" s="107">
        <v>20.0</v>
      </c>
      <c r="D105" s="107">
        <f t="shared" si="32"/>
        <v>-20</v>
      </c>
      <c r="E105" s="106">
        <v>0.0</v>
      </c>
      <c r="F105" s="107">
        <v>8.0</v>
      </c>
      <c r="G105" s="107"/>
      <c r="H105" s="108">
        <v>0.0</v>
      </c>
      <c r="I105" s="109">
        <v>0.0</v>
      </c>
      <c r="J105" s="109">
        <f t="shared" si="34"/>
        <v>0</v>
      </c>
      <c r="K105" s="133" t="str">
        <f t="shared" si="35"/>
        <v/>
      </c>
      <c r="L105" s="111">
        <v>0.5</v>
      </c>
      <c r="M105" s="111">
        <f t="shared" si="36"/>
        <v>0.5</v>
      </c>
      <c r="N105" s="109" t="str">
        <f t="shared" si="23"/>
        <v/>
      </c>
      <c r="O105" s="112"/>
      <c r="P105" s="109">
        <f t="shared" si="9"/>
        <v>0</v>
      </c>
      <c r="R105" s="113" t="s">
        <v>8</v>
      </c>
      <c r="S105" s="116">
        <v>15000.0</v>
      </c>
      <c r="T105" s="118">
        <f>S105-S108</f>
        <v>3732.44</v>
      </c>
    </row>
    <row r="106" hidden="1" outlineLevel="1">
      <c r="A106" s="132">
        <v>45969.0</v>
      </c>
      <c r="B106" s="106">
        <v>0.0</v>
      </c>
      <c r="C106" s="107">
        <v>4.0</v>
      </c>
      <c r="D106" s="107">
        <f t="shared" si="32"/>
        <v>-4</v>
      </c>
      <c r="E106" s="106">
        <v>0.0</v>
      </c>
      <c r="F106" s="107">
        <v>5.0</v>
      </c>
      <c r="G106" s="107">
        <f t="shared" ref="G106:G128" si="37">E106-F106</f>
        <v>-5</v>
      </c>
      <c r="H106" s="108">
        <v>0.0</v>
      </c>
      <c r="I106" s="109">
        <v>0.0</v>
      </c>
      <c r="J106" s="109">
        <f t="shared" si="34"/>
        <v>0</v>
      </c>
      <c r="K106" s="133" t="str">
        <f t="shared" si="35"/>
        <v/>
      </c>
      <c r="L106" s="111">
        <v>0.0</v>
      </c>
      <c r="M106" s="111">
        <f t="shared" si="36"/>
        <v>0</v>
      </c>
      <c r="N106" s="109" t="str">
        <f t="shared" si="23"/>
        <v/>
      </c>
      <c r="O106" s="112">
        <v>250.0</v>
      </c>
      <c r="P106" s="109">
        <f t="shared" si="9"/>
        <v>-250</v>
      </c>
      <c r="R106" s="113" t="s">
        <v>45</v>
      </c>
      <c r="S106" s="117">
        <f>S105/30</f>
        <v>500</v>
      </c>
    </row>
    <row r="107" hidden="1" outlineLevel="1">
      <c r="A107" s="132">
        <v>45970.0</v>
      </c>
      <c r="B107" s="106">
        <v>0.0</v>
      </c>
      <c r="C107" s="107">
        <v>0.0</v>
      </c>
      <c r="D107" s="107">
        <f t="shared" si="32"/>
        <v>0</v>
      </c>
      <c r="E107" s="106">
        <v>0.0</v>
      </c>
      <c r="F107" s="107">
        <v>0.0</v>
      </c>
      <c r="G107" s="107">
        <f t="shared" si="37"/>
        <v>0</v>
      </c>
      <c r="H107" s="108">
        <v>0.0</v>
      </c>
      <c r="I107" s="109">
        <v>0.0</v>
      </c>
      <c r="J107" s="109">
        <f t="shared" si="34"/>
        <v>0</v>
      </c>
      <c r="K107" s="133" t="str">
        <f t="shared" si="35"/>
        <v/>
      </c>
      <c r="L107" s="111">
        <v>0.0</v>
      </c>
      <c r="M107" s="111">
        <f t="shared" si="36"/>
        <v>0</v>
      </c>
      <c r="N107" s="109" t="str">
        <f t="shared" si="23"/>
        <v/>
      </c>
      <c r="O107" s="112">
        <v>250.0</v>
      </c>
      <c r="P107" s="109">
        <f t="shared" si="9"/>
        <v>-250</v>
      </c>
      <c r="R107" s="113" t="s">
        <v>46</v>
      </c>
      <c r="S107" s="117">
        <f>S105/15</f>
        <v>1000</v>
      </c>
    </row>
    <row r="108" hidden="1" outlineLevel="1">
      <c r="A108" s="132">
        <v>45971.0</v>
      </c>
      <c r="B108" s="106">
        <v>9.0</v>
      </c>
      <c r="C108" s="107">
        <v>20.0</v>
      </c>
      <c r="D108" s="107">
        <f t="shared" si="32"/>
        <v>-11</v>
      </c>
      <c r="E108" s="106">
        <v>2.0</v>
      </c>
      <c r="F108" s="107">
        <v>8.0</v>
      </c>
      <c r="G108" s="107">
        <f t="shared" si="37"/>
        <v>-6</v>
      </c>
      <c r="H108" s="108">
        <v>1272.21</v>
      </c>
      <c r="I108" s="135">
        <v>1000.0</v>
      </c>
      <c r="J108" s="136">
        <f t="shared" si="34"/>
        <v>272.21</v>
      </c>
      <c r="K108" s="133">
        <f t="shared" si="35"/>
        <v>0.2222222222</v>
      </c>
      <c r="L108" s="111">
        <v>0.5</v>
      </c>
      <c r="M108" s="111">
        <f t="shared" si="36"/>
        <v>0.2777777778</v>
      </c>
      <c r="N108" s="109">
        <f t="shared" si="23"/>
        <v>636.105</v>
      </c>
      <c r="O108" s="112">
        <v>250.0</v>
      </c>
      <c r="P108" s="109">
        <f t="shared" si="9"/>
        <v>386.105</v>
      </c>
      <c r="R108" s="113" t="s">
        <v>7</v>
      </c>
      <c r="S108" s="117">
        <f>H98</f>
        <v>11267.56</v>
      </c>
    </row>
    <row r="109" hidden="1" outlineLevel="1">
      <c r="A109" s="132">
        <v>45972.0</v>
      </c>
      <c r="B109" s="106">
        <v>15.0</v>
      </c>
      <c r="C109" s="107">
        <v>20.0</v>
      </c>
      <c r="D109" s="123">
        <f t="shared" si="32"/>
        <v>-5</v>
      </c>
      <c r="E109" s="106">
        <v>0.0</v>
      </c>
      <c r="F109" s="107">
        <v>8.0</v>
      </c>
      <c r="G109" s="123">
        <f t="shared" si="37"/>
        <v>-8</v>
      </c>
      <c r="H109" s="108">
        <v>0.0</v>
      </c>
      <c r="I109" s="137">
        <v>1000.0</v>
      </c>
      <c r="J109" s="124">
        <f t="shared" si="34"/>
        <v>-1000</v>
      </c>
      <c r="K109" s="133">
        <f t="shared" si="35"/>
        <v>0</v>
      </c>
      <c r="L109" s="111">
        <v>0.5</v>
      </c>
      <c r="M109" s="111">
        <f t="shared" si="36"/>
        <v>0.5</v>
      </c>
      <c r="N109" s="124" t="str">
        <f t="shared" si="23"/>
        <v/>
      </c>
      <c r="O109" s="126">
        <v>250.0</v>
      </c>
      <c r="P109" s="124">
        <f t="shared" si="9"/>
        <v>-250</v>
      </c>
      <c r="R109" s="113" t="s">
        <v>47</v>
      </c>
      <c r="S109" s="119">
        <f>S108/S105</f>
        <v>0.7511706667</v>
      </c>
    </row>
    <row r="110" hidden="1" outlineLevel="1">
      <c r="A110" s="132">
        <v>45973.0</v>
      </c>
      <c r="B110" s="106">
        <v>15.0</v>
      </c>
      <c r="C110" s="107">
        <v>20.0</v>
      </c>
      <c r="D110" s="123">
        <f t="shared" si="32"/>
        <v>-5</v>
      </c>
      <c r="E110" s="106">
        <v>3.0</v>
      </c>
      <c r="F110" s="107">
        <v>8.0</v>
      </c>
      <c r="G110" s="123">
        <f t="shared" si="37"/>
        <v>-5</v>
      </c>
      <c r="H110" s="108">
        <v>347.69</v>
      </c>
      <c r="I110" s="135">
        <v>1000.0</v>
      </c>
      <c r="J110" s="124">
        <f t="shared" si="34"/>
        <v>-652.31</v>
      </c>
      <c r="K110" s="134">
        <f t="shared" si="35"/>
        <v>0.2</v>
      </c>
      <c r="L110" s="111">
        <v>0.5</v>
      </c>
      <c r="M110" s="111">
        <f t="shared" si="36"/>
        <v>0.3</v>
      </c>
      <c r="N110" s="124">
        <f t="shared" si="23"/>
        <v>115.8966667</v>
      </c>
      <c r="O110" s="126">
        <v>250.0</v>
      </c>
      <c r="P110" s="124">
        <f t="shared" si="9"/>
        <v>-134.1033333</v>
      </c>
      <c r="R110" s="113" t="s">
        <v>48</v>
      </c>
      <c r="S110" s="120">
        <v>2.0</v>
      </c>
    </row>
    <row r="111" hidden="1" outlineLevel="1">
      <c r="A111" s="132">
        <v>45974.0</v>
      </c>
      <c r="B111" s="106">
        <v>15.0</v>
      </c>
      <c r="C111" s="107">
        <v>20.0</v>
      </c>
      <c r="D111" s="123">
        <f t="shared" si="32"/>
        <v>-5</v>
      </c>
      <c r="E111" s="106">
        <v>1.0</v>
      </c>
      <c r="F111" s="107">
        <v>8.0</v>
      </c>
      <c r="G111" s="123">
        <f t="shared" si="37"/>
        <v>-7</v>
      </c>
      <c r="H111" s="108">
        <v>375.09</v>
      </c>
      <c r="I111" s="137">
        <v>1000.0</v>
      </c>
      <c r="J111" s="124">
        <f t="shared" si="34"/>
        <v>-624.91</v>
      </c>
      <c r="K111" s="134">
        <f t="shared" si="35"/>
        <v>0.06666666667</v>
      </c>
      <c r="L111" s="111">
        <v>0.5</v>
      </c>
      <c r="M111" s="111">
        <f t="shared" si="36"/>
        <v>0.4333333333</v>
      </c>
      <c r="N111" s="124">
        <f t="shared" si="23"/>
        <v>375.09</v>
      </c>
      <c r="O111" s="126">
        <v>250.0</v>
      </c>
      <c r="P111" s="124">
        <f t="shared" si="9"/>
        <v>125.09</v>
      </c>
      <c r="R111" s="113" t="s">
        <v>49</v>
      </c>
      <c r="S111" s="121">
        <f>(S105-S108)/S110</f>
        <v>1866.22</v>
      </c>
    </row>
    <row r="112" hidden="1" outlineLevel="1">
      <c r="A112" s="132">
        <v>45975.0</v>
      </c>
      <c r="B112" s="106">
        <v>0.0</v>
      </c>
      <c r="C112" s="107">
        <v>20.0</v>
      </c>
      <c r="D112" s="123">
        <f t="shared" si="32"/>
        <v>-20</v>
      </c>
      <c r="E112" s="106">
        <v>0.0</v>
      </c>
      <c r="F112" s="107">
        <v>8.0</v>
      </c>
      <c r="G112" s="123">
        <f t="shared" si="37"/>
        <v>-8</v>
      </c>
      <c r="H112" s="108">
        <v>0.0</v>
      </c>
      <c r="I112" s="135">
        <v>1000.0</v>
      </c>
      <c r="J112" s="124">
        <f t="shared" si="34"/>
        <v>-1000</v>
      </c>
      <c r="K112" s="134" t="str">
        <f t="shared" si="35"/>
        <v/>
      </c>
      <c r="L112" s="111">
        <v>0.5</v>
      </c>
      <c r="M112" s="111">
        <f t="shared" si="36"/>
        <v>0.5</v>
      </c>
      <c r="N112" s="124" t="str">
        <f t="shared" si="23"/>
        <v/>
      </c>
      <c r="O112" s="126">
        <v>250.0</v>
      </c>
      <c r="P112" s="124">
        <f t="shared" si="9"/>
        <v>-250</v>
      </c>
      <c r="R112" s="113" t="s">
        <v>50</v>
      </c>
      <c r="S112" s="122">
        <f>N98</f>
        <v>304.5286486</v>
      </c>
    </row>
    <row r="113" hidden="1" outlineLevel="1">
      <c r="A113" s="132">
        <v>45976.0</v>
      </c>
      <c r="B113" s="106">
        <v>0.0</v>
      </c>
      <c r="C113" s="107">
        <v>4.0</v>
      </c>
      <c r="D113" s="123">
        <f t="shared" si="32"/>
        <v>-4</v>
      </c>
      <c r="E113" s="106">
        <v>0.0</v>
      </c>
      <c r="F113" s="107">
        <v>5.0</v>
      </c>
      <c r="G113" s="123">
        <f t="shared" si="37"/>
        <v>-5</v>
      </c>
      <c r="H113" s="108">
        <v>0.0</v>
      </c>
      <c r="I113" s="109">
        <v>0.0</v>
      </c>
      <c r="J113" s="124">
        <f t="shared" si="34"/>
        <v>0</v>
      </c>
      <c r="K113" s="134" t="str">
        <f t="shared" si="35"/>
        <v/>
      </c>
      <c r="L113" s="111">
        <v>0.0</v>
      </c>
      <c r="M113" s="111">
        <f t="shared" si="36"/>
        <v>0</v>
      </c>
      <c r="N113" s="124" t="str">
        <f t="shared" si="23"/>
        <v/>
      </c>
      <c r="O113" s="126">
        <v>250.0</v>
      </c>
      <c r="P113" s="124">
        <f t="shared" si="9"/>
        <v>-250</v>
      </c>
      <c r="R113" s="113" t="s">
        <v>51</v>
      </c>
      <c r="S113" s="128">
        <f>B98</f>
        <v>147</v>
      </c>
    </row>
    <row r="114" hidden="1" outlineLevel="1">
      <c r="A114" s="132">
        <v>45977.0</v>
      </c>
      <c r="B114" s="106">
        <v>0.0</v>
      </c>
      <c r="C114" s="107">
        <v>0.0</v>
      </c>
      <c r="D114" s="123">
        <f t="shared" si="32"/>
        <v>0</v>
      </c>
      <c r="E114" s="106">
        <v>0.0</v>
      </c>
      <c r="F114" s="107">
        <v>0.0</v>
      </c>
      <c r="G114" s="123">
        <f t="shared" si="37"/>
        <v>0</v>
      </c>
      <c r="H114" s="108">
        <v>0.0</v>
      </c>
      <c r="I114" s="109">
        <v>0.0</v>
      </c>
      <c r="J114" s="124">
        <f t="shared" si="34"/>
        <v>0</v>
      </c>
      <c r="K114" s="134" t="str">
        <f t="shared" si="35"/>
        <v/>
      </c>
      <c r="L114" s="111">
        <v>0.0</v>
      </c>
      <c r="M114" s="111">
        <f t="shared" si="36"/>
        <v>0</v>
      </c>
      <c r="N114" s="124" t="str">
        <f t="shared" si="23"/>
        <v/>
      </c>
      <c r="O114" s="126">
        <v>250.0</v>
      </c>
      <c r="P114" s="124">
        <f t="shared" si="9"/>
        <v>-250</v>
      </c>
      <c r="R114" s="113" t="s">
        <v>52</v>
      </c>
      <c r="S114" s="128">
        <f>E98</f>
        <v>37</v>
      </c>
    </row>
    <row r="115" hidden="1" outlineLevel="1">
      <c r="A115" s="132">
        <v>45978.0</v>
      </c>
      <c r="B115" s="106">
        <v>13.0</v>
      </c>
      <c r="C115" s="107">
        <v>20.0</v>
      </c>
      <c r="D115" s="123">
        <f t="shared" si="32"/>
        <v>-7</v>
      </c>
      <c r="E115" s="106">
        <v>2.0</v>
      </c>
      <c r="F115" s="107">
        <v>8.0</v>
      </c>
      <c r="G115" s="123">
        <f t="shared" si="37"/>
        <v>-6</v>
      </c>
      <c r="H115" s="108">
        <v>1441.93</v>
      </c>
      <c r="I115" s="135">
        <v>1000.0</v>
      </c>
      <c r="J115" s="124">
        <f t="shared" si="34"/>
        <v>441.93</v>
      </c>
      <c r="K115" s="134">
        <f t="shared" si="35"/>
        <v>0.1538461538</v>
      </c>
      <c r="L115" s="111">
        <v>0.5</v>
      </c>
      <c r="M115" s="111">
        <f t="shared" si="36"/>
        <v>0.3461538462</v>
      </c>
      <c r="N115" s="124">
        <f t="shared" si="23"/>
        <v>720.965</v>
      </c>
      <c r="O115" s="126">
        <v>250.0</v>
      </c>
      <c r="P115" s="124">
        <f t="shared" si="9"/>
        <v>470.965</v>
      </c>
      <c r="R115" s="113" t="s">
        <v>4</v>
      </c>
      <c r="S115" s="119">
        <f>E98/B98</f>
        <v>0.2517006803</v>
      </c>
    </row>
    <row r="116" hidden="1" outlineLevel="1">
      <c r="A116" s="132">
        <v>45979.0</v>
      </c>
      <c r="B116" s="106">
        <v>16.0</v>
      </c>
      <c r="C116" s="107">
        <v>20.0</v>
      </c>
      <c r="D116" s="123">
        <f t="shared" si="32"/>
        <v>-4</v>
      </c>
      <c r="E116" s="106">
        <v>2.0</v>
      </c>
      <c r="F116" s="107">
        <v>8.0</v>
      </c>
      <c r="G116" s="123">
        <f t="shared" si="37"/>
        <v>-6</v>
      </c>
      <c r="H116" s="108">
        <v>359.71</v>
      </c>
      <c r="I116" s="137">
        <v>1000.0</v>
      </c>
      <c r="J116" s="124">
        <f t="shared" si="34"/>
        <v>-640.29</v>
      </c>
      <c r="K116" s="134">
        <f t="shared" si="35"/>
        <v>0.125</v>
      </c>
      <c r="L116" s="111">
        <v>0.5</v>
      </c>
      <c r="M116" s="111">
        <f t="shared" si="36"/>
        <v>0.375</v>
      </c>
      <c r="N116" s="124">
        <f t="shared" si="23"/>
        <v>179.855</v>
      </c>
      <c r="O116" s="126">
        <v>250.0</v>
      </c>
      <c r="P116" s="124">
        <f t="shared" si="9"/>
        <v>-70.145</v>
      </c>
      <c r="S116" s="94"/>
    </row>
    <row r="117" hidden="1" outlineLevel="1">
      <c r="A117" s="132">
        <v>45980.0</v>
      </c>
      <c r="B117" s="106">
        <v>10.0</v>
      </c>
      <c r="C117" s="107">
        <v>20.0</v>
      </c>
      <c r="D117" s="123">
        <f t="shared" si="32"/>
        <v>-10</v>
      </c>
      <c r="E117" s="106">
        <v>3.0</v>
      </c>
      <c r="F117" s="107">
        <v>8.0</v>
      </c>
      <c r="G117" s="123">
        <f t="shared" si="37"/>
        <v>-5</v>
      </c>
      <c r="H117" s="108">
        <v>507.13</v>
      </c>
      <c r="I117" s="135">
        <v>1000.0</v>
      </c>
      <c r="J117" s="124">
        <f t="shared" si="34"/>
        <v>-492.87</v>
      </c>
      <c r="K117" s="134">
        <f t="shared" si="35"/>
        <v>0.3</v>
      </c>
      <c r="L117" s="111">
        <v>0.5</v>
      </c>
      <c r="M117" s="111">
        <f t="shared" si="36"/>
        <v>0.2</v>
      </c>
      <c r="N117" s="124">
        <f t="shared" si="23"/>
        <v>169.0433333</v>
      </c>
      <c r="O117" s="126">
        <v>250.0</v>
      </c>
      <c r="P117" s="124">
        <f t="shared" si="9"/>
        <v>-80.95666667</v>
      </c>
      <c r="S117" s="94"/>
    </row>
    <row r="118" hidden="1" outlineLevel="1">
      <c r="A118" s="132">
        <v>45981.0</v>
      </c>
      <c r="B118" s="106">
        <v>2.0</v>
      </c>
      <c r="C118" s="107">
        <v>20.0</v>
      </c>
      <c r="D118" s="123">
        <f t="shared" si="32"/>
        <v>-18</v>
      </c>
      <c r="E118" s="106">
        <v>1.0</v>
      </c>
      <c r="F118" s="107">
        <v>8.0</v>
      </c>
      <c r="G118" s="123">
        <f t="shared" si="37"/>
        <v>-7</v>
      </c>
      <c r="H118" s="108">
        <v>133.88</v>
      </c>
      <c r="I118" s="137">
        <v>1000.0</v>
      </c>
      <c r="J118" s="124">
        <f t="shared" si="34"/>
        <v>-866.12</v>
      </c>
      <c r="K118" s="134">
        <f t="shared" si="35"/>
        <v>0.5</v>
      </c>
      <c r="L118" s="111">
        <v>0.5</v>
      </c>
      <c r="M118" s="111">
        <f t="shared" si="36"/>
        <v>0</v>
      </c>
      <c r="N118" s="124">
        <f t="shared" si="23"/>
        <v>133.88</v>
      </c>
      <c r="O118" s="126">
        <v>250.0</v>
      </c>
      <c r="P118" s="124">
        <f t="shared" si="9"/>
        <v>-116.12</v>
      </c>
      <c r="S118" s="94"/>
    </row>
    <row r="119" hidden="1" outlineLevel="1">
      <c r="A119" s="132">
        <v>45982.0</v>
      </c>
      <c r="B119" s="106">
        <v>11.0</v>
      </c>
      <c r="C119" s="107">
        <v>20.0</v>
      </c>
      <c r="D119" s="123">
        <f t="shared" si="32"/>
        <v>-9</v>
      </c>
      <c r="E119" s="106">
        <v>2.0</v>
      </c>
      <c r="F119" s="107">
        <v>8.0</v>
      </c>
      <c r="G119" s="123">
        <f t="shared" si="37"/>
        <v>-6</v>
      </c>
      <c r="H119" s="108">
        <v>1293.21</v>
      </c>
      <c r="I119" s="135">
        <v>1000.0</v>
      </c>
      <c r="J119" s="124">
        <f t="shared" si="34"/>
        <v>293.21</v>
      </c>
      <c r="K119" s="134">
        <f t="shared" si="35"/>
        <v>0.1818181818</v>
      </c>
      <c r="L119" s="111">
        <v>0.5</v>
      </c>
      <c r="M119" s="111">
        <f t="shared" si="36"/>
        <v>0.3181818182</v>
      </c>
      <c r="N119" s="124">
        <f t="shared" si="23"/>
        <v>646.605</v>
      </c>
      <c r="O119" s="126">
        <v>250.0</v>
      </c>
      <c r="P119" s="124">
        <f t="shared" si="9"/>
        <v>396.605</v>
      </c>
      <c r="S119" s="94"/>
    </row>
    <row r="120" hidden="1" outlineLevel="1">
      <c r="A120" s="132">
        <v>45983.0</v>
      </c>
      <c r="B120" s="106">
        <v>1.0</v>
      </c>
      <c r="C120" s="107">
        <v>4.0</v>
      </c>
      <c r="D120" s="123">
        <f t="shared" si="32"/>
        <v>-3</v>
      </c>
      <c r="E120" s="106">
        <v>0.0</v>
      </c>
      <c r="F120" s="107">
        <v>5.0</v>
      </c>
      <c r="G120" s="123">
        <f t="shared" si="37"/>
        <v>-5</v>
      </c>
      <c r="H120" s="108">
        <v>0.0</v>
      </c>
      <c r="I120" s="109">
        <v>0.0</v>
      </c>
      <c r="J120" s="124">
        <f t="shared" si="34"/>
        <v>0</v>
      </c>
      <c r="K120" s="134">
        <f t="shared" si="35"/>
        <v>0</v>
      </c>
      <c r="L120" s="111">
        <v>0.0</v>
      </c>
      <c r="M120" s="111">
        <f t="shared" si="36"/>
        <v>0</v>
      </c>
      <c r="N120" s="124" t="str">
        <f t="shared" si="23"/>
        <v/>
      </c>
      <c r="O120" s="126">
        <v>250.0</v>
      </c>
      <c r="P120" s="124">
        <f t="shared" si="9"/>
        <v>-250</v>
      </c>
      <c r="S120" s="94"/>
    </row>
    <row r="121" hidden="1" outlineLevel="1">
      <c r="A121" s="132">
        <v>45984.0</v>
      </c>
      <c r="B121" s="106">
        <v>0.0</v>
      </c>
      <c r="C121" s="107">
        <v>0.0</v>
      </c>
      <c r="D121" s="123">
        <f t="shared" si="32"/>
        <v>0</v>
      </c>
      <c r="E121" s="106">
        <v>0.0</v>
      </c>
      <c r="F121" s="107">
        <v>0.0</v>
      </c>
      <c r="G121" s="123">
        <f t="shared" si="37"/>
        <v>0</v>
      </c>
      <c r="H121" s="108">
        <v>0.0</v>
      </c>
      <c r="I121" s="109">
        <v>0.0</v>
      </c>
      <c r="J121" s="124">
        <f t="shared" si="34"/>
        <v>0</v>
      </c>
      <c r="K121" s="134" t="str">
        <f t="shared" si="35"/>
        <v/>
      </c>
      <c r="L121" s="111">
        <v>0.0</v>
      </c>
      <c r="M121" s="111">
        <f t="shared" si="36"/>
        <v>0</v>
      </c>
      <c r="N121" s="124" t="str">
        <f t="shared" si="23"/>
        <v/>
      </c>
      <c r="O121" s="126">
        <v>250.0</v>
      </c>
      <c r="P121" s="124">
        <f t="shared" si="9"/>
        <v>-250</v>
      </c>
      <c r="S121" s="94"/>
    </row>
    <row r="122" hidden="1" outlineLevel="1">
      <c r="A122" s="132">
        <v>45985.0</v>
      </c>
      <c r="B122" s="106">
        <v>11.0</v>
      </c>
      <c r="C122" s="107">
        <v>20.0</v>
      </c>
      <c r="D122" s="123">
        <f t="shared" si="32"/>
        <v>-9</v>
      </c>
      <c r="E122" s="106">
        <v>3.0</v>
      </c>
      <c r="F122" s="107">
        <v>8.0</v>
      </c>
      <c r="G122" s="123">
        <f t="shared" si="37"/>
        <v>-5</v>
      </c>
      <c r="H122" s="108">
        <v>611.09</v>
      </c>
      <c r="I122" s="135">
        <v>1000.0</v>
      </c>
      <c r="J122" s="124">
        <f t="shared" si="34"/>
        <v>-388.91</v>
      </c>
      <c r="K122" s="134">
        <f t="shared" si="35"/>
        <v>0.2727272727</v>
      </c>
      <c r="L122" s="111">
        <v>0.5</v>
      </c>
      <c r="M122" s="111">
        <f t="shared" si="36"/>
        <v>0.2272727273</v>
      </c>
      <c r="N122" s="124">
        <f t="shared" si="23"/>
        <v>203.6966667</v>
      </c>
      <c r="O122" s="126">
        <v>250.0</v>
      </c>
      <c r="P122" s="124">
        <f t="shared" si="9"/>
        <v>-46.30333333</v>
      </c>
      <c r="S122" s="94"/>
    </row>
    <row r="123" hidden="1" outlineLevel="1">
      <c r="A123" s="132">
        <v>45986.0</v>
      </c>
      <c r="B123" s="106">
        <v>7.0</v>
      </c>
      <c r="C123" s="107">
        <v>20.0</v>
      </c>
      <c r="D123" s="123">
        <f t="shared" si="32"/>
        <v>-13</v>
      </c>
      <c r="E123" s="106">
        <v>4.0</v>
      </c>
      <c r="F123" s="107">
        <v>8.0</v>
      </c>
      <c r="G123" s="123">
        <f t="shared" si="37"/>
        <v>-4</v>
      </c>
      <c r="H123" s="108">
        <v>1670.18</v>
      </c>
      <c r="I123" s="137">
        <v>1000.0</v>
      </c>
      <c r="J123" s="124">
        <f t="shared" si="34"/>
        <v>670.18</v>
      </c>
      <c r="K123" s="134">
        <f t="shared" si="35"/>
        <v>0.5714285714</v>
      </c>
      <c r="L123" s="111">
        <v>0.5</v>
      </c>
      <c r="M123" s="111">
        <f t="shared" si="36"/>
        <v>-0.07142857143</v>
      </c>
      <c r="N123" s="124">
        <f t="shared" si="23"/>
        <v>417.545</v>
      </c>
      <c r="O123" s="126">
        <v>250.0</v>
      </c>
      <c r="P123" s="124">
        <f t="shared" si="9"/>
        <v>167.545</v>
      </c>
      <c r="S123" s="94"/>
    </row>
    <row r="124" hidden="1" outlineLevel="1">
      <c r="A124" s="132">
        <v>45987.0</v>
      </c>
      <c r="B124" s="106">
        <v>5.0</v>
      </c>
      <c r="C124" s="107">
        <v>20.0</v>
      </c>
      <c r="D124" s="123">
        <f t="shared" si="32"/>
        <v>-15</v>
      </c>
      <c r="E124" s="106">
        <v>2.0</v>
      </c>
      <c r="F124" s="107">
        <v>8.0</v>
      </c>
      <c r="G124" s="123">
        <f t="shared" si="37"/>
        <v>-6</v>
      </c>
      <c r="H124" s="108">
        <v>382.05</v>
      </c>
      <c r="I124" s="135">
        <v>1000.0</v>
      </c>
      <c r="J124" s="124">
        <f t="shared" si="34"/>
        <v>-617.95</v>
      </c>
      <c r="K124" s="134">
        <f t="shared" si="35"/>
        <v>0.4</v>
      </c>
      <c r="L124" s="111">
        <v>0.5</v>
      </c>
      <c r="M124" s="111">
        <f t="shared" si="36"/>
        <v>0.1</v>
      </c>
      <c r="N124" s="124">
        <f t="shared" si="23"/>
        <v>191.025</v>
      </c>
      <c r="O124" s="126">
        <v>250.0</v>
      </c>
      <c r="P124" s="124">
        <f t="shared" si="9"/>
        <v>-58.975</v>
      </c>
      <c r="S124" s="94"/>
    </row>
    <row r="125" hidden="1" outlineLevel="1">
      <c r="A125" s="132">
        <v>45988.0</v>
      </c>
      <c r="B125" s="106">
        <v>10.0</v>
      </c>
      <c r="C125" s="107">
        <v>20.0</v>
      </c>
      <c r="D125" s="123">
        <f t="shared" si="32"/>
        <v>-10</v>
      </c>
      <c r="E125" s="106">
        <v>6.0</v>
      </c>
      <c r="F125" s="107">
        <v>8.0</v>
      </c>
      <c r="G125" s="123">
        <f t="shared" si="37"/>
        <v>-2</v>
      </c>
      <c r="H125" s="108">
        <v>1091.29</v>
      </c>
      <c r="I125" s="137">
        <v>1000.0</v>
      </c>
      <c r="J125" s="124">
        <f t="shared" si="34"/>
        <v>91.29</v>
      </c>
      <c r="K125" s="134">
        <f t="shared" si="35"/>
        <v>0.6</v>
      </c>
      <c r="L125" s="111">
        <v>0.5</v>
      </c>
      <c r="M125" s="111">
        <f t="shared" si="36"/>
        <v>-0.1</v>
      </c>
      <c r="N125" s="124">
        <f t="shared" si="23"/>
        <v>181.8816667</v>
      </c>
      <c r="O125" s="126">
        <v>250.0</v>
      </c>
      <c r="P125" s="124">
        <f t="shared" si="9"/>
        <v>-68.11833333</v>
      </c>
      <c r="S125" s="94"/>
    </row>
    <row r="126" hidden="1" outlineLevel="1">
      <c r="A126" s="132">
        <v>45989.0</v>
      </c>
      <c r="B126" s="106">
        <v>7.0</v>
      </c>
      <c r="C126" s="107">
        <v>20.0</v>
      </c>
      <c r="D126" s="123">
        <f t="shared" si="32"/>
        <v>-13</v>
      </c>
      <c r="E126" s="106">
        <v>6.0</v>
      </c>
      <c r="F126" s="107">
        <v>8.0</v>
      </c>
      <c r="G126" s="123">
        <f t="shared" si="37"/>
        <v>-2</v>
      </c>
      <c r="H126" s="108">
        <v>1782.1</v>
      </c>
      <c r="I126" s="135">
        <v>1000.0</v>
      </c>
      <c r="J126" s="124">
        <f t="shared" si="34"/>
        <v>782.1</v>
      </c>
      <c r="K126" s="134">
        <f t="shared" si="35"/>
        <v>0.8571428571</v>
      </c>
      <c r="L126" s="111">
        <v>0.5</v>
      </c>
      <c r="M126" s="111">
        <f t="shared" si="36"/>
        <v>-0.3571428571</v>
      </c>
      <c r="N126" s="124">
        <f t="shared" si="23"/>
        <v>297.0166667</v>
      </c>
      <c r="O126" s="126">
        <v>250.0</v>
      </c>
      <c r="P126" s="124">
        <f t="shared" si="9"/>
        <v>47.01666667</v>
      </c>
      <c r="S126" s="94"/>
    </row>
    <row r="127" hidden="1" outlineLevel="1">
      <c r="A127" s="132">
        <v>45990.0</v>
      </c>
      <c r="B127" s="106">
        <v>0.0</v>
      </c>
      <c r="C127" s="107">
        <v>4.0</v>
      </c>
      <c r="D127" s="123">
        <f t="shared" si="32"/>
        <v>-4</v>
      </c>
      <c r="E127" s="106">
        <v>0.0</v>
      </c>
      <c r="F127" s="107">
        <v>5.0</v>
      </c>
      <c r="G127" s="123">
        <f t="shared" si="37"/>
        <v>-5</v>
      </c>
      <c r="H127" s="108">
        <v>0.0</v>
      </c>
      <c r="I127" s="109">
        <v>0.0</v>
      </c>
      <c r="J127" s="124">
        <f t="shared" si="34"/>
        <v>0</v>
      </c>
      <c r="K127" s="134" t="str">
        <f t="shared" si="35"/>
        <v/>
      </c>
      <c r="L127" s="111">
        <v>0.0</v>
      </c>
      <c r="M127" s="111">
        <f t="shared" si="36"/>
        <v>0</v>
      </c>
      <c r="N127" s="124" t="str">
        <f t="shared" si="23"/>
        <v/>
      </c>
      <c r="O127" s="126">
        <v>250.0</v>
      </c>
      <c r="P127" s="124">
        <f t="shared" si="9"/>
        <v>-250</v>
      </c>
      <c r="S127" s="94"/>
    </row>
    <row r="128" hidden="1" outlineLevel="1">
      <c r="A128" s="132">
        <v>45991.0</v>
      </c>
      <c r="B128" s="106">
        <v>0.0</v>
      </c>
      <c r="C128" s="107">
        <v>0.0</v>
      </c>
      <c r="D128" s="123">
        <f t="shared" si="32"/>
        <v>0</v>
      </c>
      <c r="E128" s="106">
        <v>0.0</v>
      </c>
      <c r="F128" s="107">
        <v>0.0</v>
      </c>
      <c r="G128" s="123">
        <f t="shared" si="37"/>
        <v>0</v>
      </c>
      <c r="H128" s="108">
        <v>0.0</v>
      </c>
      <c r="I128" s="109">
        <v>0.0</v>
      </c>
      <c r="J128" s="124">
        <f t="shared" si="34"/>
        <v>0</v>
      </c>
      <c r="K128" s="134" t="str">
        <f t="shared" si="35"/>
        <v/>
      </c>
      <c r="L128" s="111">
        <v>0.0</v>
      </c>
      <c r="M128" s="111">
        <f t="shared" si="36"/>
        <v>0</v>
      </c>
      <c r="N128" s="124" t="str">
        <f t="shared" si="23"/>
        <v/>
      </c>
      <c r="O128" s="126">
        <v>250.0</v>
      </c>
      <c r="P128" s="124">
        <f t="shared" si="9"/>
        <v>-250</v>
      </c>
      <c r="S128" s="94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9"/>
      <c r="L129" s="140"/>
      <c r="N129" s="138"/>
      <c r="O129" s="141"/>
      <c r="S129" s="94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9"/>
      <c r="L130" s="140"/>
      <c r="N130" s="138"/>
      <c r="O130" s="141"/>
      <c r="S130" s="94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9"/>
      <c r="L131" s="140"/>
      <c r="N131" s="138"/>
      <c r="O131" s="141"/>
      <c r="S131" s="94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9"/>
      <c r="L132" s="140"/>
      <c r="N132" s="138"/>
      <c r="O132" s="141"/>
      <c r="S132" s="94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9"/>
      <c r="L133" s="140"/>
      <c r="N133" s="138"/>
      <c r="O133" s="141"/>
      <c r="S133" s="94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9"/>
      <c r="L134" s="140"/>
      <c r="N134" s="138"/>
      <c r="O134" s="141"/>
      <c r="S134" s="94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9"/>
      <c r="L135" s="140"/>
      <c r="N135" s="138"/>
      <c r="O135" s="141"/>
      <c r="S135" s="94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9"/>
      <c r="L136" s="140"/>
      <c r="N136" s="138"/>
      <c r="O136" s="141"/>
      <c r="S136" s="94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9"/>
      <c r="L137" s="140"/>
      <c r="N137" s="138"/>
      <c r="O137" s="141"/>
      <c r="S137" s="94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9"/>
      <c r="L138" s="140"/>
      <c r="N138" s="138"/>
      <c r="O138" s="141"/>
      <c r="S138" s="94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9"/>
      <c r="L139" s="140"/>
      <c r="N139" s="138"/>
      <c r="O139" s="141"/>
      <c r="S139" s="94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9"/>
      <c r="L140" s="140"/>
      <c r="N140" s="138"/>
      <c r="O140" s="141"/>
      <c r="S140" s="94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9"/>
      <c r="L141" s="140"/>
      <c r="N141" s="138"/>
      <c r="O141" s="141"/>
      <c r="S141" s="94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9"/>
      <c r="L142" s="140"/>
      <c r="N142" s="138"/>
      <c r="O142" s="141"/>
      <c r="S142" s="94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9"/>
      <c r="L143" s="140"/>
      <c r="N143" s="138"/>
      <c r="O143" s="141"/>
      <c r="S143" s="94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9"/>
      <c r="L144" s="140"/>
      <c r="N144" s="138"/>
      <c r="O144" s="141"/>
      <c r="S144" s="94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L145" s="140"/>
      <c r="N145" s="138"/>
      <c r="O145" s="141"/>
      <c r="S145" s="94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9"/>
      <c r="L146" s="140"/>
      <c r="N146" s="138"/>
      <c r="O146" s="141"/>
      <c r="S146" s="94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  <c r="L147" s="140"/>
      <c r="N147" s="138"/>
      <c r="O147" s="141"/>
      <c r="S147" s="94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9"/>
      <c r="L148" s="140"/>
      <c r="N148" s="138"/>
      <c r="O148" s="141"/>
      <c r="S148" s="94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9"/>
      <c r="L149" s="140"/>
      <c r="N149" s="138"/>
      <c r="O149" s="141"/>
      <c r="S149" s="94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9"/>
      <c r="L150" s="140"/>
      <c r="N150" s="138"/>
      <c r="O150" s="141"/>
      <c r="S150" s="94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L151" s="140"/>
      <c r="N151" s="138"/>
      <c r="O151" s="141"/>
      <c r="S151" s="94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9"/>
      <c r="L152" s="140"/>
      <c r="N152" s="138"/>
      <c r="O152" s="141"/>
      <c r="S152" s="94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9"/>
      <c r="L153" s="140"/>
      <c r="N153" s="138"/>
      <c r="O153" s="141"/>
      <c r="S153" s="94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9"/>
      <c r="L154" s="140"/>
      <c r="N154" s="138"/>
      <c r="O154" s="141"/>
      <c r="S154" s="94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9"/>
      <c r="L155" s="140"/>
      <c r="N155" s="138"/>
      <c r="O155" s="141"/>
      <c r="S155" s="94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9"/>
      <c r="L156" s="140"/>
      <c r="N156" s="138"/>
      <c r="O156" s="141"/>
      <c r="S156" s="94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9"/>
      <c r="L157" s="140"/>
      <c r="N157" s="138"/>
      <c r="O157" s="141"/>
      <c r="S157" s="94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9"/>
      <c r="L158" s="140"/>
      <c r="N158" s="138"/>
      <c r="O158" s="141"/>
      <c r="S158" s="94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9"/>
      <c r="L159" s="140"/>
      <c r="N159" s="138"/>
      <c r="O159" s="141"/>
      <c r="S159" s="94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9"/>
      <c r="L160" s="140"/>
      <c r="N160" s="138"/>
      <c r="O160" s="141"/>
      <c r="S160" s="94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9"/>
      <c r="L161" s="140"/>
      <c r="N161" s="138"/>
      <c r="O161" s="141"/>
      <c r="S161" s="94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9"/>
      <c r="L162" s="140"/>
      <c r="N162" s="138"/>
      <c r="O162" s="141"/>
      <c r="S162" s="94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9"/>
      <c r="L163" s="140"/>
      <c r="N163" s="138"/>
      <c r="O163" s="141"/>
      <c r="S163" s="94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9"/>
      <c r="L164" s="140"/>
      <c r="N164" s="138"/>
      <c r="O164" s="141"/>
      <c r="S164" s="94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9"/>
      <c r="L165" s="140"/>
      <c r="N165" s="138"/>
      <c r="O165" s="141"/>
      <c r="S165" s="94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9"/>
      <c r="L166" s="140"/>
      <c r="N166" s="138"/>
      <c r="O166" s="141"/>
      <c r="S166" s="94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9"/>
      <c r="L167" s="140"/>
      <c r="N167" s="138"/>
      <c r="O167" s="141"/>
      <c r="S167" s="94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9"/>
      <c r="L168" s="140"/>
      <c r="N168" s="138"/>
      <c r="O168" s="141"/>
      <c r="S168" s="94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9"/>
      <c r="L169" s="140"/>
      <c r="N169" s="138"/>
      <c r="O169" s="141"/>
      <c r="S169" s="94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9"/>
      <c r="L170" s="140"/>
      <c r="N170" s="138"/>
      <c r="O170" s="141"/>
      <c r="S170" s="94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9"/>
      <c r="L171" s="140"/>
      <c r="N171" s="138"/>
      <c r="O171" s="141"/>
      <c r="S171" s="94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9"/>
      <c r="L172" s="140"/>
      <c r="N172" s="138"/>
      <c r="O172" s="141"/>
      <c r="S172" s="94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9"/>
      <c r="L173" s="140"/>
      <c r="N173" s="138"/>
      <c r="O173" s="141"/>
      <c r="S173" s="94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9"/>
      <c r="L174" s="140"/>
      <c r="N174" s="138"/>
      <c r="O174" s="141"/>
      <c r="S174" s="94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9"/>
      <c r="L175" s="140"/>
      <c r="N175" s="138"/>
      <c r="O175" s="141"/>
      <c r="S175" s="94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9"/>
      <c r="L176" s="140"/>
      <c r="N176" s="138"/>
      <c r="O176" s="141"/>
      <c r="S176" s="94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9"/>
      <c r="L177" s="140"/>
      <c r="N177" s="138"/>
      <c r="O177" s="141"/>
      <c r="S177" s="94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9"/>
      <c r="L178" s="140"/>
      <c r="N178" s="138"/>
      <c r="O178" s="141"/>
      <c r="S178" s="94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9"/>
      <c r="L179" s="140"/>
      <c r="N179" s="138"/>
      <c r="O179" s="141"/>
      <c r="S179" s="94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9"/>
      <c r="L180" s="140"/>
      <c r="N180" s="138"/>
      <c r="O180" s="141"/>
      <c r="S180" s="94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9"/>
      <c r="L181" s="140"/>
      <c r="N181" s="138"/>
      <c r="O181" s="141"/>
      <c r="S181" s="94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L182" s="140"/>
      <c r="N182" s="138"/>
      <c r="O182" s="141"/>
      <c r="S182" s="94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9"/>
      <c r="L183" s="140"/>
      <c r="N183" s="138"/>
      <c r="O183" s="141"/>
      <c r="S183" s="94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9"/>
      <c r="L184" s="140"/>
      <c r="N184" s="138"/>
      <c r="O184" s="141"/>
      <c r="S184" s="94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9"/>
      <c r="L185" s="140"/>
      <c r="N185" s="138"/>
      <c r="O185" s="141"/>
      <c r="S185" s="94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9"/>
      <c r="L186" s="140"/>
      <c r="N186" s="138"/>
      <c r="O186" s="141"/>
      <c r="S186" s="94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9"/>
      <c r="L187" s="140"/>
      <c r="N187" s="138"/>
      <c r="O187" s="141"/>
      <c r="S187" s="94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L188" s="140"/>
      <c r="N188" s="138"/>
      <c r="O188" s="141"/>
      <c r="S188" s="94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9"/>
      <c r="L189" s="140"/>
      <c r="N189" s="138"/>
      <c r="O189" s="141"/>
      <c r="S189" s="94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9"/>
      <c r="L190" s="140"/>
      <c r="N190" s="138"/>
      <c r="O190" s="141"/>
      <c r="S190" s="94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9"/>
      <c r="L191" s="140"/>
      <c r="N191" s="138"/>
      <c r="O191" s="141"/>
      <c r="S191" s="94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9"/>
      <c r="L192" s="140"/>
      <c r="N192" s="138"/>
      <c r="O192" s="141"/>
      <c r="S192" s="94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9"/>
      <c r="L193" s="140"/>
      <c r="N193" s="138"/>
      <c r="O193" s="141"/>
      <c r="S193" s="94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9"/>
      <c r="L194" s="140"/>
      <c r="N194" s="138"/>
      <c r="O194" s="141"/>
      <c r="S194" s="94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9"/>
      <c r="L195" s="140"/>
      <c r="N195" s="138"/>
      <c r="O195" s="141"/>
      <c r="S195" s="94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9"/>
      <c r="L196" s="140"/>
      <c r="N196" s="138"/>
      <c r="O196" s="141"/>
      <c r="S196" s="94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9"/>
      <c r="L197" s="140"/>
      <c r="N197" s="138"/>
      <c r="O197" s="141"/>
      <c r="S197" s="94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9"/>
      <c r="L198" s="140"/>
      <c r="N198" s="138"/>
      <c r="O198" s="141"/>
      <c r="S198" s="94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9"/>
      <c r="L199" s="140"/>
      <c r="N199" s="138"/>
      <c r="O199" s="141"/>
      <c r="S199" s="94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9"/>
      <c r="L200" s="140"/>
      <c r="N200" s="138"/>
      <c r="O200" s="141"/>
      <c r="S200" s="94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9"/>
      <c r="L201" s="140"/>
      <c r="N201" s="138"/>
      <c r="O201" s="141"/>
      <c r="S201" s="94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9"/>
      <c r="L202" s="140"/>
      <c r="N202" s="138"/>
      <c r="O202" s="141"/>
      <c r="S202" s="94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9"/>
      <c r="L203" s="140"/>
      <c r="N203" s="138"/>
      <c r="O203" s="141"/>
      <c r="S203" s="94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9"/>
      <c r="L204" s="140"/>
      <c r="N204" s="138"/>
      <c r="O204" s="141"/>
      <c r="S204" s="94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9"/>
      <c r="L205" s="140"/>
      <c r="N205" s="138"/>
      <c r="O205" s="141"/>
      <c r="S205" s="94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9"/>
      <c r="L206" s="140"/>
      <c r="N206" s="138"/>
      <c r="O206" s="141"/>
      <c r="S206" s="94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9"/>
      <c r="L207" s="140"/>
      <c r="N207" s="138"/>
      <c r="O207" s="141"/>
      <c r="S207" s="94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9"/>
      <c r="L208" s="140"/>
      <c r="N208" s="138"/>
      <c r="O208" s="141"/>
      <c r="S208" s="94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9"/>
      <c r="L209" s="140"/>
      <c r="N209" s="138"/>
      <c r="O209" s="141"/>
      <c r="S209" s="94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9"/>
      <c r="L210" s="140"/>
      <c r="N210" s="138"/>
      <c r="O210" s="141"/>
      <c r="S210" s="94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9"/>
      <c r="L211" s="140"/>
      <c r="N211" s="138"/>
      <c r="O211" s="141"/>
      <c r="S211" s="94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9"/>
      <c r="L212" s="140"/>
      <c r="N212" s="138"/>
      <c r="O212" s="141"/>
      <c r="S212" s="94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9"/>
      <c r="L213" s="140"/>
      <c r="N213" s="138"/>
      <c r="O213" s="141"/>
      <c r="S213" s="94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9"/>
      <c r="L214" s="140"/>
      <c r="N214" s="138"/>
      <c r="O214" s="141"/>
      <c r="S214" s="94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9"/>
      <c r="L215" s="140"/>
      <c r="N215" s="138"/>
      <c r="O215" s="141"/>
      <c r="S215" s="94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9"/>
      <c r="L216" s="140"/>
      <c r="N216" s="138"/>
      <c r="O216" s="141"/>
      <c r="S216" s="94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9"/>
      <c r="L217" s="140"/>
      <c r="N217" s="138"/>
      <c r="O217" s="141"/>
      <c r="S217" s="94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9"/>
      <c r="L218" s="140"/>
      <c r="N218" s="138"/>
      <c r="O218" s="141"/>
      <c r="S218" s="94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L219" s="140"/>
      <c r="N219" s="138"/>
      <c r="O219" s="141"/>
      <c r="S219" s="94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9"/>
      <c r="L220" s="140"/>
      <c r="N220" s="138"/>
      <c r="O220" s="141"/>
      <c r="S220" s="94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9"/>
      <c r="L221" s="140"/>
      <c r="N221" s="138"/>
      <c r="O221" s="141"/>
      <c r="S221" s="94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9"/>
      <c r="L222" s="140"/>
      <c r="N222" s="138"/>
      <c r="O222" s="141"/>
      <c r="S222" s="94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9"/>
      <c r="L223" s="140"/>
      <c r="N223" s="138"/>
      <c r="O223" s="141"/>
      <c r="S223" s="94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9"/>
      <c r="L224" s="140"/>
      <c r="N224" s="138"/>
      <c r="O224" s="141"/>
      <c r="S224" s="94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L225" s="140"/>
      <c r="N225" s="138"/>
      <c r="O225" s="141"/>
      <c r="S225" s="94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L226" s="140"/>
      <c r="N226" s="138"/>
      <c r="O226" s="141"/>
      <c r="S226" s="94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9"/>
      <c r="L227" s="140"/>
      <c r="N227" s="138"/>
      <c r="O227" s="141"/>
      <c r="S227" s="94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9"/>
      <c r="L228" s="140"/>
      <c r="N228" s="138"/>
      <c r="O228" s="141"/>
      <c r="S228" s="94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9"/>
      <c r="L229" s="140"/>
      <c r="N229" s="138"/>
      <c r="O229" s="141"/>
      <c r="S229" s="94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9"/>
      <c r="L230" s="140"/>
      <c r="N230" s="138"/>
      <c r="O230" s="141"/>
      <c r="S230" s="94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9"/>
      <c r="L231" s="140"/>
      <c r="N231" s="138"/>
      <c r="O231" s="141"/>
      <c r="S231" s="94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9"/>
      <c r="L232" s="140"/>
      <c r="N232" s="138"/>
      <c r="O232" s="141"/>
      <c r="S232" s="94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9"/>
      <c r="L233" s="140"/>
      <c r="N233" s="138"/>
      <c r="O233" s="141"/>
      <c r="S233" s="94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9"/>
      <c r="L234" s="140"/>
      <c r="N234" s="138"/>
      <c r="O234" s="141"/>
      <c r="S234" s="94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9"/>
      <c r="L235" s="140"/>
      <c r="N235" s="138"/>
      <c r="O235" s="141"/>
      <c r="S235" s="94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9"/>
      <c r="L236" s="140"/>
      <c r="N236" s="138"/>
      <c r="O236" s="141"/>
      <c r="S236" s="94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9"/>
      <c r="L237" s="140"/>
      <c r="N237" s="138"/>
      <c r="O237" s="141"/>
      <c r="S237" s="94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9"/>
      <c r="L238" s="140"/>
      <c r="N238" s="138"/>
      <c r="O238" s="141"/>
      <c r="S238" s="94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9"/>
      <c r="L239" s="140"/>
      <c r="N239" s="138"/>
      <c r="O239" s="141"/>
      <c r="S239" s="94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9"/>
      <c r="L240" s="140"/>
      <c r="N240" s="138"/>
      <c r="O240" s="141"/>
      <c r="S240" s="94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9"/>
      <c r="L241" s="140"/>
      <c r="N241" s="138"/>
      <c r="O241" s="141"/>
      <c r="S241" s="94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9"/>
      <c r="L242" s="140"/>
      <c r="N242" s="138"/>
      <c r="O242" s="141"/>
      <c r="S242" s="94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9"/>
      <c r="L243" s="140"/>
      <c r="N243" s="138"/>
      <c r="O243" s="141"/>
      <c r="S243" s="94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9"/>
      <c r="L244" s="140"/>
      <c r="N244" s="138"/>
      <c r="O244" s="141"/>
      <c r="S244" s="94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9"/>
      <c r="L245" s="140"/>
      <c r="N245" s="138"/>
      <c r="O245" s="141"/>
      <c r="S245" s="94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9"/>
      <c r="L246" s="140"/>
      <c r="N246" s="138"/>
      <c r="O246" s="141"/>
      <c r="S246" s="94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9"/>
      <c r="L247" s="140"/>
      <c r="N247" s="138"/>
      <c r="O247" s="141"/>
      <c r="S247" s="94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9"/>
      <c r="L248" s="140"/>
      <c r="N248" s="138"/>
      <c r="O248" s="141"/>
      <c r="S248" s="94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9"/>
      <c r="L249" s="140"/>
      <c r="N249" s="138"/>
      <c r="O249" s="141"/>
      <c r="S249" s="94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9"/>
      <c r="L250" s="140"/>
      <c r="N250" s="138"/>
      <c r="O250" s="141"/>
      <c r="S250" s="94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9"/>
      <c r="L251" s="140"/>
      <c r="N251" s="138"/>
      <c r="O251" s="141"/>
      <c r="S251" s="94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9"/>
      <c r="L252" s="140"/>
      <c r="N252" s="138"/>
      <c r="O252" s="141"/>
      <c r="S252" s="94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9"/>
      <c r="L253" s="140"/>
      <c r="N253" s="138"/>
      <c r="O253" s="141"/>
      <c r="S253" s="94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9"/>
      <c r="L254" s="140"/>
      <c r="N254" s="138"/>
      <c r="O254" s="141"/>
      <c r="S254" s="94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9"/>
      <c r="L255" s="140"/>
      <c r="N255" s="138"/>
      <c r="O255" s="141"/>
      <c r="S255" s="94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L256" s="140"/>
      <c r="N256" s="138"/>
      <c r="O256" s="141"/>
      <c r="S256" s="94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9"/>
      <c r="L257" s="140"/>
      <c r="N257" s="138"/>
      <c r="O257" s="141"/>
      <c r="S257" s="94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9"/>
      <c r="L258" s="140"/>
      <c r="N258" s="138"/>
      <c r="O258" s="141"/>
      <c r="S258" s="94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9"/>
      <c r="L259" s="140"/>
      <c r="N259" s="138"/>
      <c r="O259" s="141"/>
      <c r="S259" s="94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9"/>
      <c r="L260" s="140"/>
      <c r="N260" s="138"/>
      <c r="O260" s="141"/>
      <c r="S260" s="94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9"/>
      <c r="L261" s="140"/>
      <c r="N261" s="138"/>
      <c r="O261" s="141"/>
      <c r="S261" s="94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L262" s="140"/>
      <c r="N262" s="138"/>
      <c r="O262" s="141"/>
      <c r="S262" s="94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9"/>
      <c r="L263" s="140"/>
      <c r="N263" s="138"/>
      <c r="O263" s="141"/>
      <c r="S263" s="94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9"/>
      <c r="L264" s="140"/>
      <c r="N264" s="138"/>
      <c r="O264" s="141"/>
      <c r="S264" s="94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9"/>
      <c r="L265" s="140"/>
      <c r="N265" s="138"/>
      <c r="O265" s="141"/>
      <c r="S265" s="94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9"/>
      <c r="L266" s="140"/>
      <c r="N266" s="138"/>
      <c r="O266" s="141"/>
      <c r="S266" s="94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9"/>
      <c r="L267" s="140"/>
      <c r="N267" s="138"/>
      <c r="O267" s="141"/>
      <c r="S267" s="94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9"/>
      <c r="L268" s="140"/>
      <c r="N268" s="138"/>
      <c r="O268" s="141"/>
      <c r="S268" s="94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9"/>
      <c r="L269" s="140"/>
      <c r="N269" s="138"/>
      <c r="O269" s="141"/>
      <c r="S269" s="94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9"/>
      <c r="L270" s="140"/>
      <c r="N270" s="138"/>
      <c r="O270" s="141"/>
      <c r="S270" s="94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9"/>
      <c r="L271" s="140"/>
      <c r="N271" s="138"/>
      <c r="O271" s="141"/>
      <c r="S271" s="94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9"/>
      <c r="L272" s="140"/>
      <c r="N272" s="138"/>
      <c r="O272" s="141"/>
      <c r="S272" s="94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9"/>
      <c r="L273" s="140"/>
      <c r="N273" s="138"/>
      <c r="O273" s="141"/>
      <c r="S273" s="94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9"/>
      <c r="L274" s="140"/>
      <c r="N274" s="138"/>
      <c r="O274" s="141"/>
      <c r="S274" s="94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9"/>
      <c r="L275" s="140"/>
      <c r="N275" s="138"/>
      <c r="O275" s="141"/>
      <c r="S275" s="94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9"/>
      <c r="L276" s="140"/>
      <c r="N276" s="138"/>
      <c r="O276" s="141"/>
      <c r="S276" s="94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9"/>
      <c r="L277" s="140"/>
      <c r="N277" s="138"/>
      <c r="O277" s="141"/>
      <c r="S277" s="94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9"/>
      <c r="L278" s="140"/>
      <c r="N278" s="138"/>
      <c r="O278" s="141"/>
      <c r="S278" s="94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9"/>
      <c r="L279" s="140"/>
      <c r="N279" s="138"/>
      <c r="O279" s="141"/>
      <c r="S279" s="94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9"/>
      <c r="L280" s="140"/>
      <c r="N280" s="138"/>
      <c r="O280" s="141"/>
      <c r="S280" s="94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9"/>
      <c r="L281" s="140"/>
      <c r="N281" s="138"/>
      <c r="O281" s="141"/>
      <c r="S281" s="94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9"/>
      <c r="L282" s="140"/>
      <c r="N282" s="138"/>
      <c r="O282" s="141"/>
      <c r="S282" s="94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9"/>
      <c r="L283" s="140"/>
      <c r="N283" s="138"/>
      <c r="O283" s="141"/>
      <c r="S283" s="94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9"/>
      <c r="L284" s="140"/>
      <c r="N284" s="138"/>
      <c r="O284" s="141"/>
      <c r="S284" s="94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9"/>
      <c r="L285" s="140"/>
      <c r="N285" s="138"/>
      <c r="O285" s="141"/>
      <c r="S285" s="94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9"/>
      <c r="L286" s="140"/>
      <c r="N286" s="138"/>
      <c r="O286" s="141"/>
      <c r="S286" s="94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9"/>
      <c r="L287" s="140"/>
      <c r="N287" s="138"/>
      <c r="O287" s="141"/>
      <c r="S287" s="94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9"/>
      <c r="L288" s="140"/>
      <c r="N288" s="138"/>
      <c r="O288" s="141"/>
      <c r="S288" s="94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9"/>
      <c r="L289" s="140"/>
      <c r="N289" s="138"/>
      <c r="O289" s="141"/>
      <c r="S289" s="94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9"/>
      <c r="L290" s="140"/>
      <c r="N290" s="138"/>
      <c r="O290" s="141"/>
      <c r="S290" s="94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9"/>
      <c r="L291" s="140"/>
      <c r="N291" s="138"/>
      <c r="O291" s="141"/>
      <c r="S291" s="94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9"/>
      <c r="L292" s="140"/>
      <c r="N292" s="138"/>
      <c r="O292" s="141"/>
      <c r="S292" s="94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L293" s="140"/>
      <c r="N293" s="138"/>
      <c r="O293" s="141"/>
      <c r="S293" s="94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9"/>
      <c r="L294" s="140"/>
      <c r="N294" s="138"/>
      <c r="O294" s="141"/>
      <c r="S294" s="94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9"/>
      <c r="L295" s="140"/>
      <c r="N295" s="138"/>
      <c r="O295" s="141"/>
      <c r="S295" s="94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9"/>
      <c r="L296" s="140"/>
      <c r="N296" s="138"/>
      <c r="O296" s="141"/>
      <c r="S296" s="94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9"/>
      <c r="L297" s="140"/>
      <c r="N297" s="138"/>
      <c r="O297" s="141"/>
      <c r="S297" s="94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9"/>
      <c r="L298" s="140"/>
      <c r="N298" s="138"/>
      <c r="O298" s="141"/>
      <c r="S298" s="94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L299" s="140"/>
      <c r="N299" s="138"/>
      <c r="O299" s="141"/>
      <c r="S299" s="94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9"/>
      <c r="L300" s="140"/>
      <c r="N300" s="138"/>
      <c r="O300" s="141"/>
      <c r="S300" s="94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9"/>
      <c r="L301" s="140"/>
      <c r="N301" s="138"/>
      <c r="O301" s="141"/>
      <c r="S301" s="94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9"/>
      <c r="L302" s="140"/>
      <c r="N302" s="138"/>
      <c r="O302" s="141"/>
      <c r="S302" s="94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9"/>
      <c r="L303" s="140"/>
      <c r="N303" s="138"/>
      <c r="O303" s="141"/>
      <c r="S303" s="94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9"/>
      <c r="L304" s="140"/>
      <c r="N304" s="138"/>
      <c r="O304" s="141"/>
      <c r="S304" s="94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9"/>
      <c r="L305" s="140"/>
      <c r="N305" s="138"/>
      <c r="O305" s="141"/>
      <c r="S305" s="94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9"/>
      <c r="L306" s="140"/>
      <c r="N306" s="138"/>
      <c r="O306" s="141"/>
      <c r="S306" s="94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9"/>
      <c r="L307" s="140"/>
      <c r="N307" s="138"/>
      <c r="O307" s="141"/>
      <c r="S307" s="94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9"/>
      <c r="L308" s="140"/>
      <c r="N308" s="138"/>
      <c r="O308" s="141"/>
      <c r="S308" s="94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9"/>
      <c r="L309" s="140"/>
      <c r="N309" s="138"/>
      <c r="O309" s="141"/>
      <c r="S309" s="94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9"/>
      <c r="L310" s="140"/>
      <c r="N310" s="138"/>
      <c r="O310" s="141"/>
      <c r="S310" s="94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9"/>
      <c r="L311" s="140"/>
      <c r="N311" s="138"/>
      <c r="O311" s="141"/>
      <c r="S311" s="94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9"/>
      <c r="L312" s="140"/>
      <c r="N312" s="138"/>
      <c r="O312" s="141"/>
      <c r="S312" s="94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9"/>
      <c r="L313" s="140"/>
      <c r="N313" s="138"/>
      <c r="O313" s="141"/>
      <c r="S313" s="94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9"/>
      <c r="L314" s="140"/>
      <c r="N314" s="138"/>
      <c r="O314" s="141"/>
      <c r="S314" s="94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9"/>
      <c r="L315" s="140"/>
      <c r="N315" s="138"/>
      <c r="O315" s="141"/>
      <c r="S315" s="94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9"/>
      <c r="L316" s="140"/>
      <c r="N316" s="138"/>
      <c r="O316" s="141"/>
      <c r="S316" s="94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9"/>
      <c r="L317" s="140"/>
      <c r="N317" s="138"/>
      <c r="O317" s="141"/>
      <c r="S317" s="94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9"/>
      <c r="L318" s="140"/>
      <c r="N318" s="138"/>
      <c r="O318" s="141"/>
      <c r="S318" s="94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9"/>
      <c r="L319" s="140"/>
      <c r="N319" s="138"/>
      <c r="O319" s="141"/>
      <c r="S319" s="94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9"/>
      <c r="L320" s="140"/>
      <c r="N320" s="138"/>
      <c r="O320" s="141"/>
      <c r="S320" s="94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9"/>
      <c r="L321" s="140"/>
      <c r="N321" s="138"/>
      <c r="O321" s="141"/>
      <c r="S321" s="94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9"/>
      <c r="L322" s="140"/>
      <c r="N322" s="138"/>
      <c r="O322" s="141"/>
      <c r="S322" s="94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9"/>
      <c r="L323" s="140"/>
      <c r="N323" s="138"/>
      <c r="O323" s="141"/>
      <c r="S323" s="94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9"/>
      <c r="L324" s="140"/>
      <c r="N324" s="138"/>
      <c r="O324" s="141"/>
      <c r="S324" s="94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9"/>
      <c r="L325" s="140"/>
      <c r="N325" s="138"/>
      <c r="O325" s="141"/>
      <c r="S325" s="94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9"/>
      <c r="L326" s="140"/>
      <c r="N326" s="138"/>
      <c r="O326" s="141"/>
      <c r="S326" s="94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9"/>
      <c r="L327" s="140"/>
      <c r="N327" s="138"/>
      <c r="O327" s="141"/>
      <c r="S327" s="94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9"/>
      <c r="L328" s="140"/>
      <c r="N328" s="138"/>
      <c r="O328" s="141"/>
      <c r="S328" s="94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9"/>
      <c r="L329" s="140"/>
      <c r="N329" s="138"/>
      <c r="O329" s="141"/>
      <c r="S329" s="94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L330" s="140"/>
      <c r="N330" s="138"/>
      <c r="O330" s="141"/>
      <c r="S330" s="94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9"/>
      <c r="L331" s="140"/>
      <c r="N331" s="138"/>
      <c r="O331" s="141"/>
      <c r="S331" s="94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9"/>
      <c r="L332" s="140"/>
      <c r="N332" s="138"/>
      <c r="O332" s="141"/>
      <c r="S332" s="94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9"/>
      <c r="L333" s="140"/>
      <c r="N333" s="138"/>
      <c r="O333" s="141"/>
      <c r="S333" s="94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9"/>
      <c r="L334" s="140"/>
      <c r="N334" s="138"/>
      <c r="O334" s="141"/>
      <c r="S334" s="94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9"/>
      <c r="L335" s="140"/>
      <c r="N335" s="138"/>
      <c r="O335" s="141"/>
      <c r="S335" s="94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L336" s="140"/>
      <c r="N336" s="138"/>
      <c r="O336" s="141"/>
      <c r="S336" s="94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9"/>
      <c r="L337" s="140"/>
      <c r="N337" s="138"/>
      <c r="O337" s="141"/>
      <c r="S337" s="94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9"/>
      <c r="L338" s="140"/>
      <c r="N338" s="138"/>
      <c r="O338" s="141"/>
      <c r="S338" s="94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9"/>
      <c r="L339" s="140"/>
      <c r="N339" s="138"/>
      <c r="O339" s="141"/>
      <c r="S339" s="94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9"/>
      <c r="L340" s="140"/>
      <c r="N340" s="138"/>
      <c r="O340" s="141"/>
      <c r="S340" s="94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9"/>
      <c r="L341" s="140"/>
      <c r="N341" s="138"/>
      <c r="O341" s="141"/>
      <c r="S341" s="94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9"/>
      <c r="L342" s="140"/>
      <c r="N342" s="138"/>
      <c r="O342" s="141"/>
      <c r="S342" s="94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9"/>
      <c r="L343" s="140"/>
      <c r="N343" s="138"/>
      <c r="O343" s="141"/>
      <c r="S343" s="94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9"/>
      <c r="L344" s="140"/>
      <c r="N344" s="138"/>
      <c r="O344" s="141"/>
      <c r="S344" s="94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9"/>
      <c r="L345" s="140"/>
      <c r="N345" s="138"/>
      <c r="O345" s="141"/>
      <c r="S345" s="94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9"/>
      <c r="L346" s="140"/>
      <c r="N346" s="138"/>
      <c r="O346" s="141"/>
      <c r="S346" s="94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9"/>
      <c r="L347" s="140"/>
      <c r="N347" s="138"/>
      <c r="O347" s="141"/>
      <c r="S347" s="94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9"/>
      <c r="L348" s="140"/>
      <c r="N348" s="138"/>
      <c r="O348" s="141"/>
      <c r="S348" s="94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9"/>
      <c r="L349" s="140"/>
      <c r="N349" s="138"/>
      <c r="O349" s="141"/>
      <c r="S349" s="94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9"/>
      <c r="L350" s="140"/>
      <c r="N350" s="138"/>
      <c r="O350" s="141"/>
      <c r="S350" s="94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9"/>
      <c r="L351" s="140"/>
      <c r="N351" s="138"/>
      <c r="O351" s="141"/>
      <c r="S351" s="94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9"/>
      <c r="L352" s="140"/>
      <c r="N352" s="138"/>
      <c r="O352" s="141"/>
      <c r="S352" s="94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9"/>
      <c r="L353" s="140"/>
      <c r="N353" s="138"/>
      <c r="O353" s="141"/>
      <c r="S353" s="94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9"/>
      <c r="L354" s="140"/>
      <c r="N354" s="138"/>
      <c r="O354" s="141"/>
      <c r="S354" s="94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9"/>
      <c r="L355" s="140"/>
      <c r="N355" s="138"/>
      <c r="O355" s="141"/>
      <c r="S355" s="94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9"/>
      <c r="L356" s="140"/>
      <c r="N356" s="138"/>
      <c r="O356" s="141"/>
      <c r="S356" s="94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9"/>
      <c r="L357" s="140"/>
      <c r="N357" s="138"/>
      <c r="O357" s="141"/>
      <c r="S357" s="94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9"/>
      <c r="L358" s="140"/>
      <c r="N358" s="138"/>
      <c r="O358" s="141"/>
      <c r="S358" s="94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9"/>
      <c r="L359" s="140"/>
      <c r="N359" s="138"/>
      <c r="O359" s="141"/>
      <c r="S359" s="94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9"/>
      <c r="L360" s="140"/>
      <c r="N360" s="138"/>
      <c r="O360" s="141"/>
      <c r="S360" s="94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9"/>
      <c r="L361" s="140"/>
      <c r="N361" s="138"/>
      <c r="O361" s="141"/>
      <c r="S361" s="94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9"/>
      <c r="L362" s="140"/>
      <c r="N362" s="138"/>
      <c r="O362" s="141"/>
      <c r="S362" s="94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9"/>
      <c r="L363" s="140"/>
      <c r="N363" s="138"/>
      <c r="O363" s="141"/>
      <c r="S363" s="94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9"/>
      <c r="L364" s="140"/>
      <c r="N364" s="138"/>
      <c r="O364" s="141"/>
      <c r="S364" s="94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9"/>
      <c r="L365" s="140"/>
      <c r="N365" s="138"/>
      <c r="O365" s="141"/>
      <c r="S365" s="94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9"/>
      <c r="L366" s="140"/>
      <c r="N366" s="138"/>
      <c r="O366" s="141"/>
      <c r="S366" s="94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L367" s="140"/>
      <c r="N367" s="138"/>
      <c r="O367" s="141"/>
      <c r="S367" s="94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9"/>
      <c r="L368" s="140"/>
      <c r="N368" s="138"/>
      <c r="O368" s="141"/>
      <c r="S368" s="94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9"/>
      <c r="L369" s="140"/>
      <c r="N369" s="138"/>
      <c r="O369" s="141"/>
      <c r="S369" s="94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9"/>
      <c r="L370" s="140"/>
      <c r="N370" s="138"/>
      <c r="O370" s="141"/>
      <c r="S370" s="94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9"/>
      <c r="L371" s="140"/>
      <c r="N371" s="138"/>
      <c r="O371" s="141"/>
      <c r="S371" s="94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9"/>
      <c r="L372" s="140"/>
      <c r="N372" s="138"/>
      <c r="O372" s="141"/>
      <c r="S372" s="94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L373" s="140"/>
      <c r="N373" s="138"/>
      <c r="O373" s="141"/>
      <c r="S373" s="94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9"/>
      <c r="L374" s="140"/>
      <c r="N374" s="138"/>
      <c r="O374" s="141"/>
      <c r="S374" s="94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9"/>
      <c r="L375" s="140"/>
      <c r="N375" s="138"/>
      <c r="O375" s="141"/>
      <c r="S375" s="94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9"/>
      <c r="L376" s="140"/>
      <c r="N376" s="138"/>
      <c r="O376" s="141"/>
      <c r="S376" s="94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9"/>
      <c r="L377" s="140"/>
      <c r="N377" s="138"/>
      <c r="O377" s="141"/>
      <c r="S377" s="94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9"/>
      <c r="L378" s="140"/>
      <c r="N378" s="138"/>
      <c r="O378" s="141"/>
      <c r="S378" s="94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9"/>
      <c r="L379" s="140"/>
      <c r="N379" s="138"/>
      <c r="O379" s="141"/>
      <c r="S379" s="94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9"/>
      <c r="L380" s="140"/>
      <c r="N380" s="138"/>
      <c r="O380" s="141"/>
      <c r="S380" s="94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9"/>
      <c r="L381" s="140"/>
      <c r="N381" s="138"/>
      <c r="O381" s="141"/>
      <c r="S381" s="94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9"/>
      <c r="L382" s="140"/>
      <c r="N382" s="138"/>
      <c r="O382" s="141"/>
      <c r="S382" s="94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9"/>
      <c r="L383" s="140"/>
      <c r="N383" s="138"/>
      <c r="O383" s="141"/>
      <c r="S383" s="94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9"/>
      <c r="L384" s="140"/>
      <c r="N384" s="138"/>
      <c r="O384" s="141"/>
      <c r="S384" s="94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9"/>
      <c r="L385" s="140"/>
      <c r="N385" s="138"/>
      <c r="O385" s="141"/>
      <c r="S385" s="94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9"/>
      <c r="L386" s="140"/>
      <c r="N386" s="138"/>
      <c r="O386" s="141"/>
      <c r="S386" s="94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9"/>
      <c r="L387" s="140"/>
      <c r="N387" s="138"/>
      <c r="O387" s="141"/>
      <c r="S387" s="94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9"/>
      <c r="L388" s="140"/>
      <c r="N388" s="138"/>
      <c r="O388" s="141"/>
      <c r="S388" s="94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9"/>
      <c r="L389" s="140"/>
      <c r="N389" s="138"/>
      <c r="O389" s="141"/>
      <c r="S389" s="94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9"/>
      <c r="L390" s="140"/>
      <c r="N390" s="138"/>
      <c r="O390" s="141"/>
      <c r="S390" s="94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9"/>
      <c r="L391" s="140"/>
      <c r="N391" s="138"/>
      <c r="O391" s="141"/>
      <c r="S391" s="94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9"/>
      <c r="L392" s="140"/>
      <c r="N392" s="138"/>
      <c r="O392" s="141"/>
      <c r="S392" s="94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9"/>
      <c r="L393" s="140"/>
      <c r="N393" s="138"/>
      <c r="O393" s="141"/>
      <c r="S393" s="94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9"/>
      <c r="L394" s="140"/>
      <c r="N394" s="138"/>
      <c r="O394" s="141"/>
      <c r="S394" s="94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9"/>
      <c r="L395" s="140"/>
      <c r="N395" s="138"/>
      <c r="O395" s="141"/>
      <c r="S395" s="94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9"/>
      <c r="L396" s="140"/>
      <c r="N396" s="138"/>
      <c r="O396" s="141"/>
      <c r="S396" s="94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9"/>
      <c r="L397" s="140"/>
      <c r="N397" s="138"/>
      <c r="O397" s="141"/>
      <c r="S397" s="94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9"/>
      <c r="L398" s="140"/>
      <c r="N398" s="138"/>
      <c r="O398" s="141"/>
      <c r="S398" s="94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9"/>
      <c r="L399" s="140"/>
      <c r="N399" s="138"/>
      <c r="O399" s="141"/>
      <c r="S399" s="94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9"/>
      <c r="L400" s="140"/>
      <c r="N400" s="138"/>
      <c r="O400" s="141"/>
      <c r="S400" s="94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9"/>
      <c r="L401" s="140"/>
      <c r="N401" s="138"/>
      <c r="O401" s="141"/>
      <c r="S401" s="94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9"/>
      <c r="L402" s="140"/>
      <c r="N402" s="138"/>
      <c r="O402" s="141"/>
      <c r="S402" s="94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9"/>
      <c r="L403" s="140"/>
      <c r="N403" s="138"/>
      <c r="O403" s="141"/>
      <c r="S403" s="94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L404" s="140"/>
      <c r="N404" s="138"/>
      <c r="O404" s="141"/>
      <c r="S404" s="94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9"/>
      <c r="L405" s="140"/>
      <c r="N405" s="138"/>
      <c r="O405" s="141"/>
      <c r="S405" s="94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9"/>
      <c r="L406" s="140"/>
      <c r="N406" s="138"/>
      <c r="O406" s="141"/>
      <c r="S406" s="94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9"/>
      <c r="L407" s="140"/>
      <c r="N407" s="138"/>
      <c r="O407" s="141"/>
      <c r="S407" s="94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9"/>
      <c r="L408" s="140"/>
      <c r="N408" s="138"/>
      <c r="O408" s="141"/>
      <c r="S408" s="94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9"/>
      <c r="L409" s="140"/>
      <c r="N409" s="138"/>
      <c r="O409" s="141"/>
      <c r="S409" s="94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L410" s="140"/>
      <c r="N410" s="138"/>
      <c r="O410" s="141"/>
      <c r="S410" s="94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9"/>
      <c r="L411" s="140"/>
      <c r="N411" s="138"/>
      <c r="O411" s="141"/>
      <c r="S411" s="94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9"/>
      <c r="L412" s="140"/>
      <c r="N412" s="138"/>
      <c r="O412" s="141"/>
      <c r="S412" s="94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9"/>
      <c r="L413" s="140"/>
      <c r="N413" s="138"/>
      <c r="O413" s="141"/>
      <c r="S413" s="94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9"/>
      <c r="L414" s="140"/>
      <c r="N414" s="138"/>
      <c r="O414" s="141"/>
      <c r="S414" s="94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9"/>
      <c r="L415" s="140"/>
      <c r="N415" s="138"/>
      <c r="O415" s="141"/>
      <c r="S415" s="94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9"/>
      <c r="L416" s="140"/>
      <c r="N416" s="138"/>
      <c r="O416" s="141"/>
      <c r="S416" s="94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9"/>
      <c r="L417" s="140"/>
      <c r="N417" s="138"/>
      <c r="O417" s="141"/>
      <c r="S417" s="94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9"/>
      <c r="L418" s="140"/>
      <c r="N418" s="138"/>
      <c r="O418" s="141"/>
      <c r="S418" s="94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9"/>
      <c r="L419" s="140"/>
      <c r="N419" s="138"/>
      <c r="O419" s="141"/>
      <c r="S419" s="94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9"/>
      <c r="L420" s="140"/>
      <c r="N420" s="138"/>
      <c r="O420" s="141"/>
      <c r="S420" s="94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9"/>
      <c r="L421" s="140"/>
      <c r="N421" s="138"/>
      <c r="O421" s="141"/>
      <c r="S421" s="94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9"/>
      <c r="L422" s="140"/>
      <c r="N422" s="138"/>
      <c r="O422" s="141"/>
      <c r="S422" s="94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9"/>
      <c r="L423" s="140"/>
      <c r="N423" s="138"/>
      <c r="O423" s="141"/>
      <c r="S423" s="94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9"/>
      <c r="L424" s="140"/>
      <c r="N424" s="138"/>
      <c r="O424" s="141"/>
      <c r="S424" s="94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9"/>
      <c r="L425" s="140"/>
      <c r="N425" s="138"/>
      <c r="O425" s="141"/>
      <c r="S425" s="94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9"/>
      <c r="L426" s="140"/>
      <c r="N426" s="138"/>
      <c r="O426" s="141"/>
      <c r="S426" s="94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9"/>
      <c r="L427" s="140"/>
      <c r="N427" s="138"/>
      <c r="O427" s="141"/>
      <c r="S427" s="94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9"/>
      <c r="L428" s="140"/>
      <c r="N428" s="138"/>
      <c r="O428" s="141"/>
      <c r="S428" s="94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9"/>
      <c r="L429" s="140"/>
      <c r="N429" s="138"/>
      <c r="O429" s="141"/>
      <c r="S429" s="94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9"/>
      <c r="L430" s="140"/>
      <c r="N430" s="138"/>
      <c r="O430" s="141"/>
      <c r="S430" s="94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9"/>
      <c r="L431" s="140"/>
      <c r="N431" s="138"/>
      <c r="O431" s="141"/>
      <c r="S431" s="94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9"/>
      <c r="L432" s="140"/>
      <c r="N432" s="138"/>
      <c r="O432" s="141"/>
      <c r="S432" s="94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9"/>
      <c r="L433" s="140"/>
      <c r="N433" s="138"/>
      <c r="O433" s="141"/>
      <c r="S433" s="94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9"/>
      <c r="L434" s="140"/>
      <c r="N434" s="138"/>
      <c r="O434" s="141"/>
      <c r="S434" s="94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9"/>
      <c r="L435" s="140"/>
      <c r="N435" s="138"/>
      <c r="O435" s="141"/>
      <c r="S435" s="94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9"/>
      <c r="L436" s="140"/>
      <c r="N436" s="138"/>
      <c r="O436" s="141"/>
      <c r="S436" s="94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9"/>
      <c r="L437" s="140"/>
      <c r="N437" s="138"/>
      <c r="O437" s="141"/>
      <c r="S437" s="94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9"/>
      <c r="L438" s="140"/>
      <c r="N438" s="138"/>
      <c r="O438" s="141"/>
      <c r="S438" s="94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9"/>
      <c r="L439" s="140"/>
      <c r="N439" s="138"/>
      <c r="O439" s="141"/>
      <c r="S439" s="94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9"/>
      <c r="L440" s="140"/>
      <c r="N440" s="138"/>
      <c r="O440" s="141"/>
      <c r="S440" s="94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L441" s="140"/>
      <c r="N441" s="138"/>
      <c r="O441" s="141"/>
      <c r="S441" s="94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9"/>
      <c r="L442" s="140"/>
      <c r="N442" s="138"/>
      <c r="O442" s="141"/>
      <c r="S442" s="94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9"/>
      <c r="L443" s="140"/>
      <c r="N443" s="138"/>
      <c r="O443" s="141"/>
      <c r="S443" s="94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9"/>
      <c r="L444" s="140"/>
      <c r="N444" s="138"/>
      <c r="O444" s="141"/>
      <c r="S444" s="94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9"/>
      <c r="L445" s="140"/>
      <c r="N445" s="138"/>
      <c r="O445" s="141"/>
      <c r="S445" s="94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9"/>
      <c r="L446" s="140"/>
      <c r="N446" s="138"/>
      <c r="O446" s="141"/>
      <c r="S446" s="94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L447" s="140"/>
      <c r="N447" s="138"/>
      <c r="O447" s="141"/>
      <c r="S447" s="94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9"/>
      <c r="L448" s="140"/>
      <c r="N448" s="138"/>
      <c r="O448" s="141"/>
      <c r="S448" s="94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9"/>
      <c r="L449" s="140"/>
      <c r="N449" s="138"/>
      <c r="O449" s="141"/>
      <c r="S449" s="94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9"/>
      <c r="L450" s="140"/>
      <c r="N450" s="138"/>
      <c r="O450" s="141"/>
      <c r="S450" s="94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9"/>
      <c r="L451" s="140"/>
      <c r="N451" s="138"/>
      <c r="O451" s="141"/>
      <c r="S451" s="94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9"/>
      <c r="L452" s="140"/>
      <c r="N452" s="138"/>
      <c r="O452" s="141"/>
      <c r="S452" s="94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9"/>
      <c r="L453" s="140"/>
      <c r="N453" s="138"/>
      <c r="O453" s="141"/>
      <c r="S453" s="94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9"/>
      <c r="L454" s="140"/>
      <c r="N454" s="138"/>
      <c r="O454" s="141"/>
      <c r="S454" s="94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9"/>
      <c r="L455" s="140"/>
      <c r="N455" s="138"/>
      <c r="O455" s="141"/>
      <c r="S455" s="94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9"/>
      <c r="L456" s="140"/>
      <c r="N456" s="138"/>
      <c r="O456" s="141"/>
      <c r="S456" s="94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9"/>
      <c r="L457" s="140"/>
      <c r="N457" s="138"/>
      <c r="O457" s="141"/>
      <c r="S457" s="94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9"/>
      <c r="L458" s="140"/>
      <c r="N458" s="138"/>
      <c r="O458" s="141"/>
      <c r="S458" s="94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9"/>
      <c r="L459" s="140"/>
      <c r="N459" s="138"/>
      <c r="O459" s="141"/>
      <c r="S459" s="94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9"/>
      <c r="L460" s="140"/>
      <c r="N460" s="138"/>
      <c r="O460" s="141"/>
      <c r="S460" s="94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9"/>
      <c r="L461" s="140"/>
      <c r="N461" s="138"/>
      <c r="O461" s="141"/>
      <c r="S461" s="94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9"/>
      <c r="L462" s="140"/>
      <c r="N462" s="138"/>
      <c r="O462" s="141"/>
      <c r="S462" s="94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9"/>
      <c r="L463" s="140"/>
      <c r="N463" s="138"/>
      <c r="O463" s="141"/>
      <c r="S463" s="94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9"/>
      <c r="L464" s="140"/>
      <c r="N464" s="138"/>
      <c r="O464" s="141"/>
      <c r="S464" s="94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9"/>
      <c r="L465" s="140"/>
      <c r="N465" s="138"/>
      <c r="O465" s="141"/>
      <c r="S465" s="94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9"/>
      <c r="L466" s="140"/>
      <c r="N466" s="138"/>
      <c r="O466" s="141"/>
      <c r="S466" s="94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9"/>
      <c r="L467" s="140"/>
      <c r="N467" s="138"/>
      <c r="O467" s="141"/>
      <c r="S467" s="94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9"/>
      <c r="L468" s="140"/>
      <c r="N468" s="138"/>
      <c r="O468" s="141"/>
      <c r="S468" s="94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9"/>
      <c r="L469" s="140"/>
      <c r="N469" s="138"/>
      <c r="O469" s="141"/>
      <c r="S469" s="94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9"/>
      <c r="L470" s="140"/>
      <c r="N470" s="138"/>
      <c r="O470" s="141"/>
      <c r="S470" s="94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9"/>
      <c r="L471" s="140"/>
      <c r="N471" s="138"/>
      <c r="O471" s="141"/>
      <c r="S471" s="94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9"/>
      <c r="L472" s="140"/>
      <c r="N472" s="138"/>
      <c r="O472" s="141"/>
      <c r="S472" s="94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9"/>
      <c r="L473" s="140"/>
      <c r="N473" s="138"/>
      <c r="O473" s="141"/>
      <c r="S473" s="94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9"/>
      <c r="L474" s="140"/>
      <c r="N474" s="138"/>
      <c r="O474" s="141"/>
      <c r="S474" s="94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9"/>
      <c r="L475" s="140"/>
      <c r="N475" s="138"/>
      <c r="O475" s="141"/>
      <c r="S475" s="94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9"/>
      <c r="L476" s="140"/>
      <c r="N476" s="138"/>
      <c r="O476" s="141"/>
      <c r="S476" s="94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9"/>
      <c r="L477" s="140"/>
      <c r="N477" s="138"/>
      <c r="O477" s="141"/>
      <c r="S477" s="94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L478" s="140"/>
      <c r="N478" s="138"/>
      <c r="O478" s="141"/>
      <c r="S478" s="94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9"/>
      <c r="L479" s="140"/>
      <c r="N479" s="138"/>
      <c r="O479" s="141"/>
      <c r="S479" s="94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9"/>
      <c r="L480" s="140"/>
      <c r="N480" s="138"/>
      <c r="O480" s="141"/>
      <c r="S480" s="94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9"/>
      <c r="L481" s="140"/>
      <c r="N481" s="138"/>
      <c r="O481" s="141"/>
      <c r="S481" s="94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9"/>
      <c r="L482" s="140"/>
      <c r="N482" s="138"/>
      <c r="O482" s="141"/>
      <c r="S482" s="94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9"/>
      <c r="L483" s="140"/>
      <c r="N483" s="138"/>
      <c r="O483" s="141"/>
      <c r="S483" s="94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L484" s="140"/>
      <c r="N484" s="138"/>
      <c r="O484" s="141"/>
      <c r="S484" s="94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9"/>
      <c r="L485" s="140"/>
      <c r="N485" s="138"/>
      <c r="O485" s="141"/>
      <c r="S485" s="94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9"/>
      <c r="L486" s="140"/>
      <c r="N486" s="138"/>
      <c r="O486" s="141"/>
      <c r="S486" s="94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9"/>
      <c r="L487" s="140"/>
      <c r="N487" s="138"/>
      <c r="O487" s="141"/>
      <c r="S487" s="94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9"/>
      <c r="L488" s="140"/>
      <c r="N488" s="138"/>
      <c r="O488" s="141"/>
      <c r="S488" s="94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9"/>
      <c r="L489" s="140"/>
      <c r="N489" s="138"/>
      <c r="O489" s="141"/>
      <c r="S489" s="94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9"/>
      <c r="L490" s="140"/>
      <c r="N490" s="138"/>
      <c r="O490" s="141"/>
      <c r="S490" s="94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9"/>
      <c r="L491" s="140"/>
      <c r="N491" s="138"/>
      <c r="O491" s="141"/>
      <c r="S491" s="94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9"/>
      <c r="L492" s="140"/>
      <c r="N492" s="138"/>
      <c r="O492" s="141"/>
      <c r="S492" s="94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9"/>
      <c r="L493" s="140"/>
      <c r="N493" s="138"/>
      <c r="O493" s="141"/>
      <c r="S493" s="94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9"/>
      <c r="L494" s="140"/>
      <c r="N494" s="138"/>
      <c r="O494" s="141"/>
      <c r="S494" s="94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9"/>
      <c r="L495" s="140"/>
      <c r="N495" s="138"/>
      <c r="O495" s="141"/>
      <c r="S495" s="94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9"/>
      <c r="L496" s="140"/>
      <c r="N496" s="138"/>
      <c r="O496" s="141"/>
      <c r="S496" s="94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9"/>
      <c r="L497" s="140"/>
      <c r="N497" s="138"/>
      <c r="O497" s="141"/>
      <c r="S497" s="94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9"/>
      <c r="L498" s="140"/>
      <c r="N498" s="138"/>
      <c r="O498" s="141"/>
      <c r="S498" s="94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9"/>
      <c r="L499" s="140"/>
      <c r="N499" s="138"/>
      <c r="O499" s="141"/>
      <c r="S499" s="94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9"/>
      <c r="L500" s="140"/>
      <c r="N500" s="138"/>
      <c r="O500" s="141"/>
      <c r="S500" s="94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9"/>
      <c r="L501" s="140"/>
      <c r="N501" s="138"/>
      <c r="O501" s="141"/>
      <c r="S501" s="94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9"/>
      <c r="L502" s="140"/>
      <c r="N502" s="138"/>
      <c r="O502" s="141"/>
      <c r="S502" s="94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9"/>
      <c r="L503" s="140"/>
      <c r="N503" s="138"/>
      <c r="O503" s="141"/>
      <c r="S503" s="94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9"/>
      <c r="L504" s="140"/>
      <c r="N504" s="138"/>
      <c r="O504" s="141"/>
      <c r="S504" s="94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9"/>
      <c r="L505" s="140"/>
      <c r="N505" s="138"/>
      <c r="O505" s="141"/>
      <c r="S505" s="94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9"/>
      <c r="L506" s="140"/>
      <c r="N506" s="138"/>
      <c r="O506" s="141"/>
      <c r="S506" s="94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9"/>
      <c r="L507" s="140"/>
      <c r="N507" s="138"/>
      <c r="O507" s="141"/>
      <c r="S507" s="94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9"/>
      <c r="L508" s="140"/>
      <c r="N508" s="138"/>
      <c r="O508" s="141"/>
      <c r="S508" s="94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9"/>
      <c r="L509" s="140"/>
      <c r="N509" s="138"/>
      <c r="O509" s="141"/>
      <c r="S509" s="94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9"/>
      <c r="L510" s="140"/>
      <c r="N510" s="138"/>
      <c r="O510" s="141"/>
      <c r="S510" s="94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9"/>
      <c r="L511" s="140"/>
      <c r="N511" s="138"/>
      <c r="O511" s="141"/>
      <c r="S511" s="94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9"/>
      <c r="L512" s="140"/>
      <c r="N512" s="138"/>
      <c r="O512" s="141"/>
      <c r="S512" s="94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9"/>
      <c r="L513" s="140"/>
      <c r="N513" s="138"/>
      <c r="O513" s="141"/>
      <c r="S513" s="94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9"/>
      <c r="L514" s="140"/>
      <c r="N514" s="138"/>
      <c r="O514" s="141"/>
      <c r="S514" s="94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L515" s="140"/>
      <c r="N515" s="138"/>
      <c r="O515" s="141"/>
      <c r="S515" s="94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9"/>
      <c r="L516" s="140"/>
      <c r="N516" s="138"/>
      <c r="O516" s="141"/>
      <c r="S516" s="94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9"/>
      <c r="L517" s="140"/>
      <c r="N517" s="138"/>
      <c r="O517" s="141"/>
      <c r="S517" s="94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9"/>
      <c r="L518" s="140"/>
      <c r="N518" s="138"/>
      <c r="O518" s="141"/>
      <c r="S518" s="94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9"/>
      <c r="L519" s="140"/>
      <c r="N519" s="138"/>
      <c r="O519" s="141"/>
      <c r="S519" s="94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9"/>
      <c r="L520" s="140"/>
      <c r="N520" s="138"/>
      <c r="O520" s="141"/>
      <c r="S520" s="94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L521" s="140"/>
      <c r="N521" s="138"/>
      <c r="O521" s="141"/>
      <c r="S521" s="94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9"/>
      <c r="L522" s="140"/>
      <c r="N522" s="138"/>
      <c r="O522" s="141"/>
      <c r="S522" s="94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9"/>
      <c r="L523" s="140"/>
      <c r="N523" s="138"/>
      <c r="O523" s="141"/>
      <c r="S523" s="94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9"/>
      <c r="L524" s="140"/>
      <c r="N524" s="138"/>
      <c r="O524" s="141"/>
      <c r="S524" s="94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9"/>
      <c r="L525" s="140"/>
      <c r="N525" s="138"/>
      <c r="O525" s="141"/>
      <c r="S525" s="94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9"/>
      <c r="L526" s="140"/>
      <c r="N526" s="138"/>
      <c r="O526" s="141"/>
      <c r="S526" s="94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9"/>
      <c r="L527" s="140"/>
      <c r="N527" s="138"/>
      <c r="O527" s="141"/>
      <c r="S527" s="94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9"/>
      <c r="L528" s="140"/>
      <c r="N528" s="138"/>
      <c r="O528" s="141"/>
      <c r="S528" s="94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9"/>
      <c r="L529" s="140"/>
      <c r="N529" s="138"/>
      <c r="O529" s="141"/>
      <c r="S529" s="94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9"/>
      <c r="L530" s="140"/>
      <c r="N530" s="138"/>
      <c r="O530" s="141"/>
      <c r="S530" s="94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9"/>
      <c r="L531" s="140"/>
      <c r="N531" s="138"/>
      <c r="O531" s="141"/>
      <c r="S531" s="94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9"/>
      <c r="L532" s="140"/>
      <c r="N532" s="138"/>
      <c r="O532" s="141"/>
      <c r="S532" s="94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9"/>
      <c r="L533" s="140"/>
      <c r="N533" s="138"/>
      <c r="O533" s="141"/>
      <c r="S533" s="94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9"/>
      <c r="L534" s="140"/>
      <c r="N534" s="138"/>
      <c r="O534" s="141"/>
      <c r="S534" s="94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9"/>
      <c r="L535" s="140"/>
      <c r="N535" s="138"/>
      <c r="O535" s="141"/>
      <c r="S535" s="94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9"/>
      <c r="L536" s="140"/>
      <c r="N536" s="138"/>
      <c r="O536" s="141"/>
      <c r="S536" s="94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9"/>
      <c r="L537" s="140"/>
      <c r="N537" s="138"/>
      <c r="O537" s="141"/>
      <c r="S537" s="94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9"/>
      <c r="L538" s="140"/>
      <c r="N538" s="138"/>
      <c r="O538" s="141"/>
      <c r="S538" s="94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9"/>
      <c r="L539" s="140"/>
      <c r="N539" s="138"/>
      <c r="O539" s="141"/>
      <c r="S539" s="94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9"/>
      <c r="L540" s="140"/>
      <c r="N540" s="138"/>
      <c r="O540" s="141"/>
      <c r="S540" s="94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9"/>
      <c r="L541" s="140"/>
      <c r="N541" s="138"/>
      <c r="O541" s="141"/>
      <c r="S541" s="94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9"/>
      <c r="L542" s="140"/>
      <c r="N542" s="138"/>
      <c r="O542" s="141"/>
      <c r="S542" s="94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9"/>
      <c r="L543" s="140"/>
      <c r="N543" s="138"/>
      <c r="O543" s="141"/>
      <c r="S543" s="94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9"/>
      <c r="L544" s="140"/>
      <c r="N544" s="138"/>
      <c r="O544" s="141"/>
      <c r="S544" s="94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9"/>
      <c r="L545" s="140"/>
      <c r="N545" s="138"/>
      <c r="O545" s="141"/>
      <c r="S545" s="94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9"/>
      <c r="L546" s="140"/>
      <c r="N546" s="138"/>
      <c r="O546" s="141"/>
      <c r="S546" s="94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9"/>
      <c r="L547" s="140"/>
      <c r="N547" s="138"/>
      <c r="O547" s="141"/>
      <c r="S547" s="94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9"/>
      <c r="L548" s="140"/>
      <c r="N548" s="138"/>
      <c r="O548" s="141"/>
      <c r="S548" s="94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9"/>
      <c r="L549" s="140"/>
      <c r="N549" s="138"/>
      <c r="O549" s="141"/>
      <c r="S549" s="94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9"/>
      <c r="L550" s="140"/>
      <c r="N550" s="138"/>
      <c r="O550" s="141"/>
      <c r="S550" s="94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9"/>
      <c r="L551" s="140"/>
      <c r="N551" s="138"/>
      <c r="O551" s="141"/>
      <c r="S551" s="94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L552" s="140"/>
      <c r="N552" s="138"/>
      <c r="O552" s="141"/>
      <c r="S552" s="94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9"/>
      <c r="L553" s="140"/>
      <c r="N553" s="138"/>
      <c r="O553" s="141"/>
      <c r="S553" s="94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9"/>
      <c r="L554" s="140"/>
      <c r="N554" s="138"/>
      <c r="O554" s="141"/>
      <c r="S554" s="94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9"/>
      <c r="L555" s="140"/>
      <c r="N555" s="138"/>
      <c r="O555" s="141"/>
      <c r="S555" s="94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9"/>
      <c r="L556" s="140"/>
      <c r="N556" s="138"/>
      <c r="O556" s="141"/>
      <c r="S556" s="94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9"/>
      <c r="L557" s="140"/>
      <c r="N557" s="138"/>
      <c r="O557" s="141"/>
      <c r="S557" s="94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L558" s="140"/>
      <c r="N558" s="138"/>
      <c r="O558" s="141"/>
      <c r="S558" s="94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9"/>
      <c r="L559" s="140"/>
      <c r="N559" s="138"/>
      <c r="O559" s="141"/>
      <c r="S559" s="94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9"/>
      <c r="L560" s="140"/>
      <c r="N560" s="138"/>
      <c r="O560" s="141"/>
      <c r="S560" s="94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9"/>
      <c r="L561" s="140"/>
      <c r="N561" s="138"/>
      <c r="O561" s="141"/>
      <c r="S561" s="94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9"/>
      <c r="L562" s="140"/>
      <c r="N562" s="138"/>
      <c r="O562" s="141"/>
      <c r="S562" s="94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9"/>
      <c r="L563" s="140"/>
      <c r="N563" s="138"/>
      <c r="O563" s="141"/>
      <c r="S563" s="94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9"/>
      <c r="L564" s="140"/>
      <c r="N564" s="138"/>
      <c r="O564" s="141"/>
      <c r="S564" s="94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9"/>
      <c r="L565" s="140"/>
      <c r="N565" s="138"/>
      <c r="O565" s="141"/>
      <c r="S565" s="94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9"/>
      <c r="L566" s="140"/>
      <c r="N566" s="138"/>
      <c r="O566" s="141"/>
      <c r="S566" s="94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9"/>
      <c r="L567" s="140"/>
      <c r="N567" s="138"/>
      <c r="O567" s="141"/>
      <c r="S567" s="94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9"/>
      <c r="L568" s="140"/>
      <c r="N568" s="138"/>
      <c r="O568" s="141"/>
      <c r="S568" s="94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9"/>
      <c r="L569" s="140"/>
      <c r="N569" s="138"/>
      <c r="O569" s="141"/>
      <c r="S569" s="94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9"/>
      <c r="L570" s="140"/>
      <c r="N570" s="138"/>
      <c r="O570" s="141"/>
      <c r="S570" s="94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9"/>
      <c r="L571" s="140"/>
      <c r="N571" s="138"/>
      <c r="O571" s="141"/>
      <c r="S571" s="94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9"/>
      <c r="L572" s="140"/>
      <c r="N572" s="138"/>
      <c r="O572" s="141"/>
      <c r="S572" s="94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9"/>
      <c r="L573" s="140"/>
      <c r="N573" s="138"/>
      <c r="O573" s="141"/>
      <c r="S573" s="94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9"/>
      <c r="L574" s="140"/>
      <c r="N574" s="138"/>
      <c r="O574" s="141"/>
      <c r="S574" s="94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9"/>
      <c r="L575" s="140"/>
      <c r="N575" s="138"/>
      <c r="O575" s="141"/>
      <c r="S575" s="94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9"/>
      <c r="L576" s="140"/>
      <c r="N576" s="138"/>
      <c r="O576" s="141"/>
      <c r="S576" s="94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9"/>
      <c r="L577" s="140"/>
      <c r="N577" s="138"/>
      <c r="O577" s="141"/>
      <c r="S577" s="94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9"/>
      <c r="L578" s="140"/>
      <c r="N578" s="138"/>
      <c r="O578" s="141"/>
      <c r="S578" s="94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9"/>
      <c r="L579" s="140"/>
      <c r="N579" s="138"/>
      <c r="O579" s="141"/>
      <c r="S579" s="94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9"/>
      <c r="L580" s="140"/>
      <c r="N580" s="138"/>
      <c r="O580" s="141"/>
      <c r="S580" s="94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9"/>
      <c r="L581" s="140"/>
      <c r="N581" s="138"/>
      <c r="O581" s="141"/>
      <c r="S581" s="94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9"/>
      <c r="L582" s="140"/>
      <c r="N582" s="138"/>
      <c r="O582" s="141"/>
      <c r="S582" s="94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9"/>
      <c r="L583" s="140"/>
      <c r="N583" s="138"/>
      <c r="O583" s="141"/>
      <c r="S583" s="94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9"/>
      <c r="L584" s="140"/>
      <c r="N584" s="138"/>
      <c r="O584" s="141"/>
      <c r="S584" s="94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9"/>
      <c r="L585" s="140"/>
      <c r="N585" s="138"/>
      <c r="O585" s="141"/>
      <c r="S585" s="94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9"/>
      <c r="L586" s="140"/>
      <c r="N586" s="138"/>
      <c r="O586" s="141"/>
      <c r="S586" s="94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9"/>
      <c r="L587" s="140"/>
      <c r="N587" s="138"/>
      <c r="O587" s="141"/>
      <c r="S587" s="94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9"/>
      <c r="L588" s="140"/>
      <c r="N588" s="138"/>
      <c r="O588" s="141"/>
      <c r="S588" s="94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L589" s="140"/>
      <c r="N589" s="138"/>
      <c r="O589" s="141"/>
      <c r="S589" s="94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9"/>
      <c r="L590" s="140"/>
      <c r="N590" s="138"/>
      <c r="O590" s="141"/>
      <c r="S590" s="94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9"/>
      <c r="L591" s="140"/>
      <c r="N591" s="138"/>
      <c r="O591" s="141"/>
      <c r="S591" s="94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9"/>
      <c r="L592" s="140"/>
      <c r="N592" s="138"/>
      <c r="O592" s="141"/>
      <c r="S592" s="94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9"/>
      <c r="L593" s="140"/>
      <c r="N593" s="138"/>
      <c r="O593" s="141"/>
      <c r="S593" s="94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9"/>
      <c r="L594" s="140"/>
      <c r="N594" s="138"/>
      <c r="O594" s="141"/>
      <c r="S594" s="94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L595" s="140"/>
      <c r="N595" s="138"/>
      <c r="O595" s="141"/>
      <c r="S595" s="94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9"/>
      <c r="L596" s="140"/>
      <c r="N596" s="138"/>
      <c r="O596" s="141"/>
      <c r="S596" s="94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9"/>
      <c r="L597" s="140"/>
      <c r="N597" s="138"/>
      <c r="O597" s="141"/>
      <c r="S597" s="94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9"/>
      <c r="L598" s="140"/>
      <c r="N598" s="138"/>
      <c r="O598" s="141"/>
      <c r="S598" s="94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9"/>
      <c r="L599" s="140"/>
      <c r="N599" s="138"/>
      <c r="O599" s="141"/>
      <c r="S599" s="94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9"/>
      <c r="L600" s="140"/>
      <c r="N600" s="138"/>
      <c r="O600" s="141"/>
      <c r="S600" s="94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9"/>
      <c r="L601" s="140"/>
      <c r="N601" s="138"/>
      <c r="O601" s="141"/>
      <c r="S601" s="94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9"/>
      <c r="L602" s="140"/>
      <c r="N602" s="138"/>
      <c r="O602" s="141"/>
      <c r="S602" s="94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9"/>
      <c r="L603" s="140"/>
      <c r="N603" s="138"/>
      <c r="O603" s="141"/>
      <c r="S603" s="94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9"/>
      <c r="L604" s="140"/>
      <c r="N604" s="138"/>
      <c r="O604" s="141"/>
      <c r="S604" s="94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9"/>
      <c r="L605" s="140"/>
      <c r="N605" s="138"/>
      <c r="O605" s="141"/>
      <c r="S605" s="94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9"/>
      <c r="L606" s="140"/>
      <c r="N606" s="138"/>
      <c r="O606" s="141"/>
      <c r="S606" s="94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9"/>
      <c r="L607" s="140"/>
      <c r="N607" s="138"/>
      <c r="O607" s="141"/>
      <c r="S607" s="94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9"/>
      <c r="L608" s="140"/>
      <c r="N608" s="138"/>
      <c r="O608" s="141"/>
      <c r="S608" s="94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9"/>
      <c r="L609" s="140"/>
      <c r="N609" s="138"/>
      <c r="O609" s="141"/>
      <c r="S609" s="94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9"/>
      <c r="L610" s="140"/>
      <c r="N610" s="138"/>
      <c r="O610" s="141"/>
      <c r="S610" s="94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9"/>
      <c r="L611" s="140"/>
      <c r="N611" s="138"/>
      <c r="O611" s="141"/>
      <c r="S611" s="94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9"/>
      <c r="L612" s="140"/>
      <c r="N612" s="138"/>
      <c r="O612" s="141"/>
      <c r="S612" s="94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9"/>
      <c r="L613" s="140"/>
      <c r="N613" s="138"/>
      <c r="O613" s="141"/>
      <c r="S613" s="94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9"/>
      <c r="L614" s="140"/>
      <c r="N614" s="138"/>
      <c r="O614" s="141"/>
      <c r="S614" s="94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9"/>
      <c r="L615" s="140"/>
      <c r="N615" s="138"/>
      <c r="O615" s="141"/>
      <c r="S615" s="94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9"/>
      <c r="L616" s="140"/>
      <c r="N616" s="138"/>
      <c r="O616" s="141"/>
      <c r="S616" s="94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9"/>
      <c r="L617" s="140"/>
      <c r="N617" s="138"/>
      <c r="O617" s="141"/>
      <c r="S617" s="94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9"/>
      <c r="L618" s="140"/>
      <c r="N618" s="138"/>
      <c r="O618" s="141"/>
      <c r="S618" s="94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9"/>
      <c r="L619" s="140"/>
      <c r="N619" s="138"/>
      <c r="O619" s="141"/>
      <c r="S619" s="94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9"/>
      <c r="L620" s="140"/>
      <c r="N620" s="138"/>
      <c r="O620" s="141"/>
      <c r="S620" s="94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9"/>
      <c r="L621" s="140"/>
      <c r="N621" s="138"/>
      <c r="O621" s="141"/>
      <c r="S621" s="94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9"/>
      <c r="L622" s="140"/>
      <c r="N622" s="138"/>
      <c r="O622" s="141"/>
      <c r="S622" s="94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9"/>
      <c r="L623" s="140"/>
      <c r="N623" s="138"/>
      <c r="O623" s="141"/>
      <c r="S623" s="94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9"/>
      <c r="L624" s="140"/>
      <c r="N624" s="138"/>
      <c r="O624" s="141"/>
      <c r="S624" s="94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9"/>
      <c r="L625" s="140"/>
      <c r="N625" s="138"/>
      <c r="O625" s="141"/>
      <c r="S625" s="94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L626" s="140"/>
      <c r="N626" s="138"/>
      <c r="O626" s="141"/>
      <c r="S626" s="94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9"/>
      <c r="L627" s="140"/>
      <c r="N627" s="138"/>
      <c r="O627" s="141"/>
      <c r="S627" s="94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9"/>
      <c r="L628" s="140"/>
      <c r="N628" s="138"/>
      <c r="O628" s="141"/>
      <c r="S628" s="94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9"/>
      <c r="L629" s="140"/>
      <c r="N629" s="138"/>
      <c r="O629" s="141"/>
      <c r="S629" s="94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9"/>
      <c r="L630" s="140"/>
      <c r="N630" s="138"/>
      <c r="O630" s="141"/>
      <c r="S630" s="94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9"/>
      <c r="L631" s="140"/>
      <c r="N631" s="138"/>
      <c r="O631" s="141"/>
      <c r="S631" s="94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L632" s="140"/>
      <c r="N632" s="138"/>
      <c r="O632" s="141"/>
      <c r="S632" s="94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9"/>
      <c r="L633" s="140"/>
      <c r="N633" s="138"/>
      <c r="O633" s="141"/>
      <c r="S633" s="94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9"/>
      <c r="L634" s="140"/>
      <c r="N634" s="138"/>
      <c r="O634" s="141"/>
      <c r="S634" s="94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9"/>
      <c r="L635" s="140"/>
      <c r="N635" s="138"/>
      <c r="O635" s="141"/>
      <c r="S635" s="94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9"/>
      <c r="L636" s="140"/>
      <c r="N636" s="138"/>
      <c r="O636" s="141"/>
      <c r="S636" s="94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9"/>
      <c r="L637" s="140"/>
      <c r="N637" s="138"/>
      <c r="O637" s="141"/>
      <c r="S637" s="94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9"/>
      <c r="L638" s="140"/>
      <c r="N638" s="138"/>
      <c r="O638" s="141"/>
      <c r="S638" s="94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9"/>
      <c r="L639" s="140"/>
      <c r="N639" s="138"/>
      <c r="O639" s="141"/>
      <c r="S639" s="94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9"/>
      <c r="L640" s="140"/>
      <c r="N640" s="138"/>
      <c r="O640" s="141"/>
      <c r="S640" s="94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9"/>
      <c r="L641" s="140"/>
      <c r="N641" s="138"/>
      <c r="O641" s="141"/>
      <c r="S641" s="94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9"/>
      <c r="L642" s="140"/>
      <c r="N642" s="138"/>
      <c r="O642" s="141"/>
      <c r="S642" s="94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9"/>
      <c r="L643" s="140"/>
      <c r="N643" s="138"/>
      <c r="O643" s="141"/>
      <c r="S643" s="94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9"/>
      <c r="L644" s="140"/>
      <c r="N644" s="138"/>
      <c r="O644" s="141"/>
      <c r="S644" s="94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9"/>
      <c r="L645" s="140"/>
      <c r="N645" s="138"/>
      <c r="O645" s="141"/>
      <c r="S645" s="94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9"/>
      <c r="L646" s="140"/>
      <c r="N646" s="138"/>
      <c r="O646" s="141"/>
      <c r="S646" s="94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9"/>
      <c r="L647" s="140"/>
      <c r="N647" s="138"/>
      <c r="O647" s="141"/>
      <c r="S647" s="94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9"/>
      <c r="L648" s="140"/>
      <c r="N648" s="138"/>
      <c r="O648" s="141"/>
      <c r="S648" s="94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9"/>
      <c r="L649" s="140"/>
      <c r="N649" s="138"/>
      <c r="O649" s="141"/>
      <c r="S649" s="94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9"/>
      <c r="L650" s="140"/>
      <c r="N650" s="138"/>
      <c r="O650" s="141"/>
      <c r="S650" s="94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9"/>
      <c r="L651" s="140"/>
      <c r="N651" s="138"/>
      <c r="O651" s="141"/>
      <c r="S651" s="94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9"/>
      <c r="L652" s="140"/>
      <c r="N652" s="138"/>
      <c r="O652" s="141"/>
      <c r="S652" s="94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9"/>
      <c r="L653" s="140"/>
      <c r="N653" s="138"/>
      <c r="O653" s="141"/>
      <c r="S653" s="94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9"/>
      <c r="L654" s="140"/>
      <c r="N654" s="138"/>
      <c r="O654" s="141"/>
      <c r="S654" s="94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9"/>
      <c r="L655" s="140"/>
      <c r="N655" s="138"/>
      <c r="O655" s="141"/>
      <c r="S655" s="94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9"/>
      <c r="L656" s="140"/>
      <c r="N656" s="138"/>
      <c r="O656" s="141"/>
      <c r="S656" s="94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9"/>
      <c r="L657" s="140"/>
      <c r="N657" s="138"/>
      <c r="O657" s="141"/>
      <c r="S657" s="94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9"/>
      <c r="L658" s="140"/>
      <c r="N658" s="138"/>
      <c r="O658" s="141"/>
      <c r="S658" s="94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9"/>
      <c r="L659" s="140"/>
      <c r="N659" s="138"/>
      <c r="O659" s="141"/>
      <c r="S659" s="94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9"/>
      <c r="L660" s="140"/>
      <c r="N660" s="138"/>
      <c r="O660" s="141"/>
      <c r="S660" s="94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9"/>
      <c r="L661" s="140"/>
      <c r="N661" s="138"/>
      <c r="O661" s="141"/>
      <c r="S661" s="94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9"/>
      <c r="L662" s="140"/>
      <c r="N662" s="138"/>
      <c r="O662" s="141"/>
      <c r="S662" s="94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L663" s="140"/>
      <c r="N663" s="138"/>
      <c r="O663" s="141"/>
      <c r="S663" s="94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9"/>
      <c r="L664" s="140"/>
      <c r="N664" s="138"/>
      <c r="O664" s="141"/>
      <c r="S664" s="94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9"/>
      <c r="L665" s="140"/>
      <c r="N665" s="138"/>
      <c r="O665" s="141"/>
      <c r="S665" s="94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9"/>
      <c r="L666" s="140"/>
      <c r="N666" s="138"/>
      <c r="O666" s="141"/>
      <c r="S666" s="94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9"/>
      <c r="L667" s="140"/>
      <c r="N667" s="138"/>
      <c r="O667" s="141"/>
      <c r="S667" s="94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9"/>
      <c r="L668" s="140"/>
      <c r="N668" s="138"/>
      <c r="O668" s="141"/>
      <c r="S668" s="94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L669" s="140"/>
      <c r="N669" s="138"/>
      <c r="O669" s="141"/>
      <c r="S669" s="94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9"/>
      <c r="L670" s="140"/>
      <c r="N670" s="138"/>
      <c r="O670" s="141"/>
      <c r="S670" s="94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9"/>
      <c r="L671" s="140"/>
      <c r="N671" s="138"/>
      <c r="O671" s="141"/>
      <c r="S671" s="94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9"/>
      <c r="L672" s="140"/>
      <c r="N672" s="138"/>
      <c r="O672" s="141"/>
      <c r="S672" s="94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9"/>
      <c r="L673" s="140"/>
      <c r="N673" s="138"/>
      <c r="O673" s="141"/>
      <c r="S673" s="94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9"/>
      <c r="L674" s="140"/>
      <c r="N674" s="138"/>
      <c r="O674" s="141"/>
      <c r="S674" s="94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9"/>
      <c r="L675" s="140"/>
      <c r="N675" s="138"/>
      <c r="O675" s="141"/>
      <c r="S675" s="94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9"/>
      <c r="L676" s="140"/>
      <c r="N676" s="138"/>
      <c r="O676" s="141"/>
      <c r="S676" s="94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9"/>
      <c r="L677" s="140"/>
      <c r="N677" s="138"/>
      <c r="O677" s="141"/>
      <c r="S677" s="94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9"/>
      <c r="L678" s="140"/>
      <c r="N678" s="138"/>
      <c r="O678" s="141"/>
      <c r="S678" s="94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9"/>
      <c r="L679" s="140"/>
      <c r="N679" s="138"/>
      <c r="O679" s="141"/>
      <c r="S679" s="94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9"/>
      <c r="L680" s="140"/>
      <c r="N680" s="138"/>
      <c r="O680" s="141"/>
      <c r="S680" s="94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9"/>
      <c r="L681" s="140"/>
      <c r="N681" s="138"/>
      <c r="O681" s="141"/>
      <c r="S681" s="94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9"/>
      <c r="L682" s="140"/>
      <c r="N682" s="138"/>
      <c r="O682" s="141"/>
      <c r="S682" s="94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9"/>
      <c r="L683" s="140"/>
      <c r="N683" s="138"/>
      <c r="O683" s="141"/>
      <c r="S683" s="94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9"/>
      <c r="L684" s="140"/>
      <c r="N684" s="138"/>
      <c r="O684" s="141"/>
      <c r="S684" s="94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9"/>
      <c r="L685" s="140"/>
      <c r="N685" s="138"/>
      <c r="O685" s="141"/>
      <c r="S685" s="94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9"/>
      <c r="L686" s="140"/>
      <c r="N686" s="138"/>
      <c r="O686" s="141"/>
      <c r="S686" s="94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9"/>
      <c r="L687" s="140"/>
      <c r="N687" s="138"/>
      <c r="O687" s="141"/>
      <c r="S687" s="94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9"/>
      <c r="L688" s="140"/>
      <c r="N688" s="138"/>
      <c r="O688" s="141"/>
      <c r="S688" s="94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9"/>
      <c r="L689" s="140"/>
      <c r="N689" s="138"/>
      <c r="O689" s="141"/>
      <c r="S689" s="94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9"/>
      <c r="L690" s="140"/>
      <c r="N690" s="138"/>
      <c r="O690" s="141"/>
      <c r="S690" s="94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9"/>
      <c r="L691" s="140"/>
      <c r="N691" s="138"/>
      <c r="O691" s="141"/>
      <c r="S691" s="94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9"/>
      <c r="L692" s="140"/>
      <c r="N692" s="138"/>
      <c r="O692" s="141"/>
      <c r="S692" s="94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9"/>
      <c r="L693" s="140"/>
      <c r="N693" s="138"/>
      <c r="O693" s="141"/>
      <c r="S693" s="94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9"/>
      <c r="L694" s="140"/>
      <c r="N694" s="138"/>
      <c r="O694" s="141"/>
      <c r="S694" s="94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9"/>
      <c r="L695" s="140"/>
      <c r="N695" s="138"/>
      <c r="O695" s="141"/>
      <c r="S695" s="94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9"/>
      <c r="L696" s="140"/>
      <c r="N696" s="138"/>
      <c r="O696" s="141"/>
      <c r="S696" s="94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9"/>
      <c r="L697" s="140"/>
      <c r="N697" s="138"/>
      <c r="O697" s="141"/>
      <c r="S697" s="94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9"/>
      <c r="L698" s="140"/>
      <c r="N698" s="138"/>
      <c r="O698" s="141"/>
      <c r="S698" s="94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9"/>
      <c r="L699" s="140"/>
      <c r="N699" s="138"/>
      <c r="O699" s="141"/>
      <c r="S699" s="94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L700" s="140"/>
      <c r="N700" s="138"/>
      <c r="O700" s="141"/>
      <c r="S700" s="94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9"/>
      <c r="L701" s="140"/>
      <c r="N701" s="138"/>
      <c r="O701" s="141"/>
      <c r="S701" s="94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9"/>
      <c r="L702" s="140"/>
      <c r="N702" s="138"/>
      <c r="O702" s="141"/>
      <c r="S702" s="94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9"/>
      <c r="L703" s="140"/>
      <c r="N703" s="138"/>
      <c r="O703" s="141"/>
      <c r="S703" s="94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9"/>
      <c r="L704" s="140"/>
      <c r="N704" s="138"/>
      <c r="O704" s="141"/>
      <c r="S704" s="94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9"/>
      <c r="L705" s="140"/>
      <c r="N705" s="138"/>
      <c r="O705" s="141"/>
      <c r="S705" s="94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L706" s="140"/>
      <c r="N706" s="138"/>
      <c r="O706" s="141"/>
      <c r="S706" s="94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9"/>
      <c r="L707" s="140"/>
      <c r="N707" s="138"/>
      <c r="O707" s="141"/>
      <c r="S707" s="94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9"/>
      <c r="L708" s="140"/>
      <c r="N708" s="138"/>
      <c r="O708" s="141"/>
      <c r="S708" s="94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9"/>
      <c r="L709" s="140"/>
      <c r="N709" s="138"/>
      <c r="O709" s="141"/>
      <c r="S709" s="94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9"/>
      <c r="L710" s="140"/>
      <c r="N710" s="138"/>
      <c r="O710" s="141"/>
      <c r="S710" s="94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9"/>
      <c r="L711" s="140"/>
      <c r="N711" s="138"/>
      <c r="O711" s="141"/>
      <c r="S711" s="94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9"/>
      <c r="L712" s="140"/>
      <c r="N712" s="138"/>
      <c r="O712" s="141"/>
      <c r="S712" s="94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9"/>
      <c r="L713" s="140"/>
      <c r="N713" s="138"/>
      <c r="O713" s="141"/>
      <c r="S713" s="94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9"/>
      <c r="L714" s="140"/>
      <c r="N714" s="138"/>
      <c r="O714" s="141"/>
      <c r="S714" s="94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9"/>
      <c r="L715" s="140"/>
      <c r="N715" s="138"/>
      <c r="O715" s="141"/>
      <c r="S715" s="94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9"/>
      <c r="L716" s="140"/>
      <c r="N716" s="138"/>
      <c r="O716" s="141"/>
      <c r="S716" s="94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9"/>
      <c r="L717" s="140"/>
      <c r="N717" s="138"/>
      <c r="O717" s="141"/>
      <c r="S717" s="94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9"/>
      <c r="L718" s="140"/>
      <c r="N718" s="138"/>
      <c r="O718" s="141"/>
      <c r="S718" s="94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9"/>
      <c r="L719" s="140"/>
      <c r="N719" s="138"/>
      <c r="O719" s="141"/>
      <c r="S719" s="94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9"/>
      <c r="L720" s="140"/>
      <c r="N720" s="138"/>
      <c r="O720" s="141"/>
      <c r="S720" s="94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9"/>
      <c r="L721" s="140"/>
      <c r="N721" s="138"/>
      <c r="O721" s="141"/>
      <c r="S721" s="94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9"/>
      <c r="L722" s="140"/>
      <c r="N722" s="138"/>
      <c r="O722" s="141"/>
      <c r="S722" s="94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9"/>
      <c r="L723" s="140"/>
      <c r="N723" s="138"/>
      <c r="O723" s="141"/>
      <c r="S723" s="94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9"/>
      <c r="L724" s="140"/>
      <c r="N724" s="138"/>
      <c r="O724" s="141"/>
      <c r="S724" s="94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9"/>
      <c r="L725" s="140"/>
      <c r="N725" s="138"/>
      <c r="O725" s="141"/>
      <c r="S725" s="94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9"/>
      <c r="L726" s="140"/>
      <c r="N726" s="138"/>
      <c r="O726" s="141"/>
      <c r="S726" s="94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9"/>
      <c r="L727" s="140"/>
      <c r="N727" s="138"/>
      <c r="O727" s="141"/>
      <c r="S727" s="94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9"/>
      <c r="L728" s="140"/>
      <c r="N728" s="138"/>
      <c r="O728" s="141"/>
      <c r="S728" s="94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9"/>
      <c r="L729" s="140"/>
      <c r="N729" s="138"/>
      <c r="O729" s="141"/>
      <c r="S729" s="94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9"/>
      <c r="L730" s="140"/>
      <c r="N730" s="138"/>
      <c r="O730" s="141"/>
      <c r="S730" s="94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9"/>
      <c r="L731" s="140"/>
      <c r="N731" s="138"/>
      <c r="O731" s="141"/>
      <c r="S731" s="94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9"/>
      <c r="L732" s="140"/>
      <c r="N732" s="138"/>
      <c r="O732" s="141"/>
      <c r="S732" s="94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9"/>
      <c r="L733" s="140"/>
      <c r="N733" s="138"/>
      <c r="O733" s="141"/>
      <c r="S733" s="94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9"/>
      <c r="L734" s="140"/>
      <c r="N734" s="138"/>
      <c r="O734" s="141"/>
      <c r="S734" s="94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9"/>
      <c r="L735" s="140"/>
      <c r="N735" s="138"/>
      <c r="O735" s="141"/>
      <c r="S735" s="94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9"/>
      <c r="L736" s="140"/>
      <c r="N736" s="138"/>
      <c r="O736" s="141"/>
      <c r="S736" s="94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L737" s="140"/>
      <c r="N737" s="138"/>
      <c r="O737" s="141"/>
      <c r="S737" s="94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9"/>
      <c r="L738" s="140"/>
      <c r="N738" s="138"/>
      <c r="O738" s="141"/>
      <c r="S738" s="94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9"/>
      <c r="L739" s="140"/>
      <c r="N739" s="138"/>
      <c r="O739" s="141"/>
      <c r="S739" s="94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9"/>
      <c r="L740" s="140"/>
      <c r="N740" s="138"/>
      <c r="O740" s="141"/>
      <c r="S740" s="94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9"/>
      <c r="L741" s="140"/>
      <c r="N741" s="138"/>
      <c r="O741" s="141"/>
      <c r="S741" s="94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9"/>
      <c r="L742" s="140"/>
      <c r="N742" s="138"/>
      <c r="O742" s="141"/>
      <c r="S742" s="94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L743" s="140"/>
      <c r="N743" s="138"/>
      <c r="O743" s="141"/>
      <c r="S743" s="94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9"/>
      <c r="L744" s="140"/>
      <c r="N744" s="138"/>
      <c r="O744" s="141"/>
      <c r="S744" s="94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9"/>
      <c r="L745" s="140"/>
      <c r="N745" s="138"/>
      <c r="O745" s="141"/>
      <c r="S745" s="94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9"/>
      <c r="L746" s="140"/>
      <c r="N746" s="138"/>
      <c r="O746" s="141"/>
      <c r="S746" s="94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9"/>
      <c r="L747" s="140"/>
      <c r="N747" s="138"/>
      <c r="O747" s="141"/>
      <c r="S747" s="94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9"/>
      <c r="L748" s="140"/>
      <c r="N748" s="138"/>
      <c r="O748" s="141"/>
      <c r="S748" s="94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9"/>
      <c r="L749" s="140"/>
      <c r="N749" s="138"/>
      <c r="O749" s="141"/>
      <c r="S749" s="94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9"/>
      <c r="L750" s="140"/>
      <c r="N750" s="138"/>
      <c r="O750" s="141"/>
      <c r="S750" s="94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9"/>
      <c r="L751" s="140"/>
      <c r="N751" s="138"/>
      <c r="O751" s="141"/>
      <c r="S751" s="94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9"/>
      <c r="L752" s="140"/>
      <c r="N752" s="138"/>
      <c r="O752" s="141"/>
      <c r="S752" s="94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9"/>
      <c r="L753" s="140"/>
      <c r="N753" s="138"/>
      <c r="O753" s="141"/>
      <c r="S753" s="94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9"/>
      <c r="L754" s="140"/>
      <c r="N754" s="138"/>
      <c r="O754" s="141"/>
      <c r="S754" s="94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9"/>
      <c r="L755" s="140"/>
      <c r="N755" s="138"/>
      <c r="O755" s="141"/>
      <c r="S755" s="94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9"/>
      <c r="L756" s="140"/>
      <c r="N756" s="138"/>
      <c r="O756" s="141"/>
      <c r="S756" s="94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9"/>
      <c r="L757" s="140"/>
      <c r="N757" s="138"/>
      <c r="O757" s="141"/>
      <c r="S757" s="94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9"/>
      <c r="L758" s="140"/>
      <c r="N758" s="138"/>
      <c r="O758" s="141"/>
      <c r="S758" s="94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9"/>
      <c r="L759" s="140"/>
      <c r="N759" s="138"/>
      <c r="O759" s="141"/>
      <c r="S759" s="94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9"/>
      <c r="L760" s="140"/>
      <c r="N760" s="138"/>
      <c r="O760" s="141"/>
      <c r="S760" s="94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9"/>
      <c r="L761" s="140"/>
      <c r="N761" s="138"/>
      <c r="O761" s="141"/>
      <c r="S761" s="94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9"/>
      <c r="L762" s="140"/>
      <c r="N762" s="138"/>
      <c r="O762" s="141"/>
      <c r="S762" s="94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9"/>
      <c r="L763" s="140"/>
      <c r="N763" s="138"/>
      <c r="O763" s="141"/>
      <c r="S763" s="94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9"/>
      <c r="L764" s="140"/>
      <c r="N764" s="138"/>
      <c r="O764" s="141"/>
      <c r="S764" s="94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9"/>
      <c r="L765" s="140"/>
      <c r="N765" s="138"/>
      <c r="O765" s="141"/>
      <c r="S765" s="94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9"/>
      <c r="L766" s="140"/>
      <c r="N766" s="138"/>
      <c r="O766" s="141"/>
      <c r="S766" s="94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9"/>
      <c r="L767" s="140"/>
      <c r="N767" s="138"/>
      <c r="O767" s="141"/>
      <c r="S767" s="94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9"/>
      <c r="L768" s="140"/>
      <c r="N768" s="138"/>
      <c r="O768" s="141"/>
      <c r="S768" s="94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9"/>
      <c r="L769" s="140"/>
      <c r="N769" s="138"/>
      <c r="O769" s="141"/>
      <c r="S769" s="94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9"/>
      <c r="L770" s="140"/>
      <c r="N770" s="138"/>
      <c r="O770" s="141"/>
      <c r="S770" s="94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9"/>
      <c r="L771" s="140"/>
      <c r="N771" s="138"/>
      <c r="O771" s="141"/>
      <c r="S771" s="94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9"/>
      <c r="L772" s="140"/>
      <c r="N772" s="138"/>
      <c r="O772" s="141"/>
      <c r="S772" s="94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9"/>
      <c r="L773" s="140"/>
      <c r="N773" s="138"/>
      <c r="O773" s="141"/>
      <c r="S773" s="94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L774" s="140"/>
      <c r="N774" s="138"/>
      <c r="O774" s="141"/>
      <c r="S774" s="94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9"/>
      <c r="L775" s="140"/>
      <c r="N775" s="138"/>
      <c r="O775" s="141"/>
      <c r="S775" s="94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9"/>
      <c r="L776" s="140"/>
      <c r="N776" s="138"/>
      <c r="O776" s="141"/>
      <c r="S776" s="94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9"/>
      <c r="L777" s="140"/>
      <c r="N777" s="138"/>
      <c r="O777" s="141"/>
      <c r="S777" s="94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9"/>
      <c r="L778" s="140"/>
      <c r="N778" s="138"/>
      <c r="O778" s="141"/>
      <c r="S778" s="94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9"/>
      <c r="L779" s="140"/>
      <c r="N779" s="138"/>
      <c r="O779" s="141"/>
      <c r="S779" s="94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L780" s="140"/>
      <c r="N780" s="138"/>
      <c r="O780" s="141"/>
      <c r="S780" s="94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9"/>
      <c r="L781" s="140"/>
      <c r="N781" s="138"/>
      <c r="O781" s="141"/>
      <c r="S781" s="94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9"/>
      <c r="L782" s="140"/>
      <c r="N782" s="138"/>
      <c r="O782" s="141"/>
      <c r="S782" s="94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9"/>
      <c r="L783" s="140"/>
      <c r="N783" s="138"/>
      <c r="O783" s="141"/>
      <c r="S783" s="94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9"/>
      <c r="L784" s="140"/>
      <c r="N784" s="138"/>
      <c r="O784" s="141"/>
      <c r="S784" s="94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9"/>
      <c r="L785" s="140"/>
      <c r="N785" s="138"/>
      <c r="O785" s="141"/>
      <c r="S785" s="94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9"/>
      <c r="L786" s="140"/>
      <c r="N786" s="138"/>
      <c r="O786" s="141"/>
      <c r="S786" s="94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9"/>
      <c r="L787" s="140"/>
      <c r="N787" s="138"/>
      <c r="O787" s="141"/>
      <c r="S787" s="94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9"/>
      <c r="L788" s="140"/>
      <c r="N788" s="138"/>
      <c r="O788" s="141"/>
      <c r="S788" s="94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9"/>
      <c r="L789" s="140"/>
      <c r="N789" s="138"/>
      <c r="O789" s="141"/>
      <c r="S789" s="94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9"/>
      <c r="L790" s="140"/>
      <c r="N790" s="138"/>
      <c r="O790" s="141"/>
      <c r="S790" s="94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9"/>
      <c r="L791" s="140"/>
      <c r="N791" s="138"/>
      <c r="O791" s="141"/>
      <c r="S791" s="94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9"/>
      <c r="L792" s="140"/>
      <c r="N792" s="138"/>
      <c r="O792" s="141"/>
      <c r="S792" s="94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9"/>
      <c r="L793" s="140"/>
      <c r="N793" s="138"/>
      <c r="O793" s="141"/>
      <c r="S793" s="94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9"/>
      <c r="L794" s="140"/>
      <c r="N794" s="138"/>
      <c r="O794" s="141"/>
      <c r="S794" s="94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9"/>
      <c r="L795" s="140"/>
      <c r="N795" s="138"/>
      <c r="O795" s="141"/>
      <c r="S795" s="94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9"/>
      <c r="L796" s="140"/>
      <c r="N796" s="138"/>
      <c r="O796" s="141"/>
      <c r="S796" s="94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9"/>
      <c r="L797" s="140"/>
      <c r="N797" s="138"/>
      <c r="O797" s="141"/>
      <c r="S797" s="94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9"/>
      <c r="L798" s="140"/>
      <c r="N798" s="138"/>
      <c r="O798" s="141"/>
      <c r="S798" s="94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9"/>
      <c r="L799" s="140"/>
      <c r="N799" s="138"/>
      <c r="O799" s="141"/>
      <c r="S799" s="94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9"/>
      <c r="L800" s="140"/>
      <c r="N800" s="138"/>
      <c r="O800" s="141"/>
      <c r="S800" s="94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9"/>
      <c r="L801" s="140"/>
      <c r="N801" s="138"/>
      <c r="O801" s="141"/>
      <c r="S801" s="94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9"/>
      <c r="L802" s="140"/>
      <c r="N802" s="138"/>
      <c r="O802" s="141"/>
      <c r="S802" s="94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9"/>
      <c r="L803" s="140"/>
      <c r="N803" s="138"/>
      <c r="O803" s="141"/>
      <c r="S803" s="94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9"/>
      <c r="L804" s="140"/>
      <c r="N804" s="138"/>
      <c r="O804" s="141"/>
      <c r="S804" s="94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9"/>
      <c r="L805" s="140"/>
      <c r="N805" s="138"/>
      <c r="O805" s="141"/>
      <c r="S805" s="94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9"/>
      <c r="L806" s="140"/>
      <c r="N806" s="138"/>
      <c r="O806" s="141"/>
      <c r="S806" s="94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9"/>
      <c r="L807" s="140"/>
      <c r="N807" s="138"/>
      <c r="O807" s="141"/>
      <c r="S807" s="94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9"/>
      <c r="L808" s="140"/>
      <c r="N808" s="138"/>
      <c r="O808" s="141"/>
      <c r="S808" s="94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9"/>
      <c r="L809" s="140"/>
      <c r="N809" s="138"/>
      <c r="O809" s="141"/>
      <c r="S809" s="94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9"/>
      <c r="L810" s="140"/>
      <c r="N810" s="138"/>
      <c r="O810" s="141"/>
      <c r="S810" s="94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L811" s="140"/>
      <c r="N811" s="138"/>
      <c r="O811" s="141"/>
      <c r="S811" s="94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9"/>
      <c r="L812" s="140"/>
      <c r="N812" s="138"/>
      <c r="O812" s="141"/>
      <c r="S812" s="94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9"/>
      <c r="L813" s="140"/>
      <c r="N813" s="138"/>
      <c r="O813" s="141"/>
      <c r="S813" s="94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9"/>
      <c r="L814" s="140"/>
      <c r="N814" s="138"/>
      <c r="O814" s="141"/>
      <c r="S814" s="94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9"/>
      <c r="L815" s="140"/>
      <c r="N815" s="138"/>
      <c r="O815" s="141"/>
      <c r="S815" s="94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9"/>
      <c r="L816" s="140"/>
      <c r="N816" s="138"/>
      <c r="O816" s="141"/>
      <c r="S816" s="94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L817" s="140"/>
      <c r="N817" s="138"/>
      <c r="O817" s="141"/>
      <c r="S817" s="94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9"/>
      <c r="L818" s="140"/>
      <c r="N818" s="138"/>
      <c r="O818" s="141"/>
      <c r="S818" s="94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9"/>
      <c r="L819" s="140"/>
      <c r="N819" s="138"/>
      <c r="O819" s="141"/>
      <c r="S819" s="94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9"/>
      <c r="L820" s="140"/>
      <c r="N820" s="138"/>
      <c r="O820" s="141"/>
      <c r="S820" s="94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9"/>
      <c r="L821" s="140"/>
      <c r="N821" s="138"/>
      <c r="O821" s="141"/>
      <c r="S821" s="94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9"/>
      <c r="L822" s="140"/>
      <c r="N822" s="138"/>
      <c r="O822" s="141"/>
      <c r="S822" s="94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9"/>
      <c r="L823" s="140"/>
      <c r="N823" s="138"/>
      <c r="O823" s="141"/>
      <c r="S823" s="94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9"/>
      <c r="L824" s="140"/>
      <c r="N824" s="138"/>
      <c r="O824" s="141"/>
      <c r="S824" s="94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9"/>
      <c r="L825" s="140"/>
      <c r="N825" s="138"/>
      <c r="O825" s="141"/>
      <c r="S825" s="94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9"/>
      <c r="L826" s="140"/>
      <c r="N826" s="138"/>
      <c r="O826" s="141"/>
      <c r="S826" s="94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9"/>
      <c r="L827" s="140"/>
      <c r="N827" s="138"/>
      <c r="O827" s="141"/>
      <c r="S827" s="94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9"/>
      <c r="L828" s="140"/>
      <c r="N828" s="138"/>
      <c r="O828" s="141"/>
      <c r="S828" s="94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9"/>
      <c r="L829" s="140"/>
      <c r="N829" s="138"/>
      <c r="O829" s="141"/>
      <c r="S829" s="94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9"/>
      <c r="L830" s="140"/>
      <c r="N830" s="138"/>
      <c r="O830" s="141"/>
      <c r="S830" s="94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9"/>
      <c r="L831" s="140"/>
      <c r="N831" s="138"/>
      <c r="O831" s="141"/>
      <c r="S831" s="94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9"/>
      <c r="L832" s="140"/>
      <c r="N832" s="138"/>
      <c r="O832" s="141"/>
      <c r="S832" s="94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9"/>
      <c r="L833" s="140"/>
      <c r="N833" s="138"/>
      <c r="O833" s="141"/>
      <c r="S833" s="94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9"/>
      <c r="L834" s="140"/>
      <c r="N834" s="138"/>
      <c r="O834" s="141"/>
      <c r="S834" s="94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9"/>
      <c r="L835" s="140"/>
      <c r="N835" s="138"/>
      <c r="O835" s="141"/>
      <c r="S835" s="94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9"/>
      <c r="L836" s="140"/>
      <c r="N836" s="138"/>
      <c r="O836" s="141"/>
      <c r="S836" s="94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9"/>
      <c r="L837" s="140"/>
      <c r="N837" s="138"/>
      <c r="O837" s="141"/>
      <c r="S837" s="94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9"/>
      <c r="L838" s="140"/>
      <c r="N838" s="138"/>
      <c r="O838" s="141"/>
      <c r="S838" s="94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9"/>
      <c r="L839" s="140"/>
      <c r="N839" s="138"/>
      <c r="O839" s="141"/>
      <c r="S839" s="94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9"/>
      <c r="L840" s="140"/>
      <c r="N840" s="138"/>
      <c r="O840" s="141"/>
      <c r="S840" s="94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9"/>
      <c r="L841" s="140"/>
      <c r="N841" s="138"/>
      <c r="O841" s="141"/>
      <c r="S841" s="94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9"/>
      <c r="L842" s="140"/>
      <c r="N842" s="138"/>
      <c r="O842" s="141"/>
      <c r="S842" s="94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9"/>
      <c r="L843" s="140"/>
      <c r="N843" s="138"/>
      <c r="O843" s="141"/>
      <c r="S843" s="94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9"/>
      <c r="L844" s="140"/>
      <c r="N844" s="138"/>
      <c r="O844" s="141"/>
      <c r="S844" s="94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9"/>
      <c r="L845" s="140"/>
      <c r="N845" s="138"/>
      <c r="O845" s="141"/>
      <c r="S845" s="94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9"/>
      <c r="L846" s="140"/>
      <c r="N846" s="138"/>
      <c r="O846" s="141"/>
      <c r="S846" s="94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9"/>
      <c r="L847" s="140"/>
      <c r="N847" s="138"/>
      <c r="O847" s="141"/>
      <c r="S847" s="94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9"/>
      <c r="L848" s="140"/>
      <c r="N848" s="138"/>
      <c r="O848" s="141"/>
      <c r="S848" s="94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9"/>
      <c r="L849" s="140"/>
      <c r="N849" s="138"/>
      <c r="O849" s="141"/>
      <c r="S849" s="94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9"/>
      <c r="L850" s="140"/>
      <c r="N850" s="138"/>
      <c r="O850" s="141"/>
      <c r="S850" s="94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9"/>
      <c r="L851" s="140"/>
      <c r="N851" s="138"/>
      <c r="O851" s="141"/>
      <c r="S851" s="94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9"/>
      <c r="L852" s="140"/>
      <c r="N852" s="138"/>
      <c r="O852" s="141"/>
      <c r="S852" s="94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9"/>
      <c r="L853" s="140"/>
      <c r="N853" s="138"/>
      <c r="O853" s="141"/>
      <c r="S853" s="94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9"/>
      <c r="L854" s="140"/>
      <c r="N854" s="138"/>
      <c r="O854" s="141"/>
      <c r="S854" s="94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9"/>
      <c r="L855" s="140"/>
      <c r="N855" s="138"/>
      <c r="O855" s="141"/>
      <c r="S855" s="94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9"/>
      <c r="L856" s="140"/>
      <c r="N856" s="138"/>
      <c r="O856" s="141"/>
      <c r="S856" s="94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9"/>
      <c r="L857" s="140"/>
      <c r="N857" s="138"/>
      <c r="O857" s="141"/>
      <c r="S857" s="94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9"/>
      <c r="L858" s="140"/>
      <c r="N858" s="138"/>
      <c r="O858" s="141"/>
      <c r="S858" s="94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9"/>
      <c r="L859" s="140"/>
      <c r="N859" s="138"/>
      <c r="O859" s="141"/>
      <c r="S859" s="94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9"/>
      <c r="L860" s="140"/>
      <c r="N860" s="138"/>
      <c r="O860" s="141"/>
      <c r="S860" s="94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9"/>
      <c r="L861" s="140"/>
      <c r="N861" s="138"/>
      <c r="O861" s="141"/>
      <c r="S861" s="94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9"/>
      <c r="L862" s="140"/>
      <c r="N862" s="138"/>
      <c r="O862" s="141"/>
      <c r="S862" s="94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9"/>
      <c r="L863" s="140"/>
      <c r="N863" s="138"/>
      <c r="O863" s="141"/>
      <c r="S863" s="94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9"/>
      <c r="L864" s="140"/>
      <c r="N864" s="138"/>
      <c r="O864" s="141"/>
      <c r="S864" s="94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9"/>
      <c r="L865" s="140"/>
      <c r="N865" s="138"/>
      <c r="O865" s="141"/>
      <c r="S865" s="94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9"/>
      <c r="L866" s="140"/>
      <c r="N866" s="138"/>
      <c r="O866" s="141"/>
      <c r="S866" s="94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9"/>
      <c r="L867" s="140"/>
      <c r="N867" s="138"/>
      <c r="O867" s="141"/>
      <c r="S867" s="94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9"/>
      <c r="L868" s="140"/>
      <c r="N868" s="138"/>
      <c r="O868" s="141"/>
      <c r="S868" s="94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9"/>
      <c r="L869" s="140"/>
      <c r="N869" s="138"/>
      <c r="O869" s="141"/>
      <c r="S869" s="94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9"/>
      <c r="L870" s="140"/>
      <c r="N870" s="138"/>
      <c r="O870" s="141"/>
      <c r="S870" s="94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9"/>
      <c r="L871" s="140"/>
      <c r="N871" s="138"/>
      <c r="O871" s="141"/>
      <c r="S871" s="94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9"/>
      <c r="L872" s="140"/>
      <c r="N872" s="138"/>
      <c r="O872" s="141"/>
      <c r="S872" s="94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9"/>
      <c r="L873" s="140"/>
      <c r="N873" s="138"/>
      <c r="O873" s="141"/>
      <c r="S873" s="94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9"/>
      <c r="L874" s="140"/>
      <c r="N874" s="138"/>
      <c r="O874" s="141"/>
      <c r="S874" s="94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9"/>
      <c r="L875" s="140"/>
      <c r="N875" s="138"/>
      <c r="O875" s="141"/>
      <c r="S875" s="94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9"/>
      <c r="L876" s="140"/>
      <c r="N876" s="138"/>
      <c r="O876" s="141"/>
      <c r="S876" s="94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9"/>
      <c r="L877" s="140"/>
      <c r="N877" s="138"/>
      <c r="O877" s="141"/>
      <c r="S877" s="94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9"/>
      <c r="L878" s="140"/>
      <c r="N878" s="138"/>
      <c r="O878" s="141"/>
      <c r="S878" s="94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9"/>
      <c r="L879" s="140"/>
      <c r="N879" s="138"/>
      <c r="O879" s="141"/>
      <c r="S879" s="94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9"/>
      <c r="L880" s="140"/>
      <c r="N880" s="138"/>
      <c r="O880" s="141"/>
      <c r="S880" s="94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9"/>
      <c r="L881" s="140"/>
      <c r="N881" s="138"/>
      <c r="O881" s="141"/>
      <c r="S881" s="94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9"/>
      <c r="L882" s="140"/>
      <c r="N882" s="138"/>
      <c r="O882" s="141"/>
      <c r="S882" s="94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9"/>
      <c r="L883" s="140"/>
      <c r="N883" s="138"/>
      <c r="O883" s="141"/>
      <c r="S883" s="94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9"/>
      <c r="L884" s="140"/>
      <c r="N884" s="138"/>
      <c r="O884" s="141"/>
      <c r="S884" s="94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9"/>
      <c r="L885" s="140"/>
      <c r="N885" s="138"/>
      <c r="O885" s="141"/>
      <c r="S885" s="94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9"/>
      <c r="L886" s="140"/>
      <c r="N886" s="138"/>
      <c r="O886" s="141"/>
      <c r="S886" s="94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9"/>
      <c r="L887" s="140"/>
      <c r="N887" s="138"/>
      <c r="O887" s="141"/>
      <c r="S887" s="94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9"/>
      <c r="L888" s="140"/>
      <c r="N888" s="138"/>
      <c r="O888" s="141"/>
      <c r="S888" s="94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9"/>
      <c r="L889" s="140"/>
      <c r="N889" s="138"/>
      <c r="O889" s="141"/>
      <c r="S889" s="94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9"/>
      <c r="L890" s="140"/>
      <c r="N890" s="138"/>
      <c r="O890" s="141"/>
      <c r="S890" s="94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9"/>
      <c r="L891" s="140"/>
      <c r="N891" s="138"/>
      <c r="O891" s="141"/>
      <c r="S891" s="94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9"/>
      <c r="L892" s="140"/>
      <c r="N892" s="138"/>
      <c r="O892" s="141"/>
      <c r="S892" s="94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9"/>
      <c r="L893" s="140"/>
      <c r="N893" s="138"/>
      <c r="O893" s="141"/>
      <c r="S893" s="94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9"/>
      <c r="L894" s="140"/>
      <c r="N894" s="138"/>
      <c r="O894" s="141"/>
      <c r="S894" s="94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9"/>
      <c r="L895" s="140"/>
      <c r="N895" s="138"/>
      <c r="O895" s="141"/>
      <c r="S895" s="94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9"/>
      <c r="L896" s="140"/>
      <c r="N896" s="138"/>
      <c r="O896" s="141"/>
      <c r="S896" s="94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9"/>
      <c r="L897" s="140"/>
      <c r="N897" s="138"/>
      <c r="O897" s="141"/>
      <c r="S897" s="94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9"/>
      <c r="L898" s="140"/>
      <c r="N898" s="138"/>
      <c r="O898" s="141"/>
      <c r="S898" s="94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9"/>
      <c r="L899" s="140"/>
      <c r="N899" s="138"/>
      <c r="O899" s="141"/>
      <c r="S899" s="94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9"/>
      <c r="L900" s="140"/>
      <c r="N900" s="138"/>
      <c r="O900" s="141"/>
      <c r="S900" s="94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9"/>
      <c r="L901" s="140"/>
      <c r="N901" s="138"/>
      <c r="O901" s="141"/>
      <c r="S901" s="94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9"/>
      <c r="L902" s="140"/>
      <c r="N902" s="138"/>
      <c r="O902" s="141"/>
      <c r="S902" s="94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9"/>
      <c r="L903" s="140"/>
      <c r="N903" s="138"/>
      <c r="O903" s="141"/>
      <c r="S903" s="94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9"/>
      <c r="L904" s="140"/>
      <c r="N904" s="138"/>
      <c r="O904" s="141"/>
      <c r="S904" s="94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9"/>
      <c r="L905" s="140"/>
      <c r="N905" s="138"/>
      <c r="O905" s="141"/>
      <c r="S905" s="94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9"/>
      <c r="L906" s="140"/>
      <c r="N906" s="138"/>
      <c r="O906" s="141"/>
      <c r="S906" s="94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9"/>
      <c r="L907" s="140"/>
      <c r="N907" s="138"/>
      <c r="O907" s="141"/>
      <c r="S907" s="94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9"/>
      <c r="L908" s="140"/>
      <c r="N908" s="138"/>
      <c r="O908" s="141"/>
      <c r="S908" s="94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9"/>
      <c r="L909" s="140"/>
      <c r="N909" s="138"/>
      <c r="O909" s="141"/>
      <c r="S909" s="94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9"/>
      <c r="L910" s="140"/>
      <c r="N910" s="138"/>
      <c r="O910" s="141"/>
      <c r="S910" s="94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9"/>
      <c r="L911" s="140"/>
      <c r="N911" s="138"/>
      <c r="O911" s="141"/>
      <c r="S911" s="94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9"/>
      <c r="L912" s="140"/>
      <c r="N912" s="138"/>
      <c r="O912" s="141"/>
      <c r="S912" s="94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9"/>
      <c r="L913" s="140"/>
      <c r="N913" s="138"/>
      <c r="O913" s="141"/>
      <c r="S913" s="94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9"/>
      <c r="L914" s="140"/>
      <c r="N914" s="138"/>
      <c r="O914" s="141"/>
      <c r="S914" s="94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9"/>
      <c r="L915" s="140"/>
      <c r="N915" s="138"/>
      <c r="O915" s="141"/>
      <c r="S915" s="94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9"/>
      <c r="L916" s="140"/>
      <c r="N916" s="138"/>
      <c r="O916" s="141"/>
      <c r="S916" s="94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9"/>
      <c r="L917" s="140"/>
      <c r="N917" s="138"/>
      <c r="O917" s="141"/>
      <c r="S917" s="94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9"/>
      <c r="L918" s="140"/>
      <c r="N918" s="138"/>
      <c r="O918" s="141"/>
      <c r="S918" s="94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9"/>
      <c r="L919" s="140"/>
      <c r="N919" s="138"/>
      <c r="O919" s="141"/>
      <c r="S919" s="94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9"/>
      <c r="L920" s="140"/>
      <c r="N920" s="138"/>
      <c r="O920" s="141"/>
      <c r="S920" s="94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9"/>
      <c r="L921" s="140"/>
      <c r="N921" s="138"/>
      <c r="O921" s="141"/>
      <c r="S921" s="94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9"/>
      <c r="L922" s="140"/>
      <c r="N922" s="138"/>
      <c r="O922" s="141"/>
      <c r="S922" s="94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9"/>
      <c r="L923" s="140"/>
      <c r="N923" s="138"/>
      <c r="O923" s="141"/>
      <c r="S923" s="94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9"/>
      <c r="L924" s="140"/>
      <c r="N924" s="138"/>
      <c r="O924" s="141"/>
      <c r="S924" s="94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9"/>
      <c r="L925" s="140"/>
      <c r="N925" s="138"/>
      <c r="O925" s="141"/>
      <c r="S925" s="94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9"/>
      <c r="L926" s="140"/>
      <c r="N926" s="138"/>
      <c r="O926" s="141"/>
      <c r="S926" s="94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9"/>
      <c r="L927" s="140"/>
      <c r="N927" s="138"/>
      <c r="O927" s="141"/>
      <c r="S927" s="94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9"/>
      <c r="L928" s="140"/>
      <c r="N928" s="138"/>
      <c r="O928" s="141"/>
      <c r="S928" s="94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9"/>
      <c r="L929" s="140"/>
      <c r="N929" s="138"/>
      <c r="O929" s="141"/>
      <c r="S929" s="94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9"/>
      <c r="L930" s="140"/>
      <c r="N930" s="138"/>
      <c r="O930" s="141"/>
      <c r="S930" s="94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9"/>
      <c r="L931" s="140"/>
      <c r="N931" s="138"/>
      <c r="O931" s="141"/>
      <c r="S931" s="94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9"/>
      <c r="L932" s="140"/>
      <c r="N932" s="138"/>
      <c r="O932" s="141"/>
      <c r="S932" s="94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9"/>
      <c r="L933" s="140"/>
      <c r="N933" s="138"/>
      <c r="O933" s="141"/>
      <c r="S933" s="94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9"/>
      <c r="L934" s="140"/>
      <c r="N934" s="138"/>
      <c r="O934" s="141"/>
      <c r="S934" s="94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9"/>
      <c r="L935" s="140"/>
      <c r="N935" s="138"/>
      <c r="O935" s="141"/>
      <c r="S935" s="94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9"/>
      <c r="L936" s="140"/>
      <c r="N936" s="138"/>
      <c r="O936" s="141"/>
      <c r="S936" s="94"/>
    </row>
  </sheetData>
  <mergeCells count="10">
    <mergeCell ref="R38:S38"/>
    <mergeCell ref="R73:S73"/>
    <mergeCell ref="R104:S104"/>
    <mergeCell ref="B1:D1"/>
    <mergeCell ref="E1:G1"/>
    <mergeCell ref="H1:J1"/>
    <mergeCell ref="K1:M1"/>
    <mergeCell ref="N1:P1"/>
    <mergeCell ref="R6:S6"/>
    <mergeCell ref="R7:S7"/>
  </mergeCells>
  <conditionalFormatting sqref="D3:D128">
    <cfRule type="cellIs" dxfId="6" priority="1" operator="lessThan">
      <formula>C3:C66</formula>
    </cfRule>
  </conditionalFormatting>
  <conditionalFormatting sqref="D3:D128">
    <cfRule type="cellIs" dxfId="4" priority="2" operator="greaterThan">
      <formula>C3:C66</formula>
    </cfRule>
  </conditionalFormatting>
  <conditionalFormatting sqref="G3:G128">
    <cfRule type="cellIs" dxfId="4" priority="3" operator="greaterThan">
      <formula>0</formula>
    </cfRule>
  </conditionalFormatting>
  <conditionalFormatting sqref="G3:G128">
    <cfRule type="cellIs" dxfId="6" priority="4" operator="lessThan">
      <formula>0</formula>
    </cfRule>
  </conditionalFormatting>
  <conditionalFormatting sqref="J3:J128">
    <cfRule type="cellIs" dxfId="5" priority="5" operator="lessThan">
      <formula>I3:I66</formula>
    </cfRule>
  </conditionalFormatting>
  <conditionalFormatting sqref="J3:J128">
    <cfRule type="cellIs" dxfId="4" priority="6" operator="greaterThan">
      <formula>I3:I66</formula>
    </cfRule>
  </conditionalFormatting>
  <conditionalFormatting sqref="M2:M936">
    <cfRule type="cellIs" dxfId="4" priority="7" operator="greaterThan">
      <formula>0%</formula>
    </cfRule>
  </conditionalFormatting>
  <conditionalFormatting sqref="M2:M936">
    <cfRule type="cellIs" dxfId="6" priority="8" operator="lessThan">
      <formula>0%</formula>
    </cfRule>
  </conditionalFormatting>
  <conditionalFormatting sqref="P2:P936 D1:D936 G1:G936 J1:J936 M1:M936">
    <cfRule type="cellIs" dxfId="4" priority="9" operator="greaterThan">
      <formula>1</formula>
    </cfRule>
  </conditionalFormatting>
  <conditionalFormatting sqref="P2:P936">
    <cfRule type="cellIs" dxfId="6" priority="10" operator="lessThan">
      <formula>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1"/>
  <cols>
    <col customWidth="1" min="1" max="1" width="14.0"/>
    <col customWidth="1" min="2" max="2" width="9.25"/>
    <col customWidth="1" min="3" max="3" width="4.75"/>
    <col customWidth="1" min="4" max="4" width="5.13"/>
    <col customWidth="1" min="5" max="5" width="9.25"/>
    <col customWidth="1" min="6" max="6" width="4.75"/>
    <col customWidth="1" min="7" max="7" width="4.25"/>
    <col customWidth="1" min="8" max="8" width="13.0"/>
    <col customWidth="1" min="9" max="9" width="11.88"/>
    <col customWidth="1" min="10" max="10" width="11.13"/>
    <col customWidth="1" min="11" max="11" width="12.0"/>
    <col customWidth="1" min="12" max="12" width="4.75"/>
    <col customWidth="1" min="13" max="13" width="6.5"/>
    <col customWidth="1" min="14" max="14" width="11.0"/>
    <col customWidth="1" min="15" max="15" width="6.38"/>
    <col customWidth="1" min="16" max="16" width="8.75"/>
    <col customWidth="1" min="18" max="18" width="16.25"/>
  </cols>
  <sheetData>
    <row r="1">
      <c r="A1" s="5" t="s">
        <v>0</v>
      </c>
      <c r="B1" s="5" t="s">
        <v>1</v>
      </c>
      <c r="E1" s="5" t="s">
        <v>2</v>
      </c>
      <c r="H1" s="5" t="s">
        <v>3</v>
      </c>
      <c r="K1" s="5" t="s">
        <v>4</v>
      </c>
      <c r="N1" s="5" t="s">
        <v>5</v>
      </c>
      <c r="Q1" s="90"/>
      <c r="R1" s="90"/>
      <c r="S1" s="91"/>
      <c r="T1" s="90"/>
      <c r="U1" s="90"/>
      <c r="V1" s="90"/>
      <c r="W1" s="90"/>
      <c r="X1" s="90"/>
      <c r="Y1" s="90"/>
      <c r="Z1" s="90"/>
      <c r="AA1" s="90"/>
      <c r="AB1" s="90"/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92" t="s">
        <v>38</v>
      </c>
      <c r="M2" s="5" t="s">
        <v>39</v>
      </c>
      <c r="N2" s="5" t="s">
        <v>40</v>
      </c>
      <c r="O2" s="93" t="s">
        <v>41</v>
      </c>
      <c r="P2" s="5" t="s">
        <v>42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5">
        <v>2025.0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S3" s="94"/>
    </row>
    <row r="4">
      <c r="A4" s="5" t="s">
        <v>14</v>
      </c>
      <c r="B4" s="17">
        <f t="shared" ref="B4:C4" si="1">B5+B37+B69+B101</f>
        <v>1058</v>
      </c>
      <c r="C4" s="17">
        <f t="shared" si="1"/>
        <v>3243</v>
      </c>
      <c r="D4" s="17">
        <f>D5</f>
        <v>-538</v>
      </c>
      <c r="E4" s="17">
        <f t="shared" ref="E4:F4" si="2">E5+E37+E69+E101</f>
        <v>440</v>
      </c>
      <c r="F4" s="142">
        <f t="shared" si="2"/>
        <v>1078.1</v>
      </c>
      <c r="G4" s="17">
        <f>G5</f>
        <v>-75</v>
      </c>
      <c r="H4" s="95">
        <f t="shared" ref="H4:I4" si="3">H5+H37+H69+H101</f>
        <v>105326.67</v>
      </c>
      <c r="I4" s="95">
        <f t="shared" si="3"/>
        <v>239750</v>
      </c>
      <c r="J4" s="96">
        <f>J5</f>
        <v>-35239.32</v>
      </c>
      <c r="K4" s="97">
        <f t="shared" ref="K4:K11" si="7">E4/B4</f>
        <v>0.415879017</v>
      </c>
      <c r="L4" s="98">
        <f>L5</f>
        <v>0.3</v>
      </c>
      <c r="M4" s="97">
        <f t="shared" ref="M4:M5" si="8">K4-L4</f>
        <v>0.115879017</v>
      </c>
      <c r="N4" s="96">
        <f>AVERAGE(N5:N101)</f>
        <v>253.2138103</v>
      </c>
      <c r="O4" s="99">
        <f t="shared" ref="O4:P4" si="4">O5</f>
        <v>250</v>
      </c>
      <c r="P4" s="96">
        <f t="shared" si="4"/>
        <v>-9.026181818</v>
      </c>
    </row>
    <row r="5">
      <c r="A5" s="100" t="s">
        <v>43</v>
      </c>
      <c r="B5" s="100">
        <f>SUM(B6:B35)</f>
        <v>589</v>
      </c>
      <c r="C5" s="100">
        <f>SUM(C6:C36)</f>
        <v>1127</v>
      </c>
      <c r="D5" s="100">
        <f t="shared" ref="D5:E5" si="5">SUM(D6:D35)</f>
        <v>-538</v>
      </c>
      <c r="E5" s="100">
        <f t="shared" si="5"/>
        <v>165</v>
      </c>
      <c r="F5" s="143">
        <f>C5*30%</f>
        <v>338.1</v>
      </c>
      <c r="G5" s="100">
        <f t="shared" ref="G5:J5" si="6">SUM(G6:G35)</f>
        <v>-75</v>
      </c>
      <c r="H5" s="101">
        <f t="shared" si="6"/>
        <v>39760.68</v>
      </c>
      <c r="I5" s="101">
        <f t="shared" si="6"/>
        <v>75000</v>
      </c>
      <c r="J5" s="102">
        <f t="shared" si="6"/>
        <v>-35239.32</v>
      </c>
      <c r="K5" s="103">
        <f t="shared" si="7"/>
        <v>0.2801358234</v>
      </c>
      <c r="L5" s="103">
        <v>0.3</v>
      </c>
      <c r="M5" s="103">
        <f t="shared" si="8"/>
        <v>-0.01986417657</v>
      </c>
      <c r="N5" s="102">
        <f t="shared" ref="N5:N11" si="9">IFERROR(H5/E5,"")</f>
        <v>240.9738182</v>
      </c>
      <c r="O5" s="104">
        <v>250.0</v>
      </c>
      <c r="P5" s="102">
        <f t="shared" ref="P5:P11" si="10">N5-O5</f>
        <v>-9.026181818</v>
      </c>
    </row>
    <row r="6" outlineLevel="1">
      <c r="A6" s="105">
        <v>45992.0</v>
      </c>
      <c r="B6" s="106">
        <v>48.0</v>
      </c>
      <c r="C6" s="107">
        <v>49.0</v>
      </c>
      <c r="D6" s="107">
        <f t="shared" ref="D6:D11" si="11">B6-C6</f>
        <v>-1</v>
      </c>
      <c r="E6" s="106">
        <v>10.0</v>
      </c>
      <c r="F6" s="107">
        <v>12.0</v>
      </c>
      <c r="G6" s="107">
        <f t="shared" ref="G6:G11" si="12">E6-F6</f>
        <v>-2</v>
      </c>
      <c r="H6" s="108">
        <v>3379.78</v>
      </c>
      <c r="I6" s="109">
        <v>3750.0</v>
      </c>
      <c r="J6" s="109">
        <f t="shared" ref="J6:J11" si="13">H6-I6</f>
        <v>-370.22</v>
      </c>
      <c r="K6" s="134">
        <f t="shared" si="7"/>
        <v>0.2083333333</v>
      </c>
      <c r="L6" s="111">
        <v>0.3</v>
      </c>
      <c r="M6" s="111">
        <f t="shared" ref="M6:M11" si="14">L6-K6</f>
        <v>0.09166666667</v>
      </c>
      <c r="N6" s="109">
        <f t="shared" si="9"/>
        <v>337.978</v>
      </c>
      <c r="O6" s="112">
        <v>250.0</v>
      </c>
      <c r="P6" s="109">
        <f t="shared" si="10"/>
        <v>87.978</v>
      </c>
      <c r="R6" s="113" t="s">
        <v>44</v>
      </c>
    </row>
    <row r="7" outlineLevel="1">
      <c r="A7" s="105">
        <v>45993.0</v>
      </c>
      <c r="B7" s="106">
        <v>48.0</v>
      </c>
      <c r="C7" s="107">
        <v>49.0</v>
      </c>
      <c r="D7" s="107">
        <f t="shared" si="11"/>
        <v>-1</v>
      </c>
      <c r="E7" s="106">
        <v>18.0</v>
      </c>
      <c r="F7" s="107">
        <v>12.0</v>
      </c>
      <c r="G7" s="107">
        <f t="shared" si="12"/>
        <v>6</v>
      </c>
      <c r="H7" s="108">
        <v>3484.06</v>
      </c>
      <c r="I7" s="109">
        <v>3750.0</v>
      </c>
      <c r="J7" s="109">
        <f t="shared" si="13"/>
        <v>-265.94</v>
      </c>
      <c r="K7" s="134">
        <f t="shared" si="7"/>
        <v>0.375</v>
      </c>
      <c r="L7" s="111">
        <v>0.3</v>
      </c>
      <c r="M7" s="111">
        <f t="shared" si="14"/>
        <v>-0.075</v>
      </c>
      <c r="N7" s="109">
        <f t="shared" si="9"/>
        <v>193.5588889</v>
      </c>
      <c r="O7" s="112">
        <v>250.0</v>
      </c>
      <c r="P7" s="109">
        <f t="shared" si="10"/>
        <v>-56.44111111</v>
      </c>
      <c r="R7" s="115" t="s">
        <v>15</v>
      </c>
    </row>
    <row r="8" outlineLevel="1">
      <c r="A8" s="105">
        <v>45994.0</v>
      </c>
      <c r="B8" s="106">
        <v>49.0</v>
      </c>
      <c r="C8" s="107">
        <v>49.0</v>
      </c>
      <c r="D8" s="107">
        <f t="shared" si="11"/>
        <v>0</v>
      </c>
      <c r="E8" s="106">
        <v>11.0</v>
      </c>
      <c r="F8" s="107">
        <v>12.0</v>
      </c>
      <c r="G8" s="107">
        <f t="shared" si="12"/>
        <v>-1</v>
      </c>
      <c r="H8" s="108">
        <v>2051.6</v>
      </c>
      <c r="I8" s="109">
        <v>3750.0</v>
      </c>
      <c r="J8" s="109">
        <f t="shared" si="13"/>
        <v>-1698.4</v>
      </c>
      <c r="K8" s="134">
        <f t="shared" si="7"/>
        <v>0.2244897959</v>
      </c>
      <c r="L8" s="111">
        <v>0.3</v>
      </c>
      <c r="M8" s="111">
        <f t="shared" si="14"/>
        <v>0.07551020408</v>
      </c>
      <c r="N8" s="109">
        <f t="shared" si="9"/>
        <v>186.5090909</v>
      </c>
      <c r="O8" s="112">
        <v>250.0</v>
      </c>
      <c r="P8" s="109">
        <f t="shared" si="10"/>
        <v>-63.49090909</v>
      </c>
      <c r="R8" s="113" t="s">
        <v>8</v>
      </c>
      <c r="S8" s="116">
        <v>75000.0</v>
      </c>
      <c r="T8" s="118">
        <f>S8-S11</f>
        <v>35239.32</v>
      </c>
    </row>
    <row r="9" outlineLevel="1">
      <c r="A9" s="105">
        <v>45995.0</v>
      </c>
      <c r="B9" s="106">
        <v>46.0</v>
      </c>
      <c r="C9" s="107">
        <v>49.0</v>
      </c>
      <c r="D9" s="107">
        <f t="shared" si="11"/>
        <v>-3</v>
      </c>
      <c r="E9" s="106">
        <v>9.0</v>
      </c>
      <c r="F9" s="107">
        <v>12.0</v>
      </c>
      <c r="G9" s="107">
        <f t="shared" si="12"/>
        <v>-3</v>
      </c>
      <c r="H9" s="108">
        <v>1786.24</v>
      </c>
      <c r="I9" s="109">
        <v>3750.0</v>
      </c>
      <c r="J9" s="109">
        <f t="shared" si="13"/>
        <v>-1963.76</v>
      </c>
      <c r="K9" s="134">
        <f t="shared" si="7"/>
        <v>0.1956521739</v>
      </c>
      <c r="L9" s="111">
        <v>0.3</v>
      </c>
      <c r="M9" s="111">
        <f t="shared" si="14"/>
        <v>0.1043478261</v>
      </c>
      <c r="N9" s="109">
        <f t="shared" si="9"/>
        <v>198.4711111</v>
      </c>
      <c r="O9" s="112">
        <v>250.0</v>
      </c>
      <c r="P9" s="109">
        <f t="shared" si="10"/>
        <v>-51.52888889</v>
      </c>
      <c r="R9" s="113" t="s">
        <v>45</v>
      </c>
      <c r="S9" s="117">
        <f>S8/30</f>
        <v>2500</v>
      </c>
    </row>
    <row r="10" outlineLevel="1">
      <c r="A10" s="105">
        <v>45996.0</v>
      </c>
      <c r="B10" s="106">
        <v>56.0</v>
      </c>
      <c r="C10" s="107">
        <v>49.0</v>
      </c>
      <c r="D10" s="107">
        <f t="shared" si="11"/>
        <v>7</v>
      </c>
      <c r="E10" s="106">
        <v>12.0</v>
      </c>
      <c r="F10" s="107">
        <v>12.0</v>
      </c>
      <c r="G10" s="107">
        <f t="shared" si="12"/>
        <v>0</v>
      </c>
      <c r="H10" s="108">
        <v>2512.15</v>
      </c>
      <c r="I10" s="109">
        <v>3750.0</v>
      </c>
      <c r="J10" s="109">
        <f t="shared" si="13"/>
        <v>-1237.85</v>
      </c>
      <c r="K10" s="134">
        <f t="shared" si="7"/>
        <v>0.2142857143</v>
      </c>
      <c r="L10" s="111">
        <v>0.3</v>
      </c>
      <c r="M10" s="111">
        <f t="shared" si="14"/>
        <v>0.08571428571</v>
      </c>
      <c r="N10" s="109">
        <f t="shared" si="9"/>
        <v>209.3458333</v>
      </c>
      <c r="O10" s="112">
        <v>250.0</v>
      </c>
      <c r="P10" s="109">
        <f t="shared" si="10"/>
        <v>-40.65416667</v>
      </c>
      <c r="R10" s="113" t="s">
        <v>46</v>
      </c>
      <c r="S10" s="117">
        <f>S8/20</f>
        <v>3750</v>
      </c>
    </row>
    <row r="11" outlineLevel="1">
      <c r="A11" s="105">
        <v>45997.0</v>
      </c>
      <c r="B11" s="106">
        <v>9.0</v>
      </c>
      <c r="C11" s="107">
        <v>49.0</v>
      </c>
      <c r="D11" s="107">
        <f t="shared" si="11"/>
        <v>-40</v>
      </c>
      <c r="E11" s="106">
        <v>7.0</v>
      </c>
      <c r="F11" s="107">
        <v>0.0</v>
      </c>
      <c r="G11" s="107">
        <f t="shared" si="12"/>
        <v>7</v>
      </c>
      <c r="H11" s="108">
        <v>611.96</v>
      </c>
      <c r="I11" s="109">
        <v>0.0</v>
      </c>
      <c r="J11" s="109">
        <f t="shared" si="13"/>
        <v>611.96</v>
      </c>
      <c r="K11" s="134">
        <f t="shared" si="7"/>
        <v>0.7777777778</v>
      </c>
      <c r="L11" s="111">
        <v>0.3</v>
      </c>
      <c r="M11" s="111">
        <f t="shared" si="14"/>
        <v>-0.4777777778</v>
      </c>
      <c r="N11" s="109">
        <f t="shared" si="9"/>
        <v>87.42285714</v>
      </c>
      <c r="O11" s="112">
        <v>250.0</v>
      </c>
      <c r="P11" s="109">
        <f t="shared" si="10"/>
        <v>-162.5771429</v>
      </c>
      <c r="R11" s="113" t="s">
        <v>7</v>
      </c>
      <c r="S11" s="117">
        <f>H5</f>
        <v>39760.68</v>
      </c>
    </row>
    <row r="12" outlineLevel="1">
      <c r="A12" s="105">
        <v>45998.0</v>
      </c>
      <c r="B12" s="106"/>
      <c r="C12" s="107"/>
      <c r="D12" s="107"/>
      <c r="E12" s="106"/>
      <c r="F12" s="107"/>
      <c r="G12" s="107"/>
      <c r="H12" s="108">
        <v>0.0</v>
      </c>
      <c r="I12" s="109"/>
      <c r="J12" s="109"/>
      <c r="K12" s="134"/>
      <c r="L12" s="111"/>
      <c r="M12" s="114"/>
      <c r="N12" s="109"/>
      <c r="O12" s="112"/>
      <c r="P12" s="114"/>
      <c r="R12" s="113" t="s">
        <v>47</v>
      </c>
      <c r="S12" s="119">
        <f>S11/S8</f>
        <v>0.5301424</v>
      </c>
    </row>
    <row r="13" outlineLevel="1">
      <c r="A13" s="105">
        <v>45999.0</v>
      </c>
      <c r="B13" s="106">
        <v>36.0</v>
      </c>
      <c r="C13" s="107">
        <v>49.0</v>
      </c>
      <c r="D13" s="107">
        <f t="shared" ref="D13:D18" si="15">B13-C13</f>
        <v>-13</v>
      </c>
      <c r="E13" s="106">
        <v>8.0</v>
      </c>
      <c r="F13" s="107">
        <v>12.0</v>
      </c>
      <c r="G13" s="107">
        <f t="shared" ref="G13:G18" si="16">E13-F13</f>
        <v>-4</v>
      </c>
      <c r="H13" s="108">
        <v>2037.44</v>
      </c>
      <c r="I13" s="109">
        <v>3750.0</v>
      </c>
      <c r="J13" s="109">
        <f t="shared" ref="J13:J18" si="17">H13-I13</f>
        <v>-1712.56</v>
      </c>
      <c r="K13" s="134">
        <f t="shared" ref="K13:K18" si="18">E13/B13</f>
        <v>0.2222222222</v>
      </c>
      <c r="L13" s="111">
        <v>0.3</v>
      </c>
      <c r="M13" s="111">
        <f t="shared" ref="M13:M18" si="19">L13-K13</f>
        <v>0.07777777778</v>
      </c>
      <c r="N13" s="109">
        <f t="shared" ref="N13:N18" si="20">IFERROR(H13/E13,"")</f>
        <v>254.68</v>
      </c>
      <c r="O13" s="112">
        <v>250.0</v>
      </c>
      <c r="P13" s="109">
        <f t="shared" ref="P13:P18" si="21">N13-O13</f>
        <v>4.68</v>
      </c>
      <c r="R13" s="113" t="s">
        <v>48</v>
      </c>
      <c r="S13" s="120">
        <v>4.0</v>
      </c>
    </row>
    <row r="14" outlineLevel="1">
      <c r="A14" s="105">
        <v>46000.0</v>
      </c>
      <c r="B14" s="106">
        <v>34.0</v>
      </c>
      <c r="C14" s="107">
        <v>49.0</v>
      </c>
      <c r="D14" s="107">
        <f t="shared" si="15"/>
        <v>-15</v>
      </c>
      <c r="E14" s="106">
        <v>11.0</v>
      </c>
      <c r="F14" s="107">
        <v>12.0</v>
      </c>
      <c r="G14" s="107">
        <f t="shared" si="16"/>
        <v>-1</v>
      </c>
      <c r="H14" s="108">
        <v>3366.49</v>
      </c>
      <c r="I14" s="109">
        <v>3750.0</v>
      </c>
      <c r="J14" s="109">
        <f t="shared" si="17"/>
        <v>-383.51</v>
      </c>
      <c r="K14" s="134">
        <f t="shared" si="18"/>
        <v>0.3235294118</v>
      </c>
      <c r="L14" s="111">
        <v>0.3</v>
      </c>
      <c r="M14" s="111">
        <f t="shared" si="19"/>
        <v>-0.02352941176</v>
      </c>
      <c r="N14" s="109">
        <f t="shared" si="20"/>
        <v>306.0445455</v>
      </c>
      <c r="O14" s="112">
        <v>250.0</v>
      </c>
      <c r="P14" s="109">
        <f t="shared" si="21"/>
        <v>56.04454545</v>
      </c>
      <c r="R14" s="113" t="s">
        <v>49</v>
      </c>
      <c r="S14" s="121">
        <f>(S8-S11)/S13</f>
        <v>8809.83</v>
      </c>
    </row>
    <row r="15" outlineLevel="1">
      <c r="A15" s="105">
        <v>46001.0</v>
      </c>
      <c r="B15" s="106">
        <v>32.0</v>
      </c>
      <c r="C15" s="107">
        <v>49.0</v>
      </c>
      <c r="D15" s="107">
        <f t="shared" si="15"/>
        <v>-17</v>
      </c>
      <c r="E15" s="106">
        <v>9.0</v>
      </c>
      <c r="F15" s="107">
        <v>12.0</v>
      </c>
      <c r="G15" s="107">
        <f t="shared" si="16"/>
        <v>-3</v>
      </c>
      <c r="H15" s="108">
        <v>2473.49</v>
      </c>
      <c r="I15" s="109">
        <v>3750.0</v>
      </c>
      <c r="J15" s="109">
        <f t="shared" si="17"/>
        <v>-1276.51</v>
      </c>
      <c r="K15" s="134">
        <f t="shared" si="18"/>
        <v>0.28125</v>
      </c>
      <c r="L15" s="111">
        <v>0.3</v>
      </c>
      <c r="M15" s="111">
        <f t="shared" si="19"/>
        <v>0.01875</v>
      </c>
      <c r="N15" s="109">
        <f t="shared" si="20"/>
        <v>274.8322222</v>
      </c>
      <c r="O15" s="112">
        <v>250.0</v>
      </c>
      <c r="P15" s="109">
        <f t="shared" si="21"/>
        <v>24.83222222</v>
      </c>
      <c r="R15" s="113" t="s">
        <v>50</v>
      </c>
      <c r="S15" s="122">
        <f>N5</f>
        <v>240.9738182</v>
      </c>
    </row>
    <row r="16" outlineLevel="1">
      <c r="A16" s="105">
        <v>46002.0</v>
      </c>
      <c r="B16" s="106">
        <v>31.0</v>
      </c>
      <c r="C16" s="107">
        <v>49.0</v>
      </c>
      <c r="D16" s="107">
        <f t="shared" si="15"/>
        <v>-18</v>
      </c>
      <c r="E16" s="106">
        <v>13.0</v>
      </c>
      <c r="F16" s="107">
        <v>12.0</v>
      </c>
      <c r="G16" s="107">
        <f t="shared" si="16"/>
        <v>1</v>
      </c>
      <c r="H16" s="108">
        <v>2151.71</v>
      </c>
      <c r="I16" s="109">
        <v>3750.0</v>
      </c>
      <c r="J16" s="109">
        <f t="shared" si="17"/>
        <v>-1598.29</v>
      </c>
      <c r="K16" s="134">
        <f t="shared" si="18"/>
        <v>0.4193548387</v>
      </c>
      <c r="L16" s="111">
        <v>0.3</v>
      </c>
      <c r="M16" s="111">
        <f t="shared" si="19"/>
        <v>-0.1193548387</v>
      </c>
      <c r="N16" s="109">
        <f t="shared" si="20"/>
        <v>165.5161538</v>
      </c>
      <c r="O16" s="112">
        <v>250.0</v>
      </c>
      <c r="P16" s="109">
        <f t="shared" si="21"/>
        <v>-84.48384615</v>
      </c>
      <c r="R16" s="113" t="s">
        <v>51</v>
      </c>
      <c r="S16" s="127">
        <f>B5</f>
        <v>589</v>
      </c>
    </row>
    <row r="17" outlineLevel="1">
      <c r="A17" s="105">
        <v>46003.0</v>
      </c>
      <c r="B17" s="106">
        <v>21.0</v>
      </c>
      <c r="C17" s="107">
        <v>49.0</v>
      </c>
      <c r="D17" s="107">
        <f t="shared" si="15"/>
        <v>-28</v>
      </c>
      <c r="E17" s="106">
        <v>5.0</v>
      </c>
      <c r="F17" s="107">
        <v>12.0</v>
      </c>
      <c r="G17" s="107">
        <f t="shared" si="16"/>
        <v>-7</v>
      </c>
      <c r="H17" s="108">
        <v>955.06</v>
      </c>
      <c r="I17" s="109">
        <v>3750.0</v>
      </c>
      <c r="J17" s="109">
        <f t="shared" si="17"/>
        <v>-2794.94</v>
      </c>
      <c r="K17" s="134">
        <f t="shared" si="18"/>
        <v>0.2380952381</v>
      </c>
      <c r="L17" s="111">
        <v>0.3</v>
      </c>
      <c r="M17" s="111">
        <f t="shared" si="19"/>
        <v>0.0619047619</v>
      </c>
      <c r="N17" s="109">
        <f t="shared" si="20"/>
        <v>191.012</v>
      </c>
      <c r="O17" s="112">
        <v>250.0</v>
      </c>
      <c r="P17" s="109">
        <f t="shared" si="21"/>
        <v>-58.988</v>
      </c>
      <c r="R17" s="113" t="s">
        <v>52</v>
      </c>
      <c r="S17" s="128">
        <f>E5</f>
        <v>165</v>
      </c>
    </row>
    <row r="18" outlineLevel="1">
      <c r="A18" s="105">
        <v>46004.0</v>
      </c>
      <c r="B18" s="106">
        <v>0.0</v>
      </c>
      <c r="C18" s="107">
        <v>49.0</v>
      </c>
      <c r="D18" s="107">
        <f t="shared" si="15"/>
        <v>-49</v>
      </c>
      <c r="E18" s="106">
        <v>3.0</v>
      </c>
      <c r="F18" s="107">
        <v>0.0</v>
      </c>
      <c r="G18" s="107">
        <f t="shared" si="16"/>
        <v>3</v>
      </c>
      <c r="H18" s="108">
        <v>468.47</v>
      </c>
      <c r="I18" s="109">
        <v>0.0</v>
      </c>
      <c r="J18" s="109">
        <f t="shared" si="17"/>
        <v>468.47</v>
      </c>
      <c r="K18" s="134" t="str">
        <f t="shared" si="18"/>
        <v>#DIV/0!</v>
      </c>
      <c r="L18" s="111">
        <v>0.3</v>
      </c>
      <c r="M18" s="114" t="str">
        <f t="shared" si="19"/>
        <v>#DIV/0!</v>
      </c>
      <c r="N18" s="109">
        <f t="shared" si="20"/>
        <v>156.1566667</v>
      </c>
      <c r="O18" s="112">
        <v>250.0</v>
      </c>
      <c r="P18" s="109">
        <f t="shared" si="21"/>
        <v>-93.84333333</v>
      </c>
      <c r="R18" s="113" t="s">
        <v>4</v>
      </c>
      <c r="S18" s="119">
        <f>E5/B5</f>
        <v>0.2801358234</v>
      </c>
    </row>
    <row r="19" outlineLevel="1">
      <c r="A19" s="105">
        <v>46005.0</v>
      </c>
      <c r="B19" s="106"/>
      <c r="C19" s="107"/>
      <c r="D19" s="107"/>
      <c r="E19" s="106"/>
      <c r="F19" s="107"/>
      <c r="G19" s="107"/>
      <c r="H19" s="108">
        <v>0.0</v>
      </c>
      <c r="I19" s="109"/>
      <c r="J19" s="109"/>
      <c r="K19" s="134"/>
      <c r="L19" s="111"/>
      <c r="M19" s="114"/>
      <c r="N19" s="109"/>
      <c r="O19" s="112"/>
      <c r="P19" s="114"/>
    </row>
    <row r="20" outlineLevel="1">
      <c r="A20" s="105">
        <v>46006.0</v>
      </c>
      <c r="B20" s="106">
        <v>47.0</v>
      </c>
      <c r="C20" s="107">
        <v>49.0</v>
      </c>
      <c r="D20" s="107">
        <f t="shared" ref="D20:D25" si="22">B20-C20</f>
        <v>-2</v>
      </c>
      <c r="E20" s="106">
        <v>10.0</v>
      </c>
      <c r="F20" s="107">
        <v>12.0</v>
      </c>
      <c r="G20" s="107">
        <f t="shared" ref="G20:G25" si="23">E20-F20</f>
        <v>-2</v>
      </c>
      <c r="H20" s="108">
        <v>3826.51</v>
      </c>
      <c r="I20" s="109">
        <v>3750.0</v>
      </c>
      <c r="J20" s="109">
        <f t="shared" ref="J20:J25" si="24">H20-I20</f>
        <v>76.51</v>
      </c>
      <c r="K20" s="134">
        <f t="shared" ref="K20:K25" si="25">E20/B20</f>
        <v>0.2127659574</v>
      </c>
      <c r="L20" s="111">
        <v>0.3</v>
      </c>
      <c r="M20" s="111">
        <f t="shared" ref="M20:M25" si="26">L20-K20</f>
        <v>0.08723404255</v>
      </c>
      <c r="N20" s="109">
        <f t="shared" ref="N20:N25" si="27">IFERROR(H20/E20,"")</f>
        <v>382.651</v>
      </c>
      <c r="O20" s="112">
        <v>250.0</v>
      </c>
      <c r="P20" s="109">
        <f t="shared" ref="P20:P25" si="28">N20-O20</f>
        <v>132.651</v>
      </c>
    </row>
    <row r="21" outlineLevel="1">
      <c r="A21" s="105">
        <v>46007.0</v>
      </c>
      <c r="B21" s="106">
        <v>45.0</v>
      </c>
      <c r="C21" s="107">
        <v>49.0</v>
      </c>
      <c r="D21" s="107">
        <f t="shared" si="22"/>
        <v>-4</v>
      </c>
      <c r="E21" s="106">
        <v>10.0</v>
      </c>
      <c r="F21" s="107">
        <v>12.0</v>
      </c>
      <c r="G21" s="107">
        <f t="shared" si="23"/>
        <v>-2</v>
      </c>
      <c r="H21" s="108">
        <v>1769.5</v>
      </c>
      <c r="I21" s="109">
        <v>3750.0</v>
      </c>
      <c r="J21" s="109">
        <f t="shared" si="24"/>
        <v>-1980.5</v>
      </c>
      <c r="K21" s="134">
        <f t="shared" si="25"/>
        <v>0.2222222222</v>
      </c>
      <c r="L21" s="111">
        <v>0.3</v>
      </c>
      <c r="M21" s="111">
        <f t="shared" si="26"/>
        <v>0.07777777778</v>
      </c>
      <c r="N21" s="109">
        <f t="shared" si="27"/>
        <v>176.95</v>
      </c>
      <c r="O21" s="112">
        <v>250.0</v>
      </c>
      <c r="P21" s="109">
        <f t="shared" si="28"/>
        <v>-73.05</v>
      </c>
    </row>
    <row r="22" outlineLevel="1">
      <c r="A22" s="105">
        <v>46008.0</v>
      </c>
      <c r="B22" s="106">
        <v>31.0</v>
      </c>
      <c r="C22" s="107">
        <v>49.0</v>
      </c>
      <c r="D22" s="107">
        <f t="shared" si="22"/>
        <v>-18</v>
      </c>
      <c r="E22" s="106">
        <v>7.0</v>
      </c>
      <c r="F22" s="107">
        <v>12.0</v>
      </c>
      <c r="G22" s="107">
        <f t="shared" si="23"/>
        <v>-5</v>
      </c>
      <c r="H22" s="108">
        <v>1908.02</v>
      </c>
      <c r="I22" s="109">
        <v>3750.0</v>
      </c>
      <c r="J22" s="109">
        <f t="shared" si="24"/>
        <v>-1841.98</v>
      </c>
      <c r="K22" s="134">
        <f t="shared" si="25"/>
        <v>0.2258064516</v>
      </c>
      <c r="L22" s="111">
        <v>0.3</v>
      </c>
      <c r="M22" s="111">
        <f t="shared" si="26"/>
        <v>0.07419354839</v>
      </c>
      <c r="N22" s="109">
        <f t="shared" si="27"/>
        <v>272.5742857</v>
      </c>
      <c r="O22" s="112">
        <v>250.0</v>
      </c>
      <c r="P22" s="109">
        <f t="shared" si="28"/>
        <v>22.57428571</v>
      </c>
      <c r="S22" s="94"/>
    </row>
    <row r="23" outlineLevel="1">
      <c r="A23" s="105">
        <v>46009.0</v>
      </c>
      <c r="B23" s="106">
        <v>15.0</v>
      </c>
      <c r="C23" s="107">
        <v>49.0</v>
      </c>
      <c r="D23" s="107">
        <f t="shared" si="22"/>
        <v>-34</v>
      </c>
      <c r="E23" s="106">
        <v>6.0</v>
      </c>
      <c r="F23" s="107">
        <v>12.0</v>
      </c>
      <c r="G23" s="107">
        <f t="shared" si="23"/>
        <v>-6</v>
      </c>
      <c r="H23" s="108">
        <v>3946.56</v>
      </c>
      <c r="I23" s="109">
        <v>3750.0</v>
      </c>
      <c r="J23" s="109">
        <f t="shared" si="24"/>
        <v>196.56</v>
      </c>
      <c r="K23" s="134">
        <f t="shared" si="25"/>
        <v>0.4</v>
      </c>
      <c r="L23" s="111">
        <v>0.3</v>
      </c>
      <c r="M23" s="111">
        <f t="shared" si="26"/>
        <v>-0.1</v>
      </c>
      <c r="N23" s="109">
        <f t="shared" si="27"/>
        <v>657.76</v>
      </c>
      <c r="O23" s="112">
        <v>250.0</v>
      </c>
      <c r="P23" s="109">
        <f t="shared" si="28"/>
        <v>407.76</v>
      </c>
      <c r="S23" s="130"/>
    </row>
    <row r="24" outlineLevel="1">
      <c r="A24" s="105">
        <v>46010.0</v>
      </c>
      <c r="B24" s="106">
        <v>12.0</v>
      </c>
      <c r="C24" s="107">
        <v>49.0</v>
      </c>
      <c r="D24" s="107">
        <f t="shared" si="22"/>
        <v>-37</v>
      </c>
      <c r="E24" s="106">
        <v>6.0</v>
      </c>
      <c r="F24" s="107">
        <v>12.0</v>
      </c>
      <c r="G24" s="107">
        <f t="shared" si="23"/>
        <v>-6</v>
      </c>
      <c r="H24" s="108">
        <v>1323.62</v>
      </c>
      <c r="I24" s="109">
        <v>3750.0</v>
      </c>
      <c r="J24" s="109">
        <f t="shared" si="24"/>
        <v>-2426.38</v>
      </c>
      <c r="K24" s="134">
        <f t="shared" si="25"/>
        <v>0.5</v>
      </c>
      <c r="L24" s="111">
        <v>0.3</v>
      </c>
      <c r="M24" s="111">
        <f t="shared" si="26"/>
        <v>-0.2</v>
      </c>
      <c r="N24" s="109">
        <f t="shared" si="27"/>
        <v>220.6033333</v>
      </c>
      <c r="O24" s="112">
        <v>250.0</v>
      </c>
      <c r="P24" s="109">
        <f t="shared" si="28"/>
        <v>-29.39666667</v>
      </c>
      <c r="S24" s="131"/>
    </row>
    <row r="25" outlineLevel="1">
      <c r="A25" s="105">
        <v>46011.0</v>
      </c>
      <c r="B25" s="106">
        <v>6.0</v>
      </c>
      <c r="C25" s="107">
        <v>49.0</v>
      </c>
      <c r="D25" s="107">
        <f t="shared" si="22"/>
        <v>-43</v>
      </c>
      <c r="E25" s="106">
        <v>2.0</v>
      </c>
      <c r="F25" s="107">
        <v>0.0</v>
      </c>
      <c r="G25" s="107">
        <f t="shared" si="23"/>
        <v>2</v>
      </c>
      <c r="H25" s="108">
        <v>172.06</v>
      </c>
      <c r="I25" s="109">
        <v>0.0</v>
      </c>
      <c r="J25" s="109">
        <f t="shared" si="24"/>
        <v>172.06</v>
      </c>
      <c r="K25" s="134">
        <f t="shared" si="25"/>
        <v>0.3333333333</v>
      </c>
      <c r="L25" s="111">
        <v>0.3</v>
      </c>
      <c r="M25" s="111">
        <f t="shared" si="26"/>
        <v>-0.03333333333</v>
      </c>
      <c r="N25" s="109">
        <f t="shared" si="27"/>
        <v>86.03</v>
      </c>
      <c r="O25" s="112">
        <v>250.0</v>
      </c>
      <c r="P25" s="109">
        <f t="shared" si="28"/>
        <v>-163.97</v>
      </c>
      <c r="S25" s="94"/>
    </row>
    <row r="26" outlineLevel="1">
      <c r="A26" s="105">
        <v>46012.0</v>
      </c>
      <c r="B26" s="106"/>
      <c r="C26" s="107"/>
      <c r="D26" s="107"/>
      <c r="E26" s="106"/>
      <c r="F26" s="107"/>
      <c r="G26" s="107"/>
      <c r="H26" s="108">
        <v>0.0</v>
      </c>
      <c r="I26" s="109"/>
      <c r="J26" s="109"/>
      <c r="K26" s="134"/>
      <c r="L26" s="111"/>
      <c r="M26" s="114"/>
      <c r="N26" s="109"/>
      <c r="O26" s="112"/>
      <c r="P26" s="114"/>
      <c r="S26" s="94"/>
    </row>
    <row r="27" outlineLevel="1">
      <c r="A27" s="105">
        <v>46013.0</v>
      </c>
      <c r="B27" s="106">
        <v>23.0</v>
      </c>
      <c r="C27" s="107">
        <v>49.0</v>
      </c>
      <c r="D27" s="107">
        <f t="shared" ref="D27:D28" si="29">B27-C27</f>
        <v>-26</v>
      </c>
      <c r="E27" s="106">
        <v>8.0</v>
      </c>
      <c r="F27" s="107">
        <v>12.0</v>
      </c>
      <c r="G27" s="107">
        <f t="shared" ref="G27:G32" si="30">E27-F27</f>
        <v>-4</v>
      </c>
      <c r="H27" s="108">
        <v>1535.96</v>
      </c>
      <c r="I27" s="109">
        <v>3750.0</v>
      </c>
      <c r="J27" s="109">
        <f t="shared" ref="J27:J32" si="31">H27-I27</f>
        <v>-2214.04</v>
      </c>
      <c r="K27" s="134">
        <f t="shared" ref="K27:K32" si="32">E27/B27</f>
        <v>0.347826087</v>
      </c>
      <c r="L27" s="111">
        <v>0.3</v>
      </c>
      <c r="M27" s="111">
        <f t="shared" ref="M27:M32" si="33">L27-K27</f>
        <v>-0.04782608696</v>
      </c>
      <c r="N27" s="109">
        <f t="shared" ref="N27:N32" si="34">IFERROR(H27/E27,"")</f>
        <v>191.995</v>
      </c>
      <c r="O27" s="112">
        <v>250.0</v>
      </c>
      <c r="P27" s="109">
        <f t="shared" ref="P27:P32" si="35">N27-O27</f>
        <v>-58.005</v>
      </c>
      <c r="S27" s="94"/>
    </row>
    <row r="28" outlineLevel="1">
      <c r="A28" s="105">
        <v>46014.0</v>
      </c>
      <c r="B28" s="106">
        <v>0.0</v>
      </c>
      <c r="C28" s="107">
        <v>49.0</v>
      </c>
      <c r="D28" s="107">
        <f t="shared" si="29"/>
        <v>-49</v>
      </c>
      <c r="E28" s="106">
        <v>0.0</v>
      </c>
      <c r="F28" s="107">
        <v>12.0</v>
      </c>
      <c r="G28" s="107">
        <f t="shared" si="30"/>
        <v>-12</v>
      </c>
      <c r="H28" s="108">
        <v>0.0</v>
      </c>
      <c r="I28" s="109">
        <v>3750.0</v>
      </c>
      <c r="J28" s="109">
        <f t="shared" si="31"/>
        <v>-3750</v>
      </c>
      <c r="K28" s="134" t="str">
        <f t="shared" si="32"/>
        <v>#DIV/0!</v>
      </c>
      <c r="L28" s="111">
        <v>0.3</v>
      </c>
      <c r="M28" s="114" t="str">
        <f t="shared" si="33"/>
        <v>#DIV/0!</v>
      </c>
      <c r="N28" s="109" t="str">
        <f t="shared" si="34"/>
        <v/>
      </c>
      <c r="O28" s="112">
        <v>250.0</v>
      </c>
      <c r="P28" s="109">
        <f t="shared" si="35"/>
        <v>-250</v>
      </c>
      <c r="S28" s="94"/>
    </row>
    <row r="29" outlineLevel="1">
      <c r="A29" s="144">
        <v>46015.0</v>
      </c>
      <c r="B29" s="145">
        <v>0.0</v>
      </c>
      <c r="C29" s="145">
        <v>0.0</v>
      </c>
      <c r="D29" s="145">
        <v>0.0</v>
      </c>
      <c r="E29" s="145">
        <v>0.0</v>
      </c>
      <c r="F29" s="145">
        <v>0.0</v>
      </c>
      <c r="G29" s="145">
        <f t="shared" si="30"/>
        <v>0</v>
      </c>
      <c r="H29" s="146">
        <v>0.0</v>
      </c>
      <c r="I29" s="146">
        <v>0.0</v>
      </c>
      <c r="J29" s="146">
        <f t="shared" si="31"/>
        <v>0</v>
      </c>
      <c r="K29" s="147" t="str">
        <f t="shared" si="32"/>
        <v>#DIV/0!</v>
      </c>
      <c r="L29" s="148">
        <v>0.3</v>
      </c>
      <c r="M29" s="149" t="str">
        <f t="shared" si="33"/>
        <v>#DIV/0!</v>
      </c>
      <c r="N29" s="146" t="str">
        <f t="shared" si="34"/>
        <v/>
      </c>
      <c r="O29" s="150">
        <v>250.0</v>
      </c>
      <c r="P29" s="146">
        <f t="shared" si="35"/>
        <v>-250</v>
      </c>
      <c r="S29" s="94"/>
    </row>
    <row r="30" outlineLevel="1">
      <c r="A30" s="151">
        <v>46016.0</v>
      </c>
      <c r="B30" s="152">
        <v>0.0</v>
      </c>
      <c r="C30" s="152">
        <v>0.0</v>
      </c>
      <c r="D30" s="152">
        <v>0.0</v>
      </c>
      <c r="E30" s="152">
        <v>0.0</v>
      </c>
      <c r="F30" s="152">
        <v>0.0</v>
      </c>
      <c r="G30" s="152">
        <f t="shared" si="30"/>
        <v>0</v>
      </c>
      <c r="H30" s="153">
        <v>0.0</v>
      </c>
      <c r="I30" s="153">
        <v>0.0</v>
      </c>
      <c r="J30" s="153">
        <f t="shared" si="31"/>
        <v>0</v>
      </c>
      <c r="K30" s="154" t="str">
        <f t="shared" si="32"/>
        <v>#DIV/0!</v>
      </c>
      <c r="L30" s="155">
        <v>0.3</v>
      </c>
      <c r="M30" s="156" t="str">
        <f t="shared" si="33"/>
        <v>#DIV/0!</v>
      </c>
      <c r="N30" s="153" t="str">
        <f t="shared" si="34"/>
        <v/>
      </c>
      <c r="O30" s="157">
        <v>250.0</v>
      </c>
      <c r="P30" s="153">
        <f t="shared" si="35"/>
        <v>-250</v>
      </c>
      <c r="S30" s="94"/>
    </row>
    <row r="31" outlineLevel="1">
      <c r="A31" s="105">
        <v>46017.0</v>
      </c>
      <c r="B31" s="106">
        <v>0.0</v>
      </c>
      <c r="C31" s="107">
        <v>49.0</v>
      </c>
      <c r="D31" s="107">
        <f t="shared" ref="D31:D32" si="36">B31-C31</f>
        <v>-49</v>
      </c>
      <c r="E31" s="106">
        <v>0.0</v>
      </c>
      <c r="F31" s="107">
        <v>12.0</v>
      </c>
      <c r="G31" s="107">
        <f t="shared" si="30"/>
        <v>-12</v>
      </c>
      <c r="H31" s="108">
        <v>0.0</v>
      </c>
      <c r="I31" s="109">
        <v>3750.0</v>
      </c>
      <c r="J31" s="109">
        <f t="shared" si="31"/>
        <v>-3750</v>
      </c>
      <c r="K31" s="134" t="str">
        <f t="shared" si="32"/>
        <v>#DIV/0!</v>
      </c>
      <c r="L31" s="111">
        <v>0.3</v>
      </c>
      <c r="M31" s="114" t="str">
        <f t="shared" si="33"/>
        <v>#DIV/0!</v>
      </c>
      <c r="N31" s="109" t="str">
        <f t="shared" si="34"/>
        <v/>
      </c>
      <c r="O31" s="112">
        <v>250.0</v>
      </c>
      <c r="P31" s="109">
        <f t="shared" si="35"/>
        <v>-250</v>
      </c>
      <c r="S31" s="94"/>
    </row>
    <row r="32" outlineLevel="1">
      <c r="A32" s="105">
        <v>46018.0</v>
      </c>
      <c r="B32" s="106">
        <v>0.0</v>
      </c>
      <c r="C32" s="107">
        <v>49.0</v>
      </c>
      <c r="D32" s="107">
        <f t="shared" si="36"/>
        <v>-49</v>
      </c>
      <c r="E32" s="106">
        <v>0.0</v>
      </c>
      <c r="F32" s="107">
        <v>12.0</v>
      </c>
      <c r="G32" s="107">
        <f t="shared" si="30"/>
        <v>-12</v>
      </c>
      <c r="H32" s="108">
        <v>0.0</v>
      </c>
      <c r="I32" s="109">
        <v>3750.0</v>
      </c>
      <c r="J32" s="109">
        <f t="shared" si="31"/>
        <v>-3750</v>
      </c>
      <c r="K32" s="134" t="str">
        <f t="shared" si="32"/>
        <v>#DIV/0!</v>
      </c>
      <c r="L32" s="111">
        <v>0.3</v>
      </c>
      <c r="M32" s="114" t="str">
        <f t="shared" si="33"/>
        <v>#DIV/0!</v>
      </c>
      <c r="N32" s="109" t="str">
        <f t="shared" si="34"/>
        <v/>
      </c>
      <c r="O32" s="112">
        <v>250.0</v>
      </c>
      <c r="P32" s="109">
        <f t="shared" si="35"/>
        <v>-250</v>
      </c>
      <c r="S32" s="94"/>
    </row>
    <row r="33" outlineLevel="1">
      <c r="A33" s="105">
        <v>46019.0</v>
      </c>
      <c r="B33" s="106"/>
      <c r="C33" s="107"/>
      <c r="D33" s="107"/>
      <c r="E33" s="106"/>
      <c r="F33" s="107"/>
      <c r="G33" s="107"/>
      <c r="H33" s="108"/>
      <c r="I33" s="109"/>
      <c r="J33" s="109"/>
      <c r="K33" s="134"/>
      <c r="L33" s="111"/>
      <c r="M33" s="114"/>
      <c r="N33" s="109"/>
      <c r="O33" s="112"/>
      <c r="P33" s="114"/>
      <c r="S33" s="94"/>
    </row>
    <row r="34" outlineLevel="1">
      <c r="A34" s="105">
        <v>46020.0</v>
      </c>
      <c r="B34" s="106">
        <v>0.0</v>
      </c>
      <c r="C34" s="107">
        <v>49.0</v>
      </c>
      <c r="D34" s="107">
        <f>B34-C34</f>
        <v>-49</v>
      </c>
      <c r="E34" s="106">
        <v>0.0</v>
      </c>
      <c r="F34" s="107">
        <v>12.0</v>
      </c>
      <c r="G34" s="107">
        <f t="shared" ref="G34:G36" si="37">E34-F34</f>
        <v>-12</v>
      </c>
      <c r="H34" s="108">
        <v>0.0</v>
      </c>
      <c r="I34" s="109">
        <v>3750.0</v>
      </c>
      <c r="J34" s="109">
        <f t="shared" ref="J34:J36" si="38">H34-I34</f>
        <v>-3750</v>
      </c>
      <c r="K34" s="134" t="str">
        <f t="shared" ref="K34:K43" si="39">E34/B34</f>
        <v>#DIV/0!</v>
      </c>
      <c r="L34" s="111">
        <v>0.3</v>
      </c>
      <c r="M34" s="114" t="str">
        <f t="shared" ref="M34:M36" si="40">L34-K34</f>
        <v>#DIV/0!</v>
      </c>
      <c r="N34" s="109" t="str">
        <f t="shared" ref="N34:N43" si="41">IFERROR(H34/E34,"")</f>
        <v/>
      </c>
      <c r="O34" s="112">
        <v>250.0</v>
      </c>
      <c r="P34" s="109">
        <f t="shared" ref="P34:P43" si="42">N34-O34</f>
        <v>-250</v>
      </c>
      <c r="S34" s="94"/>
    </row>
    <row r="35" outlineLevel="1">
      <c r="A35" s="144">
        <v>46021.0</v>
      </c>
      <c r="B35" s="145">
        <v>0.0</v>
      </c>
      <c r="C35" s="145">
        <v>0.0</v>
      </c>
      <c r="D35" s="145">
        <v>0.0</v>
      </c>
      <c r="E35" s="145">
        <v>0.0</v>
      </c>
      <c r="F35" s="145">
        <v>0.0</v>
      </c>
      <c r="G35" s="145">
        <f t="shared" si="37"/>
        <v>0</v>
      </c>
      <c r="H35" s="146">
        <v>0.0</v>
      </c>
      <c r="I35" s="146">
        <v>0.0</v>
      </c>
      <c r="J35" s="146">
        <f t="shared" si="38"/>
        <v>0</v>
      </c>
      <c r="K35" s="147" t="str">
        <f t="shared" si="39"/>
        <v>#DIV/0!</v>
      </c>
      <c r="L35" s="148">
        <v>0.3</v>
      </c>
      <c r="M35" s="149" t="str">
        <f t="shared" si="40"/>
        <v>#DIV/0!</v>
      </c>
      <c r="N35" s="146" t="str">
        <f t="shared" si="41"/>
        <v/>
      </c>
      <c r="O35" s="150">
        <v>250.0</v>
      </c>
      <c r="P35" s="146">
        <f t="shared" si="42"/>
        <v>-250</v>
      </c>
      <c r="S35" s="94"/>
    </row>
    <row r="36" outlineLevel="1">
      <c r="A36" s="151">
        <v>46022.0</v>
      </c>
      <c r="B36" s="152">
        <v>0.0</v>
      </c>
      <c r="C36" s="152">
        <v>0.0</v>
      </c>
      <c r="D36" s="152">
        <v>0.0</v>
      </c>
      <c r="E36" s="152">
        <v>0.0</v>
      </c>
      <c r="F36" s="152">
        <v>0.0</v>
      </c>
      <c r="G36" s="152">
        <f t="shared" si="37"/>
        <v>0</v>
      </c>
      <c r="H36" s="153">
        <v>0.0</v>
      </c>
      <c r="I36" s="153">
        <v>0.0</v>
      </c>
      <c r="J36" s="153">
        <f t="shared" si="38"/>
        <v>0</v>
      </c>
      <c r="K36" s="154" t="str">
        <f t="shared" si="39"/>
        <v>#DIV/0!</v>
      </c>
      <c r="L36" s="155">
        <v>0.3</v>
      </c>
      <c r="M36" s="156" t="str">
        <f t="shared" si="40"/>
        <v>#DIV/0!</v>
      </c>
      <c r="N36" s="153" t="str">
        <f t="shared" si="41"/>
        <v/>
      </c>
      <c r="O36" s="157">
        <v>250.0</v>
      </c>
      <c r="P36" s="153">
        <f t="shared" si="42"/>
        <v>-250</v>
      </c>
      <c r="S36" s="94"/>
    </row>
    <row r="37" collapsed="1">
      <c r="A37" s="100" t="s">
        <v>53</v>
      </c>
      <c r="B37" s="100">
        <f t="shared" ref="B37:J37" si="43">SUM(B38:B67)</f>
        <v>255</v>
      </c>
      <c r="C37" s="100">
        <f t="shared" si="43"/>
        <v>460</v>
      </c>
      <c r="D37" s="100">
        <f t="shared" si="43"/>
        <v>-205</v>
      </c>
      <c r="E37" s="100">
        <f t="shared" si="43"/>
        <v>205</v>
      </c>
      <c r="F37" s="100">
        <f t="shared" si="43"/>
        <v>299</v>
      </c>
      <c r="G37" s="100">
        <f t="shared" si="43"/>
        <v>-94</v>
      </c>
      <c r="H37" s="101">
        <f t="shared" si="43"/>
        <v>47680.71</v>
      </c>
      <c r="I37" s="101">
        <f t="shared" si="43"/>
        <v>74750</v>
      </c>
      <c r="J37" s="102">
        <f t="shared" si="43"/>
        <v>-27069.29</v>
      </c>
      <c r="K37" s="103">
        <f t="shared" si="39"/>
        <v>0.8039215686</v>
      </c>
      <c r="L37" s="103">
        <v>0.5</v>
      </c>
      <c r="M37" s="103">
        <f>K37-L37</f>
        <v>0.3039215686</v>
      </c>
      <c r="N37" s="102">
        <f t="shared" si="41"/>
        <v>232.5888293</v>
      </c>
      <c r="O37" s="104">
        <f>O38</f>
        <v>250</v>
      </c>
      <c r="P37" s="102">
        <f t="shared" si="42"/>
        <v>-17.41117073</v>
      </c>
    </row>
    <row r="38" hidden="1" outlineLevel="1">
      <c r="A38" s="105">
        <v>45992.0</v>
      </c>
      <c r="B38" s="106">
        <v>21.0</v>
      </c>
      <c r="C38" s="107">
        <v>20.0</v>
      </c>
      <c r="D38" s="107">
        <f t="shared" ref="D38:D43" si="44">B38-C38</f>
        <v>1</v>
      </c>
      <c r="E38" s="106">
        <v>15.0</v>
      </c>
      <c r="F38" s="107">
        <v>13.0</v>
      </c>
      <c r="G38" s="107">
        <f t="shared" ref="G38:G43" si="45">E38-F38</f>
        <v>2</v>
      </c>
      <c r="H38" s="108">
        <v>2982.33</v>
      </c>
      <c r="I38" s="109">
        <v>3250.0</v>
      </c>
      <c r="J38" s="109">
        <f t="shared" ref="J38:J43" si="46">H38-I38</f>
        <v>-267.67</v>
      </c>
      <c r="K38" s="110">
        <f t="shared" si="39"/>
        <v>0.7142857143</v>
      </c>
      <c r="L38" s="111">
        <v>0.3</v>
      </c>
      <c r="M38" s="111">
        <f t="shared" ref="M38:M43" si="47">L38-K38</f>
        <v>-0.4142857143</v>
      </c>
      <c r="N38" s="109">
        <f t="shared" si="41"/>
        <v>198.822</v>
      </c>
      <c r="O38" s="112">
        <v>250.0</v>
      </c>
      <c r="P38" s="109">
        <f t="shared" si="42"/>
        <v>-51.178</v>
      </c>
      <c r="R38" s="113" t="s">
        <v>54</v>
      </c>
      <c r="S38" s="94"/>
    </row>
    <row r="39" hidden="1" outlineLevel="1">
      <c r="A39" s="105">
        <v>45993.0</v>
      </c>
      <c r="B39" s="106">
        <v>14.0</v>
      </c>
      <c r="C39" s="107">
        <v>20.0</v>
      </c>
      <c r="D39" s="107">
        <f t="shared" si="44"/>
        <v>-6</v>
      </c>
      <c r="E39" s="106">
        <v>10.0</v>
      </c>
      <c r="F39" s="107">
        <v>13.0</v>
      </c>
      <c r="G39" s="107">
        <f t="shared" si="45"/>
        <v>-3</v>
      </c>
      <c r="H39" s="108">
        <v>2280.72</v>
      </c>
      <c r="I39" s="109">
        <v>3250.0</v>
      </c>
      <c r="J39" s="109">
        <f t="shared" si="46"/>
        <v>-969.28</v>
      </c>
      <c r="K39" s="110">
        <f t="shared" si="39"/>
        <v>0.7142857143</v>
      </c>
      <c r="L39" s="111">
        <v>0.3</v>
      </c>
      <c r="M39" s="111">
        <f t="shared" si="47"/>
        <v>-0.4142857143</v>
      </c>
      <c r="N39" s="109">
        <f t="shared" si="41"/>
        <v>228.072</v>
      </c>
      <c r="O39" s="112">
        <v>250.0</v>
      </c>
      <c r="P39" s="109">
        <f t="shared" si="42"/>
        <v>-21.928</v>
      </c>
      <c r="R39" s="115" t="s">
        <v>12</v>
      </c>
    </row>
    <row r="40" hidden="1" outlineLevel="1">
      <c r="A40" s="105">
        <v>45994.0</v>
      </c>
      <c r="B40" s="106">
        <v>14.0</v>
      </c>
      <c r="C40" s="107">
        <v>20.0</v>
      </c>
      <c r="D40" s="107">
        <f t="shared" si="44"/>
        <v>-6</v>
      </c>
      <c r="E40" s="106">
        <v>10.0</v>
      </c>
      <c r="F40" s="107">
        <v>13.0</v>
      </c>
      <c r="G40" s="107">
        <f t="shared" si="45"/>
        <v>-3</v>
      </c>
      <c r="H40" s="108">
        <v>2159.59</v>
      </c>
      <c r="I40" s="109">
        <v>3250.0</v>
      </c>
      <c r="J40" s="109">
        <f t="shared" si="46"/>
        <v>-1090.41</v>
      </c>
      <c r="K40" s="110">
        <f t="shared" si="39"/>
        <v>0.7142857143</v>
      </c>
      <c r="L40" s="111">
        <v>0.3</v>
      </c>
      <c r="M40" s="111">
        <f t="shared" si="47"/>
        <v>-0.4142857143</v>
      </c>
      <c r="N40" s="109">
        <f t="shared" si="41"/>
        <v>215.959</v>
      </c>
      <c r="O40" s="112">
        <v>250.0</v>
      </c>
      <c r="P40" s="109">
        <f t="shared" si="42"/>
        <v>-34.041</v>
      </c>
      <c r="R40" s="113" t="s">
        <v>8</v>
      </c>
      <c r="S40" s="116">
        <v>65000.0</v>
      </c>
      <c r="T40" s="118">
        <f>S40-S43</f>
        <v>17319.29</v>
      </c>
    </row>
    <row r="41" hidden="1" outlineLevel="1">
      <c r="A41" s="105">
        <v>45995.0</v>
      </c>
      <c r="B41" s="106">
        <v>13.0</v>
      </c>
      <c r="C41" s="107">
        <v>20.0</v>
      </c>
      <c r="D41" s="107">
        <f t="shared" si="44"/>
        <v>-7</v>
      </c>
      <c r="E41" s="106">
        <v>5.0</v>
      </c>
      <c r="F41" s="107">
        <v>13.0</v>
      </c>
      <c r="G41" s="107">
        <f t="shared" si="45"/>
        <v>-8</v>
      </c>
      <c r="H41" s="108">
        <v>1409.2</v>
      </c>
      <c r="I41" s="109">
        <v>3250.0</v>
      </c>
      <c r="J41" s="109">
        <f t="shared" si="46"/>
        <v>-1840.8</v>
      </c>
      <c r="K41" s="110">
        <f t="shared" si="39"/>
        <v>0.3846153846</v>
      </c>
      <c r="L41" s="111">
        <v>0.3</v>
      </c>
      <c r="M41" s="111">
        <f t="shared" si="47"/>
        <v>-0.08461538462</v>
      </c>
      <c r="N41" s="109">
        <f t="shared" si="41"/>
        <v>281.84</v>
      </c>
      <c r="O41" s="112">
        <v>250.0</v>
      </c>
      <c r="P41" s="109">
        <f t="shared" si="42"/>
        <v>31.84</v>
      </c>
      <c r="R41" s="113" t="s">
        <v>45</v>
      </c>
      <c r="S41" s="117">
        <f>S40/30</f>
        <v>2166.666667</v>
      </c>
    </row>
    <row r="42" hidden="1" outlineLevel="1">
      <c r="A42" s="105">
        <v>45996.0</v>
      </c>
      <c r="B42" s="106">
        <v>8.0</v>
      </c>
      <c r="C42" s="107">
        <v>20.0</v>
      </c>
      <c r="D42" s="107">
        <f t="shared" si="44"/>
        <v>-12</v>
      </c>
      <c r="E42" s="106">
        <v>6.0</v>
      </c>
      <c r="F42" s="107">
        <v>13.0</v>
      </c>
      <c r="G42" s="107">
        <f t="shared" si="45"/>
        <v>-7</v>
      </c>
      <c r="H42" s="108">
        <v>1802.35</v>
      </c>
      <c r="I42" s="109">
        <v>3250.0</v>
      </c>
      <c r="J42" s="109">
        <f t="shared" si="46"/>
        <v>-1447.65</v>
      </c>
      <c r="K42" s="110">
        <f t="shared" si="39"/>
        <v>0.75</v>
      </c>
      <c r="L42" s="111">
        <v>0.3</v>
      </c>
      <c r="M42" s="111">
        <f t="shared" si="47"/>
        <v>-0.45</v>
      </c>
      <c r="N42" s="109">
        <f t="shared" si="41"/>
        <v>300.3916667</v>
      </c>
      <c r="O42" s="112">
        <v>250.0</v>
      </c>
      <c r="P42" s="109">
        <f t="shared" si="42"/>
        <v>50.39166667</v>
      </c>
      <c r="R42" s="113" t="s">
        <v>46</v>
      </c>
      <c r="S42" s="117">
        <f>S40/20</f>
        <v>3250</v>
      </c>
    </row>
    <row r="43" hidden="1" outlineLevel="1">
      <c r="A43" s="105">
        <v>45997.0</v>
      </c>
      <c r="B43" s="106">
        <v>3.0</v>
      </c>
      <c r="C43" s="107">
        <v>20.0</v>
      </c>
      <c r="D43" s="107">
        <f t="shared" si="44"/>
        <v>-17</v>
      </c>
      <c r="E43" s="106">
        <v>0.0</v>
      </c>
      <c r="F43" s="107">
        <v>13.0</v>
      </c>
      <c r="G43" s="107">
        <f t="shared" si="45"/>
        <v>-13</v>
      </c>
      <c r="H43" s="108">
        <v>0.0</v>
      </c>
      <c r="I43" s="109">
        <v>3250.0</v>
      </c>
      <c r="J43" s="109">
        <f t="shared" si="46"/>
        <v>-3250</v>
      </c>
      <c r="K43" s="110">
        <f t="shared" si="39"/>
        <v>0</v>
      </c>
      <c r="L43" s="111">
        <v>0.3</v>
      </c>
      <c r="M43" s="111">
        <f t="shared" si="47"/>
        <v>0.3</v>
      </c>
      <c r="N43" s="109" t="str">
        <f t="shared" si="41"/>
        <v/>
      </c>
      <c r="O43" s="112">
        <v>250.0</v>
      </c>
      <c r="P43" s="109">
        <f t="shared" si="42"/>
        <v>-250</v>
      </c>
      <c r="R43" s="113" t="s">
        <v>7</v>
      </c>
      <c r="S43" s="117">
        <f>H37</f>
        <v>47680.71</v>
      </c>
    </row>
    <row r="44" hidden="1" outlineLevel="1">
      <c r="A44" s="105">
        <v>45998.0</v>
      </c>
      <c r="B44" s="106"/>
      <c r="C44" s="107"/>
      <c r="D44" s="107"/>
      <c r="E44" s="106"/>
      <c r="F44" s="107"/>
      <c r="G44" s="107"/>
      <c r="H44" s="108"/>
      <c r="I44" s="109"/>
      <c r="J44" s="109"/>
      <c r="K44" s="110"/>
      <c r="L44" s="111"/>
      <c r="M44" s="114"/>
      <c r="N44" s="109"/>
      <c r="O44" s="112"/>
      <c r="P44" s="114"/>
      <c r="R44" s="113" t="s">
        <v>47</v>
      </c>
      <c r="S44" s="119">
        <f>S43/S40</f>
        <v>0.7335493846</v>
      </c>
    </row>
    <row r="45" hidden="1" outlineLevel="1">
      <c r="A45" s="105">
        <v>45999.0</v>
      </c>
      <c r="B45" s="106">
        <v>14.0</v>
      </c>
      <c r="C45" s="107">
        <v>20.0</v>
      </c>
      <c r="D45" s="107">
        <f t="shared" ref="D45:D50" si="48">B45-C45</f>
        <v>-6</v>
      </c>
      <c r="E45" s="106">
        <v>6.0</v>
      </c>
      <c r="F45" s="107">
        <v>13.0</v>
      </c>
      <c r="G45" s="107">
        <f t="shared" ref="G45:G50" si="49">E45-F45</f>
        <v>-7</v>
      </c>
      <c r="H45" s="108">
        <v>770.47</v>
      </c>
      <c r="I45" s="109">
        <v>3250.0</v>
      </c>
      <c r="J45" s="109">
        <f t="shared" ref="J45:J50" si="50">H45-I45</f>
        <v>-2479.53</v>
      </c>
      <c r="K45" s="110">
        <f t="shared" ref="K45:K50" si="51">E45/B45</f>
        <v>0.4285714286</v>
      </c>
      <c r="L45" s="111">
        <v>0.3</v>
      </c>
      <c r="M45" s="111">
        <f t="shared" ref="M45:M50" si="52">L45-K45</f>
        <v>-0.1285714286</v>
      </c>
      <c r="N45" s="109">
        <f t="shared" ref="N45:N50" si="53">IFERROR(H45/E45,"")</f>
        <v>128.4116667</v>
      </c>
      <c r="O45" s="112">
        <v>250.0</v>
      </c>
      <c r="P45" s="109">
        <f t="shared" ref="P45:P50" si="54">N45-O45</f>
        <v>-121.5883333</v>
      </c>
      <c r="R45" s="113" t="s">
        <v>48</v>
      </c>
      <c r="S45" s="120">
        <v>4.0</v>
      </c>
    </row>
    <row r="46" hidden="1" outlineLevel="1">
      <c r="A46" s="105">
        <v>46000.0</v>
      </c>
      <c r="B46" s="106">
        <v>20.0</v>
      </c>
      <c r="C46" s="107">
        <v>20.0</v>
      </c>
      <c r="D46" s="107">
        <f t="shared" si="48"/>
        <v>0</v>
      </c>
      <c r="E46" s="106">
        <v>14.0</v>
      </c>
      <c r="F46" s="107">
        <v>13.0</v>
      </c>
      <c r="G46" s="107">
        <f t="shared" si="49"/>
        <v>1</v>
      </c>
      <c r="H46" s="108">
        <v>3439.51</v>
      </c>
      <c r="I46" s="109">
        <v>3250.0</v>
      </c>
      <c r="J46" s="109">
        <f t="shared" si="50"/>
        <v>189.51</v>
      </c>
      <c r="K46" s="110">
        <f t="shared" si="51"/>
        <v>0.7</v>
      </c>
      <c r="L46" s="111">
        <v>0.3</v>
      </c>
      <c r="M46" s="111">
        <f t="shared" si="52"/>
        <v>-0.4</v>
      </c>
      <c r="N46" s="109">
        <f t="shared" si="53"/>
        <v>245.6792857</v>
      </c>
      <c r="O46" s="112">
        <v>250.0</v>
      </c>
      <c r="P46" s="109">
        <f t="shared" si="54"/>
        <v>-4.320714286</v>
      </c>
      <c r="R46" s="113" t="s">
        <v>49</v>
      </c>
      <c r="S46" s="121">
        <f>(S40-S43)/S45</f>
        <v>4329.8225</v>
      </c>
    </row>
    <row r="47" hidden="1" outlineLevel="1">
      <c r="A47" s="105">
        <v>46001.0</v>
      </c>
      <c r="B47" s="106">
        <v>16.0</v>
      </c>
      <c r="C47" s="107">
        <v>20.0</v>
      </c>
      <c r="D47" s="107">
        <f t="shared" si="48"/>
        <v>-4</v>
      </c>
      <c r="E47" s="106">
        <v>11.0</v>
      </c>
      <c r="F47" s="107">
        <v>13.0</v>
      </c>
      <c r="G47" s="107">
        <f t="shared" si="49"/>
        <v>-2</v>
      </c>
      <c r="H47" s="108">
        <v>2291.5</v>
      </c>
      <c r="I47" s="109">
        <v>3250.0</v>
      </c>
      <c r="J47" s="109">
        <f t="shared" si="50"/>
        <v>-958.5</v>
      </c>
      <c r="K47" s="110">
        <f t="shared" si="51"/>
        <v>0.6875</v>
      </c>
      <c r="L47" s="111">
        <v>0.3</v>
      </c>
      <c r="M47" s="111">
        <f t="shared" si="52"/>
        <v>-0.3875</v>
      </c>
      <c r="N47" s="109">
        <f t="shared" si="53"/>
        <v>208.3181818</v>
      </c>
      <c r="O47" s="112">
        <v>250.0</v>
      </c>
      <c r="P47" s="109">
        <f t="shared" si="54"/>
        <v>-41.68181818</v>
      </c>
      <c r="R47" s="113" t="s">
        <v>50</v>
      </c>
      <c r="S47" s="122">
        <f>N37</f>
        <v>232.5888293</v>
      </c>
    </row>
    <row r="48" hidden="1" outlineLevel="1">
      <c r="A48" s="105">
        <v>46002.0</v>
      </c>
      <c r="B48" s="106">
        <v>21.0</v>
      </c>
      <c r="C48" s="107">
        <v>20.0</v>
      </c>
      <c r="D48" s="107">
        <f t="shared" si="48"/>
        <v>1</v>
      </c>
      <c r="E48" s="106">
        <v>18.0</v>
      </c>
      <c r="F48" s="107">
        <v>13.0</v>
      </c>
      <c r="G48" s="107">
        <f t="shared" si="49"/>
        <v>5</v>
      </c>
      <c r="H48" s="108">
        <v>3182.34</v>
      </c>
      <c r="I48" s="109">
        <v>3250.0</v>
      </c>
      <c r="J48" s="109">
        <f t="shared" si="50"/>
        <v>-67.66</v>
      </c>
      <c r="K48" s="110">
        <f t="shared" si="51"/>
        <v>0.8571428571</v>
      </c>
      <c r="L48" s="111">
        <v>0.3</v>
      </c>
      <c r="M48" s="111">
        <f t="shared" si="52"/>
        <v>-0.5571428571</v>
      </c>
      <c r="N48" s="109">
        <f t="shared" si="53"/>
        <v>176.7966667</v>
      </c>
      <c r="O48" s="112">
        <v>250.0</v>
      </c>
      <c r="P48" s="109">
        <f t="shared" si="54"/>
        <v>-73.20333333</v>
      </c>
      <c r="R48" s="113" t="s">
        <v>51</v>
      </c>
      <c r="S48" s="128">
        <f>B37</f>
        <v>255</v>
      </c>
    </row>
    <row r="49" hidden="1" outlineLevel="1">
      <c r="A49" s="105">
        <v>46003.0</v>
      </c>
      <c r="B49" s="106">
        <v>17.0</v>
      </c>
      <c r="C49" s="107">
        <v>20.0</v>
      </c>
      <c r="D49" s="107">
        <f t="shared" si="48"/>
        <v>-3</v>
      </c>
      <c r="E49" s="106">
        <v>16.0</v>
      </c>
      <c r="F49" s="107">
        <v>13.0</v>
      </c>
      <c r="G49" s="107">
        <f t="shared" si="49"/>
        <v>3</v>
      </c>
      <c r="H49" s="108">
        <v>5094.3</v>
      </c>
      <c r="I49" s="109">
        <v>3250.0</v>
      </c>
      <c r="J49" s="109">
        <f t="shared" si="50"/>
        <v>1844.3</v>
      </c>
      <c r="K49" s="110">
        <f t="shared" si="51"/>
        <v>0.9411764706</v>
      </c>
      <c r="L49" s="111">
        <v>0.3</v>
      </c>
      <c r="M49" s="111">
        <f t="shared" si="52"/>
        <v>-0.6411764706</v>
      </c>
      <c r="N49" s="109">
        <f t="shared" si="53"/>
        <v>318.39375</v>
      </c>
      <c r="O49" s="112">
        <v>250.0</v>
      </c>
      <c r="P49" s="109">
        <f t="shared" si="54"/>
        <v>68.39375</v>
      </c>
      <c r="R49" s="113" t="s">
        <v>52</v>
      </c>
      <c r="S49" s="128">
        <f>E37</f>
        <v>205</v>
      </c>
    </row>
    <row r="50" hidden="1" outlineLevel="1">
      <c r="A50" s="105">
        <v>46004.0</v>
      </c>
      <c r="B50" s="106">
        <v>0.0</v>
      </c>
      <c r="C50" s="107">
        <v>20.0</v>
      </c>
      <c r="D50" s="107">
        <f t="shared" si="48"/>
        <v>-20</v>
      </c>
      <c r="E50" s="106">
        <v>3.0</v>
      </c>
      <c r="F50" s="107">
        <v>13.0</v>
      </c>
      <c r="G50" s="107">
        <f t="shared" si="49"/>
        <v>-10</v>
      </c>
      <c r="H50" s="108">
        <v>548.37</v>
      </c>
      <c r="I50" s="109">
        <v>3250.0</v>
      </c>
      <c r="J50" s="109">
        <f t="shared" si="50"/>
        <v>-2701.63</v>
      </c>
      <c r="K50" s="110" t="str">
        <f t="shared" si="51"/>
        <v>#DIV/0!</v>
      </c>
      <c r="L50" s="111">
        <v>0.3</v>
      </c>
      <c r="M50" s="114" t="str">
        <f t="shared" si="52"/>
        <v>#DIV/0!</v>
      </c>
      <c r="N50" s="109">
        <f t="shared" si="53"/>
        <v>182.79</v>
      </c>
      <c r="O50" s="112">
        <v>250.0</v>
      </c>
      <c r="P50" s="109">
        <f t="shared" si="54"/>
        <v>-67.21</v>
      </c>
      <c r="R50" s="113" t="s">
        <v>4</v>
      </c>
      <c r="S50" s="119">
        <f>E37/B37</f>
        <v>0.8039215686</v>
      </c>
    </row>
    <row r="51" hidden="1" outlineLevel="1">
      <c r="A51" s="105">
        <v>46005.0</v>
      </c>
      <c r="B51" s="106"/>
      <c r="C51" s="107"/>
      <c r="D51" s="107"/>
      <c r="E51" s="106"/>
      <c r="F51" s="107"/>
      <c r="G51" s="107"/>
      <c r="H51" s="108"/>
      <c r="I51" s="109"/>
      <c r="J51" s="109"/>
      <c r="K51" s="110"/>
      <c r="L51" s="111"/>
      <c r="M51" s="114"/>
      <c r="N51" s="109"/>
      <c r="O51" s="112"/>
      <c r="P51" s="114"/>
    </row>
    <row r="52" hidden="1" outlineLevel="1">
      <c r="A52" s="105">
        <v>46006.0</v>
      </c>
      <c r="B52" s="106">
        <v>17.0</v>
      </c>
      <c r="C52" s="107">
        <v>20.0</v>
      </c>
      <c r="D52" s="107">
        <f t="shared" ref="D52:D57" si="55">B52-C52</f>
        <v>-3</v>
      </c>
      <c r="E52" s="106">
        <v>14.0</v>
      </c>
      <c r="F52" s="107">
        <v>13.0</v>
      </c>
      <c r="G52" s="107">
        <f t="shared" ref="G52:G57" si="56">E52-F52</f>
        <v>1</v>
      </c>
      <c r="H52" s="108">
        <v>2590.26</v>
      </c>
      <c r="I52" s="109">
        <v>3250.0</v>
      </c>
      <c r="J52" s="109">
        <f t="shared" ref="J52:J57" si="57">H52-I52</f>
        <v>-659.74</v>
      </c>
      <c r="K52" s="110">
        <f t="shared" ref="K52:K57" si="58">E52/B52</f>
        <v>0.8235294118</v>
      </c>
      <c r="L52" s="111">
        <v>0.3</v>
      </c>
      <c r="M52" s="111">
        <f t="shared" ref="M52:M57" si="59">L52-K52</f>
        <v>-0.5235294118</v>
      </c>
      <c r="N52" s="109">
        <f t="shared" ref="N52:N57" si="60">IFERROR(H52/E52,"")</f>
        <v>185.0185714</v>
      </c>
      <c r="O52" s="112">
        <v>250.0</v>
      </c>
      <c r="P52" s="109">
        <f t="shared" ref="P52:P57" si="61">N52-O52</f>
        <v>-64.98142857</v>
      </c>
    </row>
    <row r="53" hidden="1" outlineLevel="1">
      <c r="A53" s="105">
        <v>46007.0</v>
      </c>
      <c r="B53" s="106">
        <v>9.0</v>
      </c>
      <c r="C53" s="107">
        <v>20.0</v>
      </c>
      <c r="D53" s="107">
        <f t="shared" si="55"/>
        <v>-11</v>
      </c>
      <c r="E53" s="106">
        <v>14.0</v>
      </c>
      <c r="F53" s="107">
        <v>13.0</v>
      </c>
      <c r="G53" s="107">
        <f t="shared" si="56"/>
        <v>1</v>
      </c>
      <c r="H53" s="108">
        <v>3143.37</v>
      </c>
      <c r="I53" s="109">
        <v>3250.0</v>
      </c>
      <c r="J53" s="109">
        <f t="shared" si="57"/>
        <v>-106.63</v>
      </c>
      <c r="K53" s="110">
        <f t="shared" si="58"/>
        <v>1.555555556</v>
      </c>
      <c r="L53" s="111">
        <v>0.3</v>
      </c>
      <c r="M53" s="111">
        <f t="shared" si="59"/>
        <v>-1.255555556</v>
      </c>
      <c r="N53" s="109">
        <f t="shared" si="60"/>
        <v>224.5264286</v>
      </c>
      <c r="O53" s="112">
        <v>250.0</v>
      </c>
      <c r="P53" s="109">
        <f t="shared" si="61"/>
        <v>-25.47357143</v>
      </c>
    </row>
    <row r="54" hidden="1" outlineLevel="1">
      <c r="A54" s="105">
        <v>46008.0</v>
      </c>
      <c r="B54" s="106">
        <v>16.0</v>
      </c>
      <c r="C54" s="107">
        <v>20.0</v>
      </c>
      <c r="D54" s="107">
        <f t="shared" si="55"/>
        <v>-4</v>
      </c>
      <c r="E54" s="106">
        <v>19.0</v>
      </c>
      <c r="F54" s="107">
        <v>13.0</v>
      </c>
      <c r="G54" s="107">
        <f t="shared" si="56"/>
        <v>6</v>
      </c>
      <c r="H54" s="108">
        <v>3749.91</v>
      </c>
      <c r="I54" s="109">
        <v>3250.0</v>
      </c>
      <c r="J54" s="109">
        <f t="shared" si="57"/>
        <v>499.91</v>
      </c>
      <c r="K54" s="110">
        <f t="shared" si="58"/>
        <v>1.1875</v>
      </c>
      <c r="L54" s="111">
        <v>0.3</v>
      </c>
      <c r="M54" s="111">
        <f t="shared" si="59"/>
        <v>-0.8875</v>
      </c>
      <c r="N54" s="109">
        <f t="shared" si="60"/>
        <v>197.3636842</v>
      </c>
      <c r="O54" s="112">
        <v>250.0</v>
      </c>
      <c r="P54" s="109">
        <f t="shared" si="61"/>
        <v>-52.63631579</v>
      </c>
    </row>
    <row r="55" hidden="1" outlineLevel="1">
      <c r="A55" s="105">
        <v>46009.0</v>
      </c>
      <c r="B55" s="106">
        <v>11.0</v>
      </c>
      <c r="C55" s="107">
        <v>20.0</v>
      </c>
      <c r="D55" s="107">
        <f t="shared" si="55"/>
        <v>-9</v>
      </c>
      <c r="E55" s="106">
        <v>16.0</v>
      </c>
      <c r="F55" s="107">
        <v>13.0</v>
      </c>
      <c r="G55" s="107">
        <f t="shared" si="56"/>
        <v>3</v>
      </c>
      <c r="H55" s="108">
        <v>4276.66</v>
      </c>
      <c r="I55" s="109">
        <v>3250.0</v>
      </c>
      <c r="J55" s="109">
        <f t="shared" si="57"/>
        <v>1026.66</v>
      </c>
      <c r="K55" s="110">
        <f t="shared" si="58"/>
        <v>1.454545455</v>
      </c>
      <c r="L55" s="111">
        <v>0.3</v>
      </c>
      <c r="M55" s="111">
        <f t="shared" si="59"/>
        <v>-1.154545455</v>
      </c>
      <c r="N55" s="109">
        <f t="shared" si="60"/>
        <v>267.29125</v>
      </c>
      <c r="O55" s="112">
        <v>250.0</v>
      </c>
      <c r="P55" s="109">
        <f t="shared" si="61"/>
        <v>17.29125</v>
      </c>
      <c r="S55" s="94"/>
    </row>
    <row r="56" hidden="1" outlineLevel="1">
      <c r="A56" s="105">
        <v>46010.0</v>
      </c>
      <c r="B56" s="106">
        <v>12.0</v>
      </c>
      <c r="C56" s="107">
        <v>20.0</v>
      </c>
      <c r="D56" s="107">
        <f t="shared" si="55"/>
        <v>-8</v>
      </c>
      <c r="E56" s="106">
        <v>10.0</v>
      </c>
      <c r="F56" s="107">
        <v>13.0</v>
      </c>
      <c r="G56" s="107">
        <f t="shared" si="56"/>
        <v>-3</v>
      </c>
      <c r="H56" s="108">
        <v>1669.49</v>
      </c>
      <c r="I56" s="109">
        <v>3250.0</v>
      </c>
      <c r="J56" s="109">
        <f t="shared" si="57"/>
        <v>-1580.51</v>
      </c>
      <c r="K56" s="110">
        <f t="shared" si="58"/>
        <v>0.8333333333</v>
      </c>
      <c r="L56" s="111">
        <v>0.3</v>
      </c>
      <c r="M56" s="111">
        <f t="shared" si="59"/>
        <v>-0.5333333333</v>
      </c>
      <c r="N56" s="109">
        <f t="shared" si="60"/>
        <v>166.949</v>
      </c>
      <c r="O56" s="112">
        <v>250.0</v>
      </c>
      <c r="P56" s="109">
        <f t="shared" si="61"/>
        <v>-83.051</v>
      </c>
      <c r="S56" s="94"/>
    </row>
    <row r="57" hidden="1" outlineLevel="1">
      <c r="A57" s="105">
        <v>46011.0</v>
      </c>
      <c r="B57" s="106">
        <v>17.0</v>
      </c>
      <c r="C57" s="107">
        <v>20.0</v>
      </c>
      <c r="D57" s="107">
        <f t="shared" si="55"/>
        <v>-3</v>
      </c>
      <c r="E57" s="106">
        <v>5.0</v>
      </c>
      <c r="F57" s="107">
        <v>13.0</v>
      </c>
      <c r="G57" s="107">
        <f t="shared" si="56"/>
        <v>-8</v>
      </c>
      <c r="H57" s="108">
        <v>1332.97</v>
      </c>
      <c r="I57" s="109">
        <v>3250.0</v>
      </c>
      <c r="J57" s="109">
        <f t="shared" si="57"/>
        <v>-1917.03</v>
      </c>
      <c r="K57" s="110">
        <f t="shared" si="58"/>
        <v>0.2941176471</v>
      </c>
      <c r="L57" s="111">
        <v>0.3</v>
      </c>
      <c r="M57" s="111">
        <f t="shared" si="59"/>
        <v>0.005882352941</v>
      </c>
      <c r="N57" s="109">
        <f t="shared" si="60"/>
        <v>266.594</v>
      </c>
      <c r="O57" s="112">
        <v>250.0</v>
      </c>
      <c r="P57" s="109">
        <f t="shared" si="61"/>
        <v>16.594</v>
      </c>
      <c r="S57" s="94"/>
    </row>
    <row r="58" hidden="1" outlineLevel="1">
      <c r="A58" s="105">
        <v>46012.0</v>
      </c>
      <c r="B58" s="106"/>
      <c r="C58" s="107"/>
      <c r="D58" s="107"/>
      <c r="E58" s="106"/>
      <c r="F58" s="107"/>
      <c r="G58" s="107"/>
      <c r="H58" s="108"/>
      <c r="I58" s="109"/>
      <c r="J58" s="109"/>
      <c r="K58" s="110"/>
      <c r="L58" s="111"/>
      <c r="M58" s="114"/>
      <c r="N58" s="109"/>
      <c r="O58" s="112"/>
      <c r="P58" s="114"/>
      <c r="S58" s="94"/>
    </row>
    <row r="59" hidden="1" outlineLevel="1">
      <c r="A59" s="105">
        <v>46013.0</v>
      </c>
      <c r="B59" s="106">
        <v>12.0</v>
      </c>
      <c r="C59" s="107">
        <v>20.0</v>
      </c>
      <c r="D59" s="107">
        <f t="shared" ref="D59:D64" si="62">B59-C59</f>
        <v>-8</v>
      </c>
      <c r="E59" s="106">
        <v>13.0</v>
      </c>
      <c r="F59" s="107">
        <v>13.0</v>
      </c>
      <c r="G59" s="107">
        <f t="shared" ref="G59:G64" si="63">E59-F59</f>
        <v>0</v>
      </c>
      <c r="H59" s="108">
        <v>4957.37</v>
      </c>
      <c r="I59" s="109">
        <v>3250.0</v>
      </c>
      <c r="J59" s="109">
        <f t="shared" ref="J59:J64" si="64">H59-I59</f>
        <v>1707.37</v>
      </c>
      <c r="K59" s="110">
        <f t="shared" ref="K59:K64" si="65">E59/B59</f>
        <v>1.083333333</v>
      </c>
      <c r="L59" s="111">
        <v>0.3</v>
      </c>
      <c r="M59" s="111">
        <f t="shared" ref="M59:M64" si="66">L59-K59</f>
        <v>-0.7833333333</v>
      </c>
      <c r="N59" s="109">
        <f t="shared" ref="N59:N64" si="67">IFERROR(H59/E59,"")</f>
        <v>381.3361538</v>
      </c>
      <c r="O59" s="112">
        <v>250.0</v>
      </c>
      <c r="P59" s="109">
        <f t="shared" ref="P59:P64" si="68">N59-O59</f>
        <v>131.3361538</v>
      </c>
      <c r="S59" s="94"/>
    </row>
    <row r="60" hidden="1" outlineLevel="1">
      <c r="A60" s="105">
        <v>46014.0</v>
      </c>
      <c r="B60" s="106">
        <v>0.0</v>
      </c>
      <c r="C60" s="107">
        <v>20.0</v>
      </c>
      <c r="D60" s="107">
        <f t="shared" si="62"/>
        <v>-20</v>
      </c>
      <c r="E60" s="106">
        <v>0.0</v>
      </c>
      <c r="F60" s="107">
        <v>13.0</v>
      </c>
      <c r="G60" s="107">
        <f t="shared" si="63"/>
        <v>-13</v>
      </c>
      <c r="H60" s="108">
        <v>0.0</v>
      </c>
      <c r="I60" s="109">
        <v>3250.0</v>
      </c>
      <c r="J60" s="109">
        <f t="shared" si="64"/>
        <v>-3250</v>
      </c>
      <c r="K60" s="110" t="str">
        <f t="shared" si="65"/>
        <v>#DIV/0!</v>
      </c>
      <c r="L60" s="111">
        <v>0.3</v>
      </c>
      <c r="M60" s="114" t="str">
        <f t="shared" si="66"/>
        <v>#DIV/0!</v>
      </c>
      <c r="N60" s="109" t="str">
        <f t="shared" si="67"/>
        <v/>
      </c>
      <c r="O60" s="112">
        <v>250.0</v>
      </c>
      <c r="P60" s="109">
        <f t="shared" si="68"/>
        <v>-250</v>
      </c>
      <c r="S60" s="94"/>
    </row>
    <row r="61" hidden="1" outlineLevel="1">
      <c r="A61" s="144">
        <v>46015.0</v>
      </c>
      <c r="B61" s="145">
        <v>0.0</v>
      </c>
      <c r="C61" s="145">
        <v>0.0</v>
      </c>
      <c r="D61" s="145">
        <f t="shared" si="62"/>
        <v>0</v>
      </c>
      <c r="E61" s="145">
        <v>0.0</v>
      </c>
      <c r="F61" s="145">
        <v>0.0</v>
      </c>
      <c r="G61" s="145">
        <f t="shared" si="63"/>
        <v>0</v>
      </c>
      <c r="H61" s="146">
        <v>0.0</v>
      </c>
      <c r="I61" s="146">
        <v>0.0</v>
      </c>
      <c r="J61" s="146">
        <f t="shared" si="64"/>
        <v>0</v>
      </c>
      <c r="K61" s="147" t="str">
        <f t="shared" si="65"/>
        <v>#DIV/0!</v>
      </c>
      <c r="L61" s="148">
        <v>0.3</v>
      </c>
      <c r="M61" s="149" t="str">
        <f t="shared" si="66"/>
        <v>#DIV/0!</v>
      </c>
      <c r="N61" s="146" t="str">
        <f t="shared" si="67"/>
        <v/>
      </c>
      <c r="O61" s="150">
        <v>250.0</v>
      </c>
      <c r="P61" s="146">
        <f t="shared" si="68"/>
        <v>-250</v>
      </c>
      <c r="S61" s="94"/>
    </row>
    <row r="62" hidden="1" outlineLevel="1">
      <c r="A62" s="151">
        <v>46016.0</v>
      </c>
      <c r="B62" s="152">
        <v>0.0</v>
      </c>
      <c r="C62" s="152">
        <v>0.0</v>
      </c>
      <c r="D62" s="152">
        <f t="shared" si="62"/>
        <v>0</v>
      </c>
      <c r="E62" s="152">
        <v>0.0</v>
      </c>
      <c r="F62" s="152">
        <v>0.0</v>
      </c>
      <c r="G62" s="152">
        <f t="shared" si="63"/>
        <v>0</v>
      </c>
      <c r="H62" s="153">
        <v>0.0</v>
      </c>
      <c r="I62" s="153">
        <v>0.0</v>
      </c>
      <c r="J62" s="153">
        <f t="shared" si="64"/>
        <v>0</v>
      </c>
      <c r="K62" s="154" t="str">
        <f t="shared" si="65"/>
        <v>#DIV/0!</v>
      </c>
      <c r="L62" s="155">
        <v>0.3</v>
      </c>
      <c r="M62" s="156" t="str">
        <f t="shared" si="66"/>
        <v>#DIV/0!</v>
      </c>
      <c r="N62" s="153" t="str">
        <f t="shared" si="67"/>
        <v/>
      </c>
      <c r="O62" s="157">
        <v>250.0</v>
      </c>
      <c r="P62" s="153">
        <f t="shared" si="68"/>
        <v>-250</v>
      </c>
      <c r="S62" s="94"/>
    </row>
    <row r="63" hidden="1" outlineLevel="1">
      <c r="A63" s="105">
        <v>46017.0</v>
      </c>
      <c r="B63" s="106">
        <v>0.0</v>
      </c>
      <c r="C63" s="107">
        <v>20.0</v>
      </c>
      <c r="D63" s="107">
        <f t="shared" si="62"/>
        <v>-20</v>
      </c>
      <c r="E63" s="106">
        <v>0.0</v>
      </c>
      <c r="F63" s="107">
        <v>13.0</v>
      </c>
      <c r="G63" s="107">
        <f t="shared" si="63"/>
        <v>-13</v>
      </c>
      <c r="H63" s="108">
        <v>0.0</v>
      </c>
      <c r="I63" s="109">
        <v>3250.0</v>
      </c>
      <c r="J63" s="109">
        <f t="shared" si="64"/>
        <v>-3250</v>
      </c>
      <c r="K63" s="110" t="str">
        <f t="shared" si="65"/>
        <v>#DIV/0!</v>
      </c>
      <c r="L63" s="111">
        <v>0.3</v>
      </c>
      <c r="M63" s="114" t="str">
        <f t="shared" si="66"/>
        <v>#DIV/0!</v>
      </c>
      <c r="N63" s="109" t="str">
        <f t="shared" si="67"/>
        <v/>
      </c>
      <c r="O63" s="112">
        <v>250.0</v>
      </c>
      <c r="P63" s="109">
        <f t="shared" si="68"/>
        <v>-250</v>
      </c>
      <c r="S63" s="94"/>
    </row>
    <row r="64" hidden="1" outlineLevel="1">
      <c r="A64" s="105">
        <v>46018.0</v>
      </c>
      <c r="B64" s="106">
        <v>0.0</v>
      </c>
      <c r="C64" s="107">
        <v>20.0</v>
      </c>
      <c r="D64" s="107">
        <f t="shared" si="62"/>
        <v>-20</v>
      </c>
      <c r="E64" s="106">
        <v>0.0</v>
      </c>
      <c r="F64" s="107">
        <v>13.0</v>
      </c>
      <c r="G64" s="107">
        <f t="shared" si="63"/>
        <v>-13</v>
      </c>
      <c r="H64" s="108">
        <v>0.0</v>
      </c>
      <c r="I64" s="109">
        <v>3250.0</v>
      </c>
      <c r="J64" s="109">
        <f t="shared" si="64"/>
        <v>-3250</v>
      </c>
      <c r="K64" s="110" t="str">
        <f t="shared" si="65"/>
        <v>#DIV/0!</v>
      </c>
      <c r="L64" s="111">
        <v>0.3</v>
      </c>
      <c r="M64" s="114" t="str">
        <f t="shared" si="66"/>
        <v>#DIV/0!</v>
      </c>
      <c r="N64" s="109" t="str">
        <f t="shared" si="67"/>
        <v/>
      </c>
      <c r="O64" s="112">
        <v>250.0</v>
      </c>
      <c r="P64" s="109">
        <f t="shared" si="68"/>
        <v>-250</v>
      </c>
      <c r="S64" s="94"/>
    </row>
    <row r="65" hidden="1" outlineLevel="1">
      <c r="A65" s="105">
        <v>46019.0</v>
      </c>
      <c r="B65" s="106"/>
      <c r="C65" s="107"/>
      <c r="D65" s="107"/>
      <c r="E65" s="106"/>
      <c r="F65" s="107"/>
      <c r="G65" s="107"/>
      <c r="H65" s="108"/>
      <c r="I65" s="109"/>
      <c r="J65" s="109"/>
      <c r="K65" s="110"/>
      <c r="L65" s="111"/>
      <c r="M65" s="114"/>
      <c r="N65" s="109"/>
      <c r="O65" s="112"/>
      <c r="P65" s="114"/>
      <c r="S65" s="94"/>
    </row>
    <row r="66" hidden="1" outlineLevel="1">
      <c r="A66" s="105">
        <v>46020.0</v>
      </c>
      <c r="B66" s="106">
        <v>0.0</v>
      </c>
      <c r="C66" s="107">
        <v>20.0</v>
      </c>
      <c r="D66" s="107">
        <f t="shared" ref="D66:D68" si="69">B66-C66</f>
        <v>-20</v>
      </c>
      <c r="E66" s="106">
        <v>0.0</v>
      </c>
      <c r="F66" s="107">
        <v>13.0</v>
      </c>
      <c r="G66" s="107">
        <f t="shared" ref="G66:G68" si="70">E66-F66</f>
        <v>-13</v>
      </c>
      <c r="H66" s="108">
        <v>0.0</v>
      </c>
      <c r="I66" s="109">
        <v>3250.0</v>
      </c>
      <c r="J66" s="109">
        <f t="shared" ref="J66:J68" si="71">H66-I66</f>
        <v>-3250</v>
      </c>
      <c r="K66" s="110" t="str">
        <f t="shared" ref="K66:K75" si="72">E66/B66</f>
        <v>#DIV/0!</v>
      </c>
      <c r="L66" s="111">
        <v>0.3</v>
      </c>
      <c r="M66" s="114" t="str">
        <f t="shared" ref="M66:M68" si="73">L66-K66</f>
        <v>#DIV/0!</v>
      </c>
      <c r="N66" s="109" t="str">
        <f t="shared" ref="N66:N75" si="74">IFERROR(H66/E66,"")</f>
        <v/>
      </c>
      <c r="O66" s="112">
        <v>250.0</v>
      </c>
      <c r="P66" s="109">
        <f t="shared" ref="P66:P75" si="75">N66-O66</f>
        <v>-250</v>
      </c>
      <c r="S66" s="94"/>
    </row>
    <row r="67" hidden="1" outlineLevel="1">
      <c r="A67" s="144">
        <v>46021.0</v>
      </c>
      <c r="B67" s="145">
        <v>0.0</v>
      </c>
      <c r="C67" s="145">
        <v>0.0</v>
      </c>
      <c r="D67" s="145">
        <f t="shared" si="69"/>
        <v>0</v>
      </c>
      <c r="E67" s="145">
        <v>0.0</v>
      </c>
      <c r="F67" s="145">
        <v>0.0</v>
      </c>
      <c r="G67" s="145">
        <f t="shared" si="70"/>
        <v>0</v>
      </c>
      <c r="H67" s="146">
        <v>0.0</v>
      </c>
      <c r="I67" s="146">
        <v>0.0</v>
      </c>
      <c r="J67" s="146">
        <f t="shared" si="71"/>
        <v>0</v>
      </c>
      <c r="K67" s="147" t="str">
        <f t="shared" si="72"/>
        <v>#DIV/0!</v>
      </c>
      <c r="L67" s="148">
        <v>0.3</v>
      </c>
      <c r="M67" s="149" t="str">
        <f t="shared" si="73"/>
        <v>#DIV/0!</v>
      </c>
      <c r="N67" s="146" t="str">
        <f t="shared" si="74"/>
        <v/>
      </c>
      <c r="O67" s="150">
        <v>250.0</v>
      </c>
      <c r="P67" s="146">
        <f t="shared" si="75"/>
        <v>-250</v>
      </c>
      <c r="S67" s="94"/>
    </row>
    <row r="68" hidden="1" outlineLevel="1">
      <c r="A68" s="151">
        <v>46022.0</v>
      </c>
      <c r="B68" s="152">
        <v>0.0</v>
      </c>
      <c r="C68" s="152">
        <v>0.0</v>
      </c>
      <c r="D68" s="152">
        <f t="shared" si="69"/>
        <v>0</v>
      </c>
      <c r="E68" s="152">
        <v>0.0</v>
      </c>
      <c r="F68" s="152">
        <v>0.0</v>
      </c>
      <c r="G68" s="152">
        <f t="shared" si="70"/>
        <v>0</v>
      </c>
      <c r="H68" s="153">
        <v>0.0</v>
      </c>
      <c r="I68" s="153">
        <v>0.0</v>
      </c>
      <c r="J68" s="153">
        <f t="shared" si="71"/>
        <v>0</v>
      </c>
      <c r="K68" s="154" t="str">
        <f t="shared" si="72"/>
        <v>#DIV/0!</v>
      </c>
      <c r="L68" s="155">
        <v>0.3</v>
      </c>
      <c r="M68" s="156" t="str">
        <f t="shared" si="73"/>
        <v>#DIV/0!</v>
      </c>
      <c r="N68" s="153" t="str">
        <f t="shared" si="74"/>
        <v/>
      </c>
      <c r="O68" s="157">
        <v>250.0</v>
      </c>
      <c r="P68" s="153">
        <f t="shared" si="75"/>
        <v>-250</v>
      </c>
      <c r="S68" s="94"/>
    </row>
    <row r="69" collapsed="1">
      <c r="A69" s="100" t="s">
        <v>55</v>
      </c>
      <c r="B69" s="100">
        <f t="shared" ref="B69:J69" si="76">SUM(B70:B99)</f>
        <v>49</v>
      </c>
      <c r="C69" s="100">
        <f t="shared" si="76"/>
        <v>828</v>
      </c>
      <c r="D69" s="100">
        <f t="shared" si="76"/>
        <v>-779</v>
      </c>
      <c r="E69" s="100">
        <f t="shared" si="76"/>
        <v>12</v>
      </c>
      <c r="F69" s="100">
        <f t="shared" si="76"/>
        <v>207</v>
      </c>
      <c r="G69" s="100">
        <f t="shared" si="76"/>
        <v>-195</v>
      </c>
      <c r="H69" s="101">
        <f t="shared" si="76"/>
        <v>4051.12</v>
      </c>
      <c r="I69" s="101">
        <f t="shared" si="76"/>
        <v>45000</v>
      </c>
      <c r="J69" s="102">
        <f t="shared" si="76"/>
        <v>-40948.88</v>
      </c>
      <c r="K69" s="103">
        <f t="shared" si="72"/>
        <v>0.2448979592</v>
      </c>
      <c r="L69" s="103">
        <v>0.3</v>
      </c>
      <c r="M69" s="103">
        <f>K69-L69</f>
        <v>-0.05510204082</v>
      </c>
      <c r="N69" s="102">
        <f t="shared" si="74"/>
        <v>337.5933333</v>
      </c>
      <c r="O69" s="104">
        <f>O70</f>
        <v>250</v>
      </c>
      <c r="P69" s="102">
        <f t="shared" si="75"/>
        <v>87.59333333</v>
      </c>
    </row>
    <row r="70" hidden="1" outlineLevel="1">
      <c r="A70" s="105">
        <v>45992.0</v>
      </c>
      <c r="B70" s="106">
        <v>11.0</v>
      </c>
      <c r="C70" s="107">
        <v>36.0</v>
      </c>
      <c r="D70" s="107">
        <f t="shared" ref="D70:D75" si="77">B70-C70</f>
        <v>-25</v>
      </c>
      <c r="E70" s="106">
        <v>5.0</v>
      </c>
      <c r="F70" s="107">
        <v>9.0</v>
      </c>
      <c r="G70" s="107">
        <f t="shared" ref="G70:G75" si="78">E70-F70</f>
        <v>-4</v>
      </c>
      <c r="H70" s="108">
        <v>1026.75</v>
      </c>
      <c r="I70" s="109">
        <v>2250.0</v>
      </c>
      <c r="J70" s="109">
        <f t="shared" ref="J70:J75" si="79">H70-I70</f>
        <v>-1223.25</v>
      </c>
      <c r="K70" s="110">
        <f t="shared" si="72"/>
        <v>0.4545454545</v>
      </c>
      <c r="L70" s="111">
        <v>0.3</v>
      </c>
      <c r="M70" s="111">
        <f t="shared" ref="M70:M75" si="80">L70-K70</f>
        <v>-0.1545454545</v>
      </c>
      <c r="N70" s="109">
        <f t="shared" si="74"/>
        <v>205.35</v>
      </c>
      <c r="O70" s="112">
        <v>250.0</v>
      </c>
      <c r="P70" s="109">
        <f t="shared" si="75"/>
        <v>-44.65</v>
      </c>
    </row>
    <row r="71" hidden="1" outlineLevel="1">
      <c r="A71" s="105">
        <v>45993.0</v>
      </c>
      <c r="B71" s="106">
        <v>10.0</v>
      </c>
      <c r="C71" s="107">
        <v>36.0</v>
      </c>
      <c r="D71" s="107">
        <f t="shared" si="77"/>
        <v>-26</v>
      </c>
      <c r="E71" s="106">
        <v>2.0</v>
      </c>
      <c r="F71" s="107">
        <v>9.0</v>
      </c>
      <c r="G71" s="107">
        <f t="shared" si="78"/>
        <v>-7</v>
      </c>
      <c r="H71" s="108">
        <v>1826.0</v>
      </c>
      <c r="I71" s="109">
        <v>2250.0</v>
      </c>
      <c r="J71" s="109">
        <f t="shared" si="79"/>
        <v>-424</v>
      </c>
      <c r="K71" s="110">
        <f t="shared" si="72"/>
        <v>0.2</v>
      </c>
      <c r="L71" s="111">
        <v>0.3</v>
      </c>
      <c r="M71" s="111">
        <f t="shared" si="80"/>
        <v>0.1</v>
      </c>
      <c r="N71" s="109">
        <f t="shared" si="74"/>
        <v>913</v>
      </c>
      <c r="O71" s="112">
        <v>250.0</v>
      </c>
      <c r="P71" s="109">
        <f t="shared" si="75"/>
        <v>663</v>
      </c>
    </row>
    <row r="72" hidden="1" outlineLevel="1">
      <c r="A72" s="105">
        <v>45994.0</v>
      </c>
      <c r="B72" s="106">
        <v>8.0</v>
      </c>
      <c r="C72" s="107">
        <v>36.0</v>
      </c>
      <c r="D72" s="107">
        <f t="shared" si="77"/>
        <v>-28</v>
      </c>
      <c r="E72" s="106">
        <v>2.0</v>
      </c>
      <c r="F72" s="107">
        <v>9.0</v>
      </c>
      <c r="G72" s="107">
        <f t="shared" si="78"/>
        <v>-7</v>
      </c>
      <c r="H72" s="108">
        <v>258.93</v>
      </c>
      <c r="I72" s="109">
        <v>2250.0</v>
      </c>
      <c r="J72" s="109">
        <f t="shared" si="79"/>
        <v>-1991.07</v>
      </c>
      <c r="K72" s="110">
        <f t="shared" si="72"/>
        <v>0.25</v>
      </c>
      <c r="L72" s="111">
        <v>0.3</v>
      </c>
      <c r="M72" s="111">
        <f t="shared" si="80"/>
        <v>0.05</v>
      </c>
      <c r="N72" s="109">
        <f t="shared" si="74"/>
        <v>129.465</v>
      </c>
      <c r="O72" s="112">
        <v>250.0</v>
      </c>
      <c r="P72" s="109">
        <f t="shared" si="75"/>
        <v>-120.535</v>
      </c>
    </row>
    <row r="73" hidden="1" outlineLevel="1">
      <c r="A73" s="105">
        <v>45995.0</v>
      </c>
      <c r="B73" s="106">
        <v>13.0</v>
      </c>
      <c r="C73" s="107">
        <v>36.0</v>
      </c>
      <c r="D73" s="107">
        <f t="shared" si="77"/>
        <v>-23</v>
      </c>
      <c r="E73" s="106">
        <v>1.0</v>
      </c>
      <c r="F73" s="107">
        <v>9.0</v>
      </c>
      <c r="G73" s="107">
        <f t="shared" si="78"/>
        <v>-8</v>
      </c>
      <c r="H73" s="108">
        <v>311.96</v>
      </c>
      <c r="I73" s="109">
        <v>2250.0</v>
      </c>
      <c r="J73" s="109">
        <f t="shared" si="79"/>
        <v>-1938.04</v>
      </c>
      <c r="K73" s="110">
        <f t="shared" si="72"/>
        <v>0.07692307692</v>
      </c>
      <c r="L73" s="111">
        <v>0.3</v>
      </c>
      <c r="M73" s="111">
        <f t="shared" si="80"/>
        <v>0.2230769231</v>
      </c>
      <c r="N73" s="109">
        <f t="shared" si="74"/>
        <v>311.96</v>
      </c>
      <c r="O73" s="112">
        <v>250.0</v>
      </c>
      <c r="P73" s="109">
        <f t="shared" si="75"/>
        <v>61.96</v>
      </c>
    </row>
    <row r="74" hidden="1" outlineLevel="1">
      <c r="A74" s="105">
        <v>45996.0</v>
      </c>
      <c r="B74" s="106">
        <v>7.0</v>
      </c>
      <c r="C74" s="107">
        <v>36.0</v>
      </c>
      <c r="D74" s="107">
        <f t="shared" si="77"/>
        <v>-29</v>
      </c>
      <c r="E74" s="106">
        <v>2.0</v>
      </c>
      <c r="F74" s="107">
        <v>9.0</v>
      </c>
      <c r="G74" s="107">
        <f t="shared" si="78"/>
        <v>-7</v>
      </c>
      <c r="H74" s="108">
        <v>627.48</v>
      </c>
      <c r="I74" s="109">
        <v>2250.0</v>
      </c>
      <c r="J74" s="109">
        <f t="shared" si="79"/>
        <v>-1622.52</v>
      </c>
      <c r="K74" s="110">
        <f t="shared" si="72"/>
        <v>0.2857142857</v>
      </c>
      <c r="L74" s="111">
        <v>0.3</v>
      </c>
      <c r="M74" s="111">
        <f t="shared" si="80"/>
        <v>0.01428571429</v>
      </c>
      <c r="N74" s="109">
        <f t="shared" si="74"/>
        <v>313.74</v>
      </c>
      <c r="O74" s="112">
        <v>250.0</v>
      </c>
      <c r="P74" s="109">
        <f t="shared" si="75"/>
        <v>63.74</v>
      </c>
      <c r="R74" s="113" t="s">
        <v>57</v>
      </c>
      <c r="S74" s="94"/>
    </row>
    <row r="75" hidden="1" outlineLevel="1">
      <c r="A75" s="105">
        <v>45997.0</v>
      </c>
      <c r="B75" s="106">
        <v>0.0</v>
      </c>
      <c r="C75" s="107">
        <v>36.0</v>
      </c>
      <c r="D75" s="107">
        <f t="shared" si="77"/>
        <v>-36</v>
      </c>
      <c r="E75" s="106">
        <v>0.0</v>
      </c>
      <c r="F75" s="107">
        <v>9.0</v>
      </c>
      <c r="G75" s="107">
        <f t="shared" si="78"/>
        <v>-9</v>
      </c>
      <c r="H75" s="108">
        <v>0.0</v>
      </c>
      <c r="I75" s="109">
        <v>0.0</v>
      </c>
      <c r="J75" s="109">
        <f t="shared" si="79"/>
        <v>0</v>
      </c>
      <c r="K75" s="110" t="str">
        <f t="shared" si="72"/>
        <v>#DIV/0!</v>
      </c>
      <c r="L75" s="111">
        <v>0.3</v>
      </c>
      <c r="M75" s="114" t="str">
        <f t="shared" si="80"/>
        <v>#DIV/0!</v>
      </c>
      <c r="N75" s="109" t="str">
        <f t="shared" si="74"/>
        <v/>
      </c>
      <c r="O75" s="112">
        <v>250.0</v>
      </c>
      <c r="P75" s="109">
        <f t="shared" si="75"/>
        <v>-250</v>
      </c>
      <c r="R75" s="115" t="s">
        <v>15</v>
      </c>
    </row>
    <row r="76" hidden="1" outlineLevel="1">
      <c r="A76" s="105">
        <v>45998.0</v>
      </c>
      <c r="B76" s="106"/>
      <c r="C76" s="107"/>
      <c r="D76" s="107"/>
      <c r="E76" s="106"/>
      <c r="F76" s="107"/>
      <c r="G76" s="107"/>
      <c r="H76" s="108"/>
      <c r="I76" s="109"/>
      <c r="J76" s="109"/>
      <c r="K76" s="110"/>
      <c r="L76" s="111"/>
      <c r="M76" s="114"/>
      <c r="N76" s="109"/>
      <c r="O76" s="112"/>
      <c r="P76" s="114"/>
      <c r="R76" s="113" t="s">
        <v>8</v>
      </c>
      <c r="S76" s="116">
        <v>45000.0</v>
      </c>
      <c r="T76" s="118">
        <f>S76-S79</f>
        <v>40948.88</v>
      </c>
    </row>
    <row r="77" hidden="1" outlineLevel="1">
      <c r="A77" s="105">
        <v>45999.0</v>
      </c>
      <c r="B77" s="106">
        <v>0.0</v>
      </c>
      <c r="C77" s="107">
        <v>36.0</v>
      </c>
      <c r="D77" s="107">
        <f t="shared" ref="D77:D82" si="81">B77-C77</f>
        <v>-36</v>
      </c>
      <c r="E77" s="106">
        <v>0.0</v>
      </c>
      <c r="F77" s="107">
        <v>9.0</v>
      </c>
      <c r="G77" s="107">
        <f t="shared" ref="G77:G82" si="82">E77-F77</f>
        <v>-9</v>
      </c>
      <c r="H77" s="108">
        <v>0.0</v>
      </c>
      <c r="I77" s="109">
        <v>2250.0</v>
      </c>
      <c r="J77" s="109">
        <f t="shared" ref="J77:J82" si="83">H77-I77</f>
        <v>-2250</v>
      </c>
      <c r="K77" s="110" t="str">
        <f t="shared" ref="K77:K82" si="84">E77/B77</f>
        <v>#DIV/0!</v>
      </c>
      <c r="L77" s="111">
        <v>0.3</v>
      </c>
      <c r="M77" s="114" t="str">
        <f t="shared" ref="M77:M82" si="85">L77-K77</f>
        <v>#DIV/0!</v>
      </c>
      <c r="N77" s="109" t="str">
        <f t="shared" ref="N77:N82" si="86">IFERROR(H77/E77,"")</f>
        <v/>
      </c>
      <c r="O77" s="112">
        <v>250.0</v>
      </c>
      <c r="P77" s="109">
        <f t="shared" ref="P77:P82" si="87">N77-O77</f>
        <v>-250</v>
      </c>
      <c r="R77" s="113" t="s">
        <v>45</v>
      </c>
      <c r="S77" s="117">
        <f>S76/30</f>
        <v>1500</v>
      </c>
    </row>
    <row r="78" hidden="1" outlineLevel="1">
      <c r="A78" s="105">
        <v>46000.0</v>
      </c>
      <c r="B78" s="106">
        <v>0.0</v>
      </c>
      <c r="C78" s="107">
        <v>36.0</v>
      </c>
      <c r="D78" s="107">
        <f t="shared" si="81"/>
        <v>-36</v>
      </c>
      <c r="E78" s="106">
        <v>0.0</v>
      </c>
      <c r="F78" s="107">
        <v>9.0</v>
      </c>
      <c r="G78" s="107">
        <f t="shared" si="82"/>
        <v>-9</v>
      </c>
      <c r="H78" s="108">
        <v>0.0</v>
      </c>
      <c r="I78" s="109">
        <v>2250.0</v>
      </c>
      <c r="J78" s="109">
        <f t="shared" si="83"/>
        <v>-2250</v>
      </c>
      <c r="K78" s="110" t="str">
        <f t="shared" si="84"/>
        <v>#DIV/0!</v>
      </c>
      <c r="L78" s="111">
        <v>0.3</v>
      </c>
      <c r="M78" s="114" t="str">
        <f t="shared" si="85"/>
        <v>#DIV/0!</v>
      </c>
      <c r="N78" s="109" t="str">
        <f t="shared" si="86"/>
        <v/>
      </c>
      <c r="O78" s="112">
        <v>250.0</v>
      </c>
      <c r="P78" s="109">
        <f t="shared" si="87"/>
        <v>-250</v>
      </c>
      <c r="R78" s="113" t="s">
        <v>46</v>
      </c>
      <c r="S78" s="117">
        <f>S76/20</f>
        <v>2250</v>
      </c>
    </row>
    <row r="79" hidden="1" outlineLevel="1">
      <c r="A79" s="105">
        <v>46001.0</v>
      </c>
      <c r="B79" s="106">
        <v>0.0</v>
      </c>
      <c r="C79" s="107">
        <v>36.0</v>
      </c>
      <c r="D79" s="107">
        <f t="shared" si="81"/>
        <v>-36</v>
      </c>
      <c r="E79" s="106">
        <v>0.0</v>
      </c>
      <c r="F79" s="107">
        <v>9.0</v>
      </c>
      <c r="G79" s="107">
        <f t="shared" si="82"/>
        <v>-9</v>
      </c>
      <c r="H79" s="108">
        <v>0.0</v>
      </c>
      <c r="I79" s="109">
        <v>2250.0</v>
      </c>
      <c r="J79" s="109">
        <f t="shared" si="83"/>
        <v>-2250</v>
      </c>
      <c r="K79" s="110" t="str">
        <f t="shared" si="84"/>
        <v>#DIV/0!</v>
      </c>
      <c r="L79" s="111">
        <v>0.3</v>
      </c>
      <c r="M79" s="114" t="str">
        <f t="shared" si="85"/>
        <v>#DIV/0!</v>
      </c>
      <c r="N79" s="109" t="str">
        <f t="shared" si="86"/>
        <v/>
      </c>
      <c r="O79" s="112">
        <v>250.0</v>
      </c>
      <c r="P79" s="109">
        <f t="shared" si="87"/>
        <v>-250</v>
      </c>
      <c r="R79" s="113" t="s">
        <v>7</v>
      </c>
      <c r="S79" s="117">
        <f>H69</f>
        <v>4051.12</v>
      </c>
    </row>
    <row r="80" hidden="1" outlineLevel="1">
      <c r="A80" s="105">
        <v>46002.0</v>
      </c>
      <c r="B80" s="106">
        <v>0.0</v>
      </c>
      <c r="C80" s="107">
        <v>36.0</v>
      </c>
      <c r="D80" s="107">
        <f t="shared" si="81"/>
        <v>-36</v>
      </c>
      <c r="E80" s="106">
        <v>0.0</v>
      </c>
      <c r="F80" s="107">
        <v>9.0</v>
      </c>
      <c r="G80" s="107">
        <f t="shared" si="82"/>
        <v>-9</v>
      </c>
      <c r="H80" s="108">
        <v>0.0</v>
      </c>
      <c r="I80" s="109">
        <v>2250.0</v>
      </c>
      <c r="J80" s="109">
        <f t="shared" si="83"/>
        <v>-2250</v>
      </c>
      <c r="K80" s="110" t="str">
        <f t="shared" si="84"/>
        <v>#DIV/0!</v>
      </c>
      <c r="L80" s="111">
        <v>0.3</v>
      </c>
      <c r="M80" s="114" t="str">
        <f t="shared" si="85"/>
        <v>#DIV/0!</v>
      </c>
      <c r="N80" s="109" t="str">
        <f t="shared" si="86"/>
        <v/>
      </c>
      <c r="O80" s="112">
        <v>250.0</v>
      </c>
      <c r="P80" s="109">
        <f t="shared" si="87"/>
        <v>-250</v>
      </c>
      <c r="R80" s="113" t="s">
        <v>47</v>
      </c>
      <c r="S80" s="119">
        <f>S79/S76</f>
        <v>0.09002488889</v>
      </c>
    </row>
    <row r="81" hidden="1" outlineLevel="1">
      <c r="A81" s="105">
        <v>46003.0</v>
      </c>
      <c r="B81" s="106">
        <v>0.0</v>
      </c>
      <c r="C81" s="107">
        <v>36.0</v>
      </c>
      <c r="D81" s="107">
        <f t="shared" si="81"/>
        <v>-36</v>
      </c>
      <c r="E81" s="106">
        <v>0.0</v>
      </c>
      <c r="F81" s="107">
        <v>9.0</v>
      </c>
      <c r="G81" s="107">
        <f t="shared" si="82"/>
        <v>-9</v>
      </c>
      <c r="H81" s="108">
        <v>0.0</v>
      </c>
      <c r="I81" s="109">
        <v>2250.0</v>
      </c>
      <c r="J81" s="109">
        <f t="shared" si="83"/>
        <v>-2250</v>
      </c>
      <c r="K81" s="110" t="str">
        <f t="shared" si="84"/>
        <v>#DIV/0!</v>
      </c>
      <c r="L81" s="111">
        <v>0.3</v>
      </c>
      <c r="M81" s="114" t="str">
        <f t="shared" si="85"/>
        <v>#DIV/0!</v>
      </c>
      <c r="N81" s="109" t="str">
        <f t="shared" si="86"/>
        <v/>
      </c>
      <c r="O81" s="112">
        <v>250.0</v>
      </c>
      <c r="P81" s="109">
        <f t="shared" si="87"/>
        <v>-250</v>
      </c>
      <c r="R81" s="113" t="s">
        <v>48</v>
      </c>
      <c r="S81" s="120">
        <v>14.0</v>
      </c>
    </row>
    <row r="82" hidden="1" outlineLevel="1">
      <c r="A82" s="105">
        <v>46004.0</v>
      </c>
      <c r="B82" s="106">
        <v>0.0</v>
      </c>
      <c r="C82" s="107">
        <v>36.0</v>
      </c>
      <c r="D82" s="107">
        <f t="shared" si="81"/>
        <v>-36</v>
      </c>
      <c r="E82" s="106">
        <v>0.0</v>
      </c>
      <c r="F82" s="107">
        <v>9.0</v>
      </c>
      <c r="G82" s="107">
        <f t="shared" si="82"/>
        <v>-9</v>
      </c>
      <c r="H82" s="108">
        <v>0.0</v>
      </c>
      <c r="I82" s="109">
        <v>0.0</v>
      </c>
      <c r="J82" s="109">
        <f t="shared" si="83"/>
        <v>0</v>
      </c>
      <c r="K82" s="110" t="str">
        <f t="shared" si="84"/>
        <v>#DIV/0!</v>
      </c>
      <c r="L82" s="111">
        <v>0.3</v>
      </c>
      <c r="M82" s="114" t="str">
        <f t="shared" si="85"/>
        <v>#DIV/0!</v>
      </c>
      <c r="N82" s="109" t="str">
        <f t="shared" si="86"/>
        <v/>
      </c>
      <c r="O82" s="112">
        <v>250.0</v>
      </c>
      <c r="P82" s="109">
        <f t="shared" si="87"/>
        <v>-250</v>
      </c>
      <c r="R82" s="113" t="s">
        <v>49</v>
      </c>
      <c r="S82" s="121">
        <f>(S76-S79)/S81</f>
        <v>2924.92</v>
      </c>
    </row>
    <row r="83" hidden="1" outlineLevel="1">
      <c r="A83" s="105">
        <v>46005.0</v>
      </c>
      <c r="B83" s="106"/>
      <c r="C83" s="107"/>
      <c r="D83" s="107"/>
      <c r="E83" s="106"/>
      <c r="F83" s="107"/>
      <c r="G83" s="107"/>
      <c r="H83" s="108"/>
      <c r="I83" s="109"/>
      <c r="J83" s="109"/>
      <c r="K83" s="110"/>
      <c r="L83" s="111"/>
      <c r="M83" s="114"/>
      <c r="N83" s="109"/>
      <c r="O83" s="112"/>
      <c r="P83" s="114"/>
      <c r="R83" s="113" t="s">
        <v>50</v>
      </c>
      <c r="S83" s="122">
        <f>N69</f>
        <v>337.5933333</v>
      </c>
    </row>
    <row r="84" hidden="1" outlineLevel="1">
      <c r="A84" s="105">
        <v>46006.0</v>
      </c>
      <c r="B84" s="106">
        <v>0.0</v>
      </c>
      <c r="C84" s="158">
        <v>36.0</v>
      </c>
      <c r="D84" s="107">
        <f t="shared" ref="D84:D89" si="88">B84-C84</f>
        <v>-36</v>
      </c>
      <c r="E84" s="106">
        <v>0.0</v>
      </c>
      <c r="F84" s="107">
        <v>9.0</v>
      </c>
      <c r="G84" s="107">
        <f t="shared" ref="G84:G89" si="89">E84-F84</f>
        <v>-9</v>
      </c>
      <c r="H84" s="108">
        <v>0.0</v>
      </c>
      <c r="I84" s="109">
        <v>2250.0</v>
      </c>
      <c r="J84" s="109">
        <f t="shared" ref="J84:J89" si="90">H84-I84</f>
        <v>-2250</v>
      </c>
      <c r="K84" s="110" t="str">
        <f t="shared" ref="K84:K89" si="91">E84/B84</f>
        <v>#DIV/0!</v>
      </c>
      <c r="L84" s="111">
        <v>0.3</v>
      </c>
      <c r="M84" s="114" t="str">
        <f t="shared" ref="M84:M89" si="92">L84-K84</f>
        <v>#DIV/0!</v>
      </c>
      <c r="N84" s="109" t="str">
        <f t="shared" ref="N84:N89" si="93">IFERROR(H84/E84,"")</f>
        <v/>
      </c>
      <c r="O84" s="112">
        <v>250.0</v>
      </c>
      <c r="P84" s="109">
        <f t="shared" ref="P84:P89" si="94">N84-O84</f>
        <v>-250</v>
      </c>
      <c r="R84" s="113" t="s">
        <v>51</v>
      </c>
      <c r="S84" s="128">
        <f>B69</f>
        <v>49</v>
      </c>
    </row>
    <row r="85" hidden="1" outlineLevel="1">
      <c r="A85" s="105">
        <v>46007.0</v>
      </c>
      <c r="B85" s="106">
        <v>0.0</v>
      </c>
      <c r="C85" s="159">
        <v>36.0</v>
      </c>
      <c r="D85" s="107">
        <f t="shared" si="88"/>
        <v>-36</v>
      </c>
      <c r="E85" s="106">
        <v>0.0</v>
      </c>
      <c r="F85" s="107">
        <v>9.0</v>
      </c>
      <c r="G85" s="107">
        <f t="shared" si="89"/>
        <v>-9</v>
      </c>
      <c r="H85" s="108">
        <v>0.0</v>
      </c>
      <c r="I85" s="109">
        <v>2250.0</v>
      </c>
      <c r="J85" s="109">
        <f t="shared" si="90"/>
        <v>-2250</v>
      </c>
      <c r="K85" s="110" t="str">
        <f t="shared" si="91"/>
        <v>#DIV/0!</v>
      </c>
      <c r="L85" s="111">
        <v>0.3</v>
      </c>
      <c r="M85" s="114" t="str">
        <f t="shared" si="92"/>
        <v>#DIV/0!</v>
      </c>
      <c r="N85" s="109" t="str">
        <f t="shared" si="93"/>
        <v/>
      </c>
      <c r="O85" s="112">
        <v>250.0</v>
      </c>
      <c r="P85" s="109">
        <f t="shared" si="94"/>
        <v>-250</v>
      </c>
      <c r="R85" s="113" t="s">
        <v>52</v>
      </c>
      <c r="S85" s="128">
        <f>E69</f>
        <v>12</v>
      </c>
    </row>
    <row r="86" hidden="1" outlineLevel="1">
      <c r="A86" s="105">
        <v>46008.0</v>
      </c>
      <c r="B86" s="106">
        <v>0.0</v>
      </c>
      <c r="C86" s="158">
        <v>36.0</v>
      </c>
      <c r="D86" s="107">
        <f t="shared" si="88"/>
        <v>-36</v>
      </c>
      <c r="E86" s="106">
        <v>0.0</v>
      </c>
      <c r="F86" s="107">
        <v>9.0</v>
      </c>
      <c r="G86" s="107">
        <f t="shared" si="89"/>
        <v>-9</v>
      </c>
      <c r="H86" s="108">
        <v>0.0</v>
      </c>
      <c r="I86" s="109">
        <v>2250.0</v>
      </c>
      <c r="J86" s="109">
        <f t="shared" si="90"/>
        <v>-2250</v>
      </c>
      <c r="K86" s="110" t="str">
        <f t="shared" si="91"/>
        <v>#DIV/0!</v>
      </c>
      <c r="L86" s="111">
        <v>0.3</v>
      </c>
      <c r="M86" s="114" t="str">
        <f t="shared" si="92"/>
        <v>#DIV/0!</v>
      </c>
      <c r="N86" s="109" t="str">
        <f t="shared" si="93"/>
        <v/>
      </c>
      <c r="O86" s="112">
        <v>250.0</v>
      </c>
      <c r="P86" s="109">
        <f t="shared" si="94"/>
        <v>-250</v>
      </c>
      <c r="R86" s="113" t="s">
        <v>4</v>
      </c>
      <c r="S86" s="119">
        <f>E69/B69</f>
        <v>0.2448979592</v>
      </c>
    </row>
    <row r="87" hidden="1" outlineLevel="1">
      <c r="A87" s="105">
        <v>46009.0</v>
      </c>
      <c r="B87" s="106">
        <v>0.0</v>
      </c>
      <c r="C87" s="159">
        <v>36.0</v>
      </c>
      <c r="D87" s="107">
        <f t="shared" si="88"/>
        <v>-36</v>
      </c>
      <c r="E87" s="106">
        <v>0.0</v>
      </c>
      <c r="F87" s="107">
        <v>9.0</v>
      </c>
      <c r="G87" s="107">
        <f t="shared" si="89"/>
        <v>-9</v>
      </c>
      <c r="H87" s="108">
        <v>0.0</v>
      </c>
      <c r="I87" s="109">
        <v>2250.0</v>
      </c>
      <c r="J87" s="109">
        <f t="shared" si="90"/>
        <v>-2250</v>
      </c>
      <c r="K87" s="110" t="str">
        <f t="shared" si="91"/>
        <v>#DIV/0!</v>
      </c>
      <c r="L87" s="111">
        <v>0.3</v>
      </c>
      <c r="M87" s="114" t="str">
        <f t="shared" si="92"/>
        <v>#DIV/0!</v>
      </c>
      <c r="N87" s="109" t="str">
        <f t="shared" si="93"/>
        <v/>
      </c>
      <c r="O87" s="112">
        <v>250.0</v>
      </c>
      <c r="P87" s="109">
        <f t="shared" si="94"/>
        <v>-250</v>
      </c>
      <c r="S87" s="94"/>
    </row>
    <row r="88" hidden="1" outlineLevel="1">
      <c r="A88" s="105">
        <v>46010.0</v>
      </c>
      <c r="B88" s="106">
        <v>0.0</v>
      </c>
      <c r="C88" s="158">
        <v>36.0</v>
      </c>
      <c r="D88" s="107">
        <f t="shared" si="88"/>
        <v>-36</v>
      </c>
      <c r="E88" s="106">
        <v>0.0</v>
      </c>
      <c r="F88" s="107">
        <v>9.0</v>
      </c>
      <c r="G88" s="107">
        <f t="shared" si="89"/>
        <v>-9</v>
      </c>
      <c r="H88" s="108">
        <v>0.0</v>
      </c>
      <c r="I88" s="109">
        <v>2250.0</v>
      </c>
      <c r="J88" s="109">
        <f t="shared" si="90"/>
        <v>-2250</v>
      </c>
      <c r="K88" s="110" t="str">
        <f t="shared" si="91"/>
        <v>#DIV/0!</v>
      </c>
      <c r="L88" s="111">
        <v>0.3</v>
      </c>
      <c r="M88" s="114" t="str">
        <f t="shared" si="92"/>
        <v>#DIV/0!</v>
      </c>
      <c r="N88" s="109" t="str">
        <f t="shared" si="93"/>
        <v/>
      </c>
      <c r="O88" s="112">
        <v>250.0</v>
      </c>
      <c r="P88" s="109">
        <f t="shared" si="94"/>
        <v>-250</v>
      </c>
      <c r="S88" s="94"/>
    </row>
    <row r="89" hidden="1" outlineLevel="1">
      <c r="A89" s="105">
        <v>46011.0</v>
      </c>
      <c r="B89" s="106">
        <v>0.0</v>
      </c>
      <c r="C89" s="159">
        <v>36.0</v>
      </c>
      <c r="D89" s="107">
        <f t="shared" si="88"/>
        <v>-36</v>
      </c>
      <c r="E89" s="106">
        <v>0.0</v>
      </c>
      <c r="F89" s="107">
        <v>9.0</v>
      </c>
      <c r="G89" s="107">
        <f t="shared" si="89"/>
        <v>-9</v>
      </c>
      <c r="H89" s="108">
        <v>0.0</v>
      </c>
      <c r="I89" s="109">
        <v>0.0</v>
      </c>
      <c r="J89" s="109">
        <f t="shared" si="90"/>
        <v>0</v>
      </c>
      <c r="K89" s="110" t="str">
        <f t="shared" si="91"/>
        <v>#DIV/0!</v>
      </c>
      <c r="L89" s="111">
        <v>0.3</v>
      </c>
      <c r="M89" s="114" t="str">
        <f t="shared" si="92"/>
        <v>#DIV/0!</v>
      </c>
      <c r="N89" s="109" t="str">
        <f t="shared" si="93"/>
        <v/>
      </c>
      <c r="O89" s="112">
        <v>250.0</v>
      </c>
      <c r="P89" s="109">
        <f t="shared" si="94"/>
        <v>-250</v>
      </c>
      <c r="S89" s="94"/>
    </row>
    <row r="90" hidden="1" outlineLevel="1">
      <c r="A90" s="105">
        <v>46012.0</v>
      </c>
      <c r="B90" s="106"/>
      <c r="C90" s="107"/>
      <c r="D90" s="107"/>
      <c r="E90" s="106"/>
      <c r="F90" s="107"/>
      <c r="G90" s="107"/>
      <c r="H90" s="108"/>
      <c r="I90" s="109"/>
      <c r="J90" s="109"/>
      <c r="K90" s="110"/>
      <c r="L90" s="111"/>
      <c r="M90" s="114"/>
      <c r="N90" s="109"/>
      <c r="O90" s="112"/>
      <c r="P90" s="114"/>
      <c r="S90" s="94"/>
    </row>
    <row r="91" hidden="1" outlineLevel="1">
      <c r="A91" s="105">
        <v>46013.0</v>
      </c>
      <c r="B91" s="106">
        <v>0.0</v>
      </c>
      <c r="C91" s="158">
        <v>36.0</v>
      </c>
      <c r="D91" s="107">
        <f t="shared" ref="D91:D92" si="95">B91-C91</f>
        <v>-36</v>
      </c>
      <c r="E91" s="106">
        <v>0.0</v>
      </c>
      <c r="F91" s="107">
        <v>9.0</v>
      </c>
      <c r="G91" s="107">
        <f t="shared" ref="G91:G92" si="96">E91-F91</f>
        <v>-9</v>
      </c>
      <c r="H91" s="108">
        <v>0.0</v>
      </c>
      <c r="I91" s="109">
        <v>2250.0</v>
      </c>
      <c r="J91" s="109">
        <f t="shared" ref="J91:J96" si="97">H91-I91</f>
        <v>-2250</v>
      </c>
      <c r="K91" s="110" t="str">
        <f t="shared" ref="K91:K96" si="98">E91/B91</f>
        <v>#DIV/0!</v>
      </c>
      <c r="L91" s="111">
        <v>0.3</v>
      </c>
      <c r="M91" s="114" t="str">
        <f t="shared" ref="M91:M96" si="99">L91-K91</f>
        <v>#DIV/0!</v>
      </c>
      <c r="N91" s="109" t="str">
        <f t="shared" ref="N91:N96" si="100">IFERROR(H91/E91,"")</f>
        <v/>
      </c>
      <c r="O91" s="112">
        <v>250.0</v>
      </c>
      <c r="P91" s="109">
        <f t="shared" ref="P91:P96" si="101">N91-O91</f>
        <v>-250</v>
      </c>
      <c r="S91" s="94"/>
    </row>
    <row r="92" hidden="1" outlineLevel="1">
      <c r="A92" s="105">
        <v>46014.0</v>
      </c>
      <c r="B92" s="106">
        <v>0.0</v>
      </c>
      <c r="C92" s="159">
        <v>36.0</v>
      </c>
      <c r="D92" s="107">
        <f t="shared" si="95"/>
        <v>-36</v>
      </c>
      <c r="E92" s="106">
        <v>0.0</v>
      </c>
      <c r="F92" s="107">
        <v>9.0</v>
      </c>
      <c r="G92" s="107">
        <f t="shared" si="96"/>
        <v>-9</v>
      </c>
      <c r="H92" s="108">
        <v>0.0</v>
      </c>
      <c r="I92" s="109">
        <v>2250.0</v>
      </c>
      <c r="J92" s="109">
        <f t="shared" si="97"/>
        <v>-2250</v>
      </c>
      <c r="K92" s="110" t="str">
        <f t="shared" si="98"/>
        <v>#DIV/0!</v>
      </c>
      <c r="L92" s="111">
        <v>0.3</v>
      </c>
      <c r="M92" s="114" t="str">
        <f t="shared" si="99"/>
        <v>#DIV/0!</v>
      </c>
      <c r="N92" s="109" t="str">
        <f t="shared" si="100"/>
        <v/>
      </c>
      <c r="O92" s="112">
        <v>250.0</v>
      </c>
      <c r="P92" s="109">
        <f t="shared" si="101"/>
        <v>-250</v>
      </c>
      <c r="S92" s="94"/>
    </row>
    <row r="93" hidden="1" outlineLevel="1">
      <c r="A93" s="144">
        <v>46015.0</v>
      </c>
      <c r="B93" s="145">
        <v>0.0</v>
      </c>
      <c r="C93" s="145">
        <v>0.0</v>
      </c>
      <c r="D93" s="145">
        <v>0.0</v>
      </c>
      <c r="E93" s="145">
        <v>0.0</v>
      </c>
      <c r="F93" s="145">
        <v>0.0</v>
      </c>
      <c r="G93" s="145">
        <v>0.0</v>
      </c>
      <c r="H93" s="146">
        <v>0.0</v>
      </c>
      <c r="I93" s="146">
        <v>0.0</v>
      </c>
      <c r="J93" s="146">
        <f t="shared" si="97"/>
        <v>0</v>
      </c>
      <c r="K93" s="147" t="str">
        <f t="shared" si="98"/>
        <v>#DIV/0!</v>
      </c>
      <c r="L93" s="148">
        <v>0.3</v>
      </c>
      <c r="M93" s="149" t="str">
        <f t="shared" si="99"/>
        <v>#DIV/0!</v>
      </c>
      <c r="N93" s="146" t="str">
        <f t="shared" si="100"/>
        <v/>
      </c>
      <c r="O93" s="150">
        <v>250.0</v>
      </c>
      <c r="P93" s="146">
        <f t="shared" si="101"/>
        <v>-250</v>
      </c>
      <c r="S93" s="94"/>
    </row>
    <row r="94" hidden="1" outlineLevel="1">
      <c r="A94" s="151">
        <v>46016.0</v>
      </c>
      <c r="B94" s="152">
        <v>0.0</v>
      </c>
      <c r="C94" s="152">
        <v>0.0</v>
      </c>
      <c r="D94" s="152">
        <v>0.0</v>
      </c>
      <c r="E94" s="152">
        <v>0.0</v>
      </c>
      <c r="F94" s="152">
        <v>0.0</v>
      </c>
      <c r="G94" s="152">
        <v>0.0</v>
      </c>
      <c r="H94" s="153">
        <v>0.0</v>
      </c>
      <c r="I94" s="153">
        <v>0.0</v>
      </c>
      <c r="J94" s="153">
        <f t="shared" si="97"/>
        <v>0</v>
      </c>
      <c r="K94" s="154" t="str">
        <f t="shared" si="98"/>
        <v>#DIV/0!</v>
      </c>
      <c r="L94" s="155">
        <v>0.3</v>
      </c>
      <c r="M94" s="156" t="str">
        <f t="shared" si="99"/>
        <v>#DIV/0!</v>
      </c>
      <c r="N94" s="153" t="str">
        <f t="shared" si="100"/>
        <v/>
      </c>
      <c r="O94" s="157">
        <v>250.0</v>
      </c>
      <c r="P94" s="153">
        <f t="shared" si="101"/>
        <v>-250</v>
      </c>
      <c r="S94" s="94"/>
    </row>
    <row r="95" hidden="1" outlineLevel="1">
      <c r="A95" s="105">
        <v>46017.0</v>
      </c>
      <c r="B95" s="106">
        <v>0.0</v>
      </c>
      <c r="C95" s="158">
        <v>36.0</v>
      </c>
      <c r="D95" s="107">
        <f t="shared" ref="D95:D96" si="102">B95-C95</f>
        <v>-36</v>
      </c>
      <c r="E95" s="106">
        <v>0.0</v>
      </c>
      <c r="F95" s="107">
        <v>9.0</v>
      </c>
      <c r="G95" s="107">
        <f t="shared" ref="G95:G96" si="103">E95-F95</f>
        <v>-9</v>
      </c>
      <c r="H95" s="108">
        <v>0.0</v>
      </c>
      <c r="I95" s="109">
        <v>2250.0</v>
      </c>
      <c r="J95" s="109">
        <f t="shared" si="97"/>
        <v>-2250</v>
      </c>
      <c r="K95" s="110" t="str">
        <f t="shared" si="98"/>
        <v>#DIV/0!</v>
      </c>
      <c r="L95" s="111">
        <v>0.3</v>
      </c>
      <c r="M95" s="114" t="str">
        <f t="shared" si="99"/>
        <v>#DIV/0!</v>
      </c>
      <c r="N95" s="109" t="str">
        <f t="shared" si="100"/>
        <v/>
      </c>
      <c r="O95" s="112">
        <v>250.0</v>
      </c>
      <c r="P95" s="109">
        <f t="shared" si="101"/>
        <v>-250</v>
      </c>
      <c r="S95" s="94"/>
    </row>
    <row r="96" hidden="1" outlineLevel="1">
      <c r="A96" s="105">
        <v>46018.0</v>
      </c>
      <c r="B96" s="106">
        <v>0.0</v>
      </c>
      <c r="C96" s="159">
        <v>36.0</v>
      </c>
      <c r="D96" s="107">
        <f t="shared" si="102"/>
        <v>-36</v>
      </c>
      <c r="E96" s="106">
        <v>0.0</v>
      </c>
      <c r="F96" s="107">
        <v>9.0</v>
      </c>
      <c r="G96" s="107">
        <f t="shared" si="103"/>
        <v>-9</v>
      </c>
      <c r="H96" s="108">
        <v>0.0</v>
      </c>
      <c r="I96" s="109">
        <v>2250.0</v>
      </c>
      <c r="J96" s="109">
        <f t="shared" si="97"/>
        <v>-2250</v>
      </c>
      <c r="K96" s="110" t="str">
        <f t="shared" si="98"/>
        <v>#DIV/0!</v>
      </c>
      <c r="L96" s="111">
        <v>0.3</v>
      </c>
      <c r="M96" s="114" t="str">
        <f t="shared" si="99"/>
        <v>#DIV/0!</v>
      </c>
      <c r="N96" s="109" t="str">
        <f t="shared" si="100"/>
        <v/>
      </c>
      <c r="O96" s="112">
        <v>250.0</v>
      </c>
      <c r="P96" s="109">
        <f t="shared" si="101"/>
        <v>-250</v>
      </c>
      <c r="S96" s="94"/>
    </row>
    <row r="97" hidden="1" outlineLevel="1">
      <c r="A97" s="105">
        <v>46019.0</v>
      </c>
      <c r="B97" s="106"/>
      <c r="C97" s="107"/>
      <c r="D97" s="107"/>
      <c r="E97" s="106"/>
      <c r="F97" s="107"/>
      <c r="G97" s="107"/>
      <c r="H97" s="108"/>
      <c r="I97" s="109"/>
      <c r="J97" s="109"/>
      <c r="K97" s="110"/>
      <c r="L97" s="111"/>
      <c r="M97" s="114"/>
      <c r="N97" s="109"/>
      <c r="O97" s="112"/>
      <c r="P97" s="114"/>
      <c r="S97" s="94"/>
    </row>
    <row r="98" hidden="1" outlineLevel="1">
      <c r="A98" s="105">
        <v>46020.0</v>
      </c>
      <c r="B98" s="106">
        <v>0.0</v>
      </c>
      <c r="C98" s="107">
        <v>36.0</v>
      </c>
      <c r="D98" s="107">
        <f>B98-C98</f>
        <v>-36</v>
      </c>
      <c r="E98" s="106">
        <v>0.0</v>
      </c>
      <c r="F98" s="107">
        <v>9.0</v>
      </c>
      <c r="G98" s="107">
        <f t="shared" ref="G98:G100" si="104">E98-F98</f>
        <v>-9</v>
      </c>
      <c r="H98" s="108">
        <v>0.0</v>
      </c>
      <c r="I98" s="109">
        <v>2250.0</v>
      </c>
      <c r="J98" s="109">
        <f t="shared" ref="J98:J100" si="105">H98-I98</f>
        <v>-2250</v>
      </c>
      <c r="K98" s="110" t="str">
        <f t="shared" ref="K98:K107" si="106">E98/B98</f>
        <v>#DIV/0!</v>
      </c>
      <c r="L98" s="111">
        <v>0.3</v>
      </c>
      <c r="M98" s="114" t="str">
        <f t="shared" ref="M98:M100" si="107">L98-K98</f>
        <v>#DIV/0!</v>
      </c>
      <c r="N98" s="109" t="str">
        <f t="shared" ref="N98:N107" si="108">IFERROR(H98/E98,"")</f>
        <v/>
      </c>
      <c r="O98" s="112">
        <v>250.0</v>
      </c>
      <c r="P98" s="109">
        <f t="shared" ref="P98:P107" si="109">N98-O98</f>
        <v>-250</v>
      </c>
      <c r="S98" s="94"/>
    </row>
    <row r="99" hidden="1" outlineLevel="1">
      <c r="A99" s="144">
        <v>46021.0</v>
      </c>
      <c r="B99" s="145">
        <v>0.0</v>
      </c>
      <c r="C99" s="145">
        <v>0.0</v>
      </c>
      <c r="D99" s="145">
        <v>0.0</v>
      </c>
      <c r="E99" s="145">
        <v>0.0</v>
      </c>
      <c r="F99" s="145">
        <v>0.0</v>
      </c>
      <c r="G99" s="145">
        <f t="shared" si="104"/>
        <v>0</v>
      </c>
      <c r="H99" s="146">
        <v>0.0</v>
      </c>
      <c r="I99" s="146">
        <v>0.0</v>
      </c>
      <c r="J99" s="146">
        <f t="shared" si="105"/>
        <v>0</v>
      </c>
      <c r="K99" s="147" t="str">
        <f t="shared" si="106"/>
        <v>#DIV/0!</v>
      </c>
      <c r="L99" s="148">
        <v>0.3</v>
      </c>
      <c r="M99" s="149" t="str">
        <f t="shared" si="107"/>
        <v>#DIV/0!</v>
      </c>
      <c r="N99" s="146" t="str">
        <f t="shared" si="108"/>
        <v/>
      </c>
      <c r="O99" s="150">
        <v>250.0</v>
      </c>
      <c r="P99" s="146">
        <f t="shared" si="109"/>
        <v>-250</v>
      </c>
      <c r="S99" s="94"/>
    </row>
    <row r="100" hidden="1" outlineLevel="1">
      <c r="A100" s="151">
        <v>46022.0</v>
      </c>
      <c r="B100" s="152">
        <v>0.0</v>
      </c>
      <c r="C100" s="152">
        <v>0.0</v>
      </c>
      <c r="D100" s="152">
        <v>0.0</v>
      </c>
      <c r="E100" s="152">
        <v>0.0</v>
      </c>
      <c r="F100" s="152">
        <v>0.0</v>
      </c>
      <c r="G100" s="152">
        <f t="shared" si="104"/>
        <v>0</v>
      </c>
      <c r="H100" s="153">
        <v>0.0</v>
      </c>
      <c r="I100" s="153">
        <v>0.0</v>
      </c>
      <c r="J100" s="153">
        <f t="shared" si="105"/>
        <v>0</v>
      </c>
      <c r="K100" s="154" t="str">
        <f t="shared" si="106"/>
        <v>#DIV/0!</v>
      </c>
      <c r="L100" s="155">
        <v>0.3</v>
      </c>
      <c r="M100" s="156" t="str">
        <f t="shared" si="107"/>
        <v>#DIV/0!</v>
      </c>
      <c r="N100" s="153" t="str">
        <f t="shared" si="108"/>
        <v/>
      </c>
      <c r="O100" s="157">
        <v>250.0</v>
      </c>
      <c r="P100" s="153">
        <f t="shared" si="109"/>
        <v>-250</v>
      </c>
      <c r="S100" s="94"/>
    </row>
    <row r="101" collapsed="1">
      <c r="A101" s="100" t="s">
        <v>56</v>
      </c>
      <c r="B101" s="100">
        <f t="shared" ref="B101:J101" si="110">SUM(B102:B131)</f>
        <v>165</v>
      </c>
      <c r="C101" s="100">
        <f t="shared" si="110"/>
        <v>828</v>
      </c>
      <c r="D101" s="100">
        <f t="shared" si="110"/>
        <v>-663</v>
      </c>
      <c r="E101" s="100">
        <f t="shared" si="110"/>
        <v>58</v>
      </c>
      <c r="F101" s="100">
        <f t="shared" si="110"/>
        <v>234</v>
      </c>
      <c r="G101" s="100">
        <f t="shared" si="110"/>
        <v>-176</v>
      </c>
      <c r="H101" s="101">
        <f t="shared" si="110"/>
        <v>13834.16</v>
      </c>
      <c r="I101" s="101">
        <f t="shared" si="110"/>
        <v>45000</v>
      </c>
      <c r="J101" s="102">
        <f t="shared" si="110"/>
        <v>-31165.84</v>
      </c>
      <c r="K101" s="103">
        <f t="shared" si="106"/>
        <v>0.3515151515</v>
      </c>
      <c r="L101" s="103">
        <v>0.3</v>
      </c>
      <c r="M101" s="103">
        <f>K101-L101</f>
        <v>0.05151515152</v>
      </c>
      <c r="N101" s="102">
        <f t="shared" si="108"/>
        <v>238.52</v>
      </c>
      <c r="O101" s="104">
        <f>O102</f>
        <v>250</v>
      </c>
      <c r="P101" s="102">
        <f t="shared" si="109"/>
        <v>-11.48</v>
      </c>
    </row>
    <row r="102" hidden="1" outlineLevel="1">
      <c r="A102" s="105">
        <v>45992.0</v>
      </c>
      <c r="B102" s="106">
        <v>7.0</v>
      </c>
      <c r="C102" s="158">
        <v>36.0</v>
      </c>
      <c r="D102" s="107">
        <f t="shared" ref="D102:D107" si="111">B102-C102</f>
        <v>-29</v>
      </c>
      <c r="E102" s="106">
        <v>2.0</v>
      </c>
      <c r="F102" s="107">
        <v>9.0</v>
      </c>
      <c r="G102" s="107">
        <f t="shared" ref="G102:G107" si="112">E102-F102</f>
        <v>-7</v>
      </c>
      <c r="H102" s="108">
        <v>633.81</v>
      </c>
      <c r="I102" s="109">
        <v>2250.0</v>
      </c>
      <c r="J102" s="109">
        <f t="shared" ref="J102:J107" si="113">H102-I102</f>
        <v>-1616.19</v>
      </c>
      <c r="K102" s="110">
        <f t="shared" si="106"/>
        <v>0.2857142857</v>
      </c>
      <c r="L102" s="111">
        <v>0.3</v>
      </c>
      <c r="M102" s="111">
        <f t="shared" ref="M102:M107" si="114">L102-K102</f>
        <v>0.01428571429</v>
      </c>
      <c r="N102" s="109">
        <f t="shared" si="108"/>
        <v>316.905</v>
      </c>
      <c r="O102" s="112">
        <v>250.0</v>
      </c>
      <c r="P102" s="109">
        <f t="shared" si="109"/>
        <v>66.905</v>
      </c>
    </row>
    <row r="103" hidden="1" outlineLevel="1">
      <c r="A103" s="105">
        <v>45993.0</v>
      </c>
      <c r="B103" s="106">
        <v>7.0</v>
      </c>
      <c r="C103" s="159">
        <v>36.0</v>
      </c>
      <c r="D103" s="107">
        <f t="shared" si="111"/>
        <v>-29</v>
      </c>
      <c r="E103" s="106">
        <v>1.0</v>
      </c>
      <c r="F103" s="107">
        <v>9.0</v>
      </c>
      <c r="G103" s="107">
        <f t="shared" si="112"/>
        <v>-8</v>
      </c>
      <c r="H103" s="108">
        <v>330.85</v>
      </c>
      <c r="I103" s="109">
        <v>2250.0</v>
      </c>
      <c r="J103" s="109">
        <f t="shared" si="113"/>
        <v>-1919.15</v>
      </c>
      <c r="K103" s="110">
        <f t="shared" si="106"/>
        <v>0.1428571429</v>
      </c>
      <c r="L103" s="111">
        <v>0.3</v>
      </c>
      <c r="M103" s="111">
        <f t="shared" si="114"/>
        <v>0.1571428571</v>
      </c>
      <c r="N103" s="109">
        <f t="shared" si="108"/>
        <v>330.85</v>
      </c>
      <c r="O103" s="112">
        <v>250.0</v>
      </c>
      <c r="P103" s="109">
        <f t="shared" si="109"/>
        <v>80.85</v>
      </c>
    </row>
    <row r="104" hidden="1" outlineLevel="1">
      <c r="A104" s="105">
        <v>45994.0</v>
      </c>
      <c r="B104" s="106">
        <v>7.0</v>
      </c>
      <c r="C104" s="158">
        <v>36.0</v>
      </c>
      <c r="D104" s="107">
        <f t="shared" si="111"/>
        <v>-29</v>
      </c>
      <c r="E104" s="106">
        <v>2.0</v>
      </c>
      <c r="F104" s="107">
        <v>9.0</v>
      </c>
      <c r="G104" s="107">
        <f t="shared" si="112"/>
        <v>-7</v>
      </c>
      <c r="H104" s="108">
        <v>439.94</v>
      </c>
      <c r="I104" s="109">
        <v>2250.0</v>
      </c>
      <c r="J104" s="109">
        <f t="shared" si="113"/>
        <v>-1810.06</v>
      </c>
      <c r="K104" s="110">
        <f t="shared" si="106"/>
        <v>0.2857142857</v>
      </c>
      <c r="L104" s="111">
        <v>0.3</v>
      </c>
      <c r="M104" s="111">
        <f t="shared" si="114"/>
        <v>0.01428571429</v>
      </c>
      <c r="N104" s="109">
        <f t="shared" si="108"/>
        <v>219.97</v>
      </c>
      <c r="O104" s="112">
        <v>250.0</v>
      </c>
      <c r="P104" s="109">
        <f t="shared" si="109"/>
        <v>-30.03</v>
      </c>
    </row>
    <row r="105" hidden="1" outlineLevel="1">
      <c r="A105" s="105">
        <v>45995.0</v>
      </c>
      <c r="B105" s="106">
        <v>8.0</v>
      </c>
      <c r="C105" s="159">
        <v>36.0</v>
      </c>
      <c r="D105" s="107">
        <f t="shared" si="111"/>
        <v>-28</v>
      </c>
      <c r="E105" s="106">
        <v>3.0</v>
      </c>
      <c r="F105" s="107">
        <v>9.0</v>
      </c>
      <c r="G105" s="107">
        <f t="shared" si="112"/>
        <v>-6</v>
      </c>
      <c r="H105" s="108">
        <v>498.99</v>
      </c>
      <c r="I105" s="109">
        <v>2250.0</v>
      </c>
      <c r="J105" s="109">
        <f t="shared" si="113"/>
        <v>-1751.01</v>
      </c>
      <c r="K105" s="110">
        <f t="shared" si="106"/>
        <v>0.375</v>
      </c>
      <c r="L105" s="111">
        <v>0.3</v>
      </c>
      <c r="M105" s="111">
        <f t="shared" si="114"/>
        <v>-0.075</v>
      </c>
      <c r="N105" s="109">
        <f t="shared" si="108"/>
        <v>166.33</v>
      </c>
      <c r="O105" s="112">
        <v>250.0</v>
      </c>
      <c r="P105" s="109">
        <f t="shared" si="109"/>
        <v>-83.67</v>
      </c>
    </row>
    <row r="106" hidden="1" outlineLevel="1">
      <c r="A106" s="105">
        <v>45996.0</v>
      </c>
      <c r="B106" s="106">
        <v>13.0</v>
      </c>
      <c r="C106" s="158">
        <v>36.0</v>
      </c>
      <c r="D106" s="107">
        <f t="shared" si="111"/>
        <v>-23</v>
      </c>
      <c r="E106" s="106">
        <v>6.0</v>
      </c>
      <c r="F106" s="107">
        <v>9.0</v>
      </c>
      <c r="G106" s="107">
        <f t="shared" si="112"/>
        <v>-3</v>
      </c>
      <c r="H106" s="108">
        <v>1464.11</v>
      </c>
      <c r="I106" s="109">
        <v>2250.0</v>
      </c>
      <c r="J106" s="109">
        <f t="shared" si="113"/>
        <v>-785.89</v>
      </c>
      <c r="K106" s="110">
        <f t="shared" si="106"/>
        <v>0.4615384615</v>
      </c>
      <c r="L106" s="111">
        <v>0.3</v>
      </c>
      <c r="M106" s="111">
        <f t="shared" si="114"/>
        <v>-0.1615384615</v>
      </c>
      <c r="N106" s="109">
        <f t="shared" si="108"/>
        <v>244.0183333</v>
      </c>
      <c r="O106" s="112">
        <v>250.0</v>
      </c>
      <c r="P106" s="109">
        <f t="shared" si="109"/>
        <v>-5.981666667</v>
      </c>
      <c r="R106" s="113" t="s">
        <v>58</v>
      </c>
      <c r="S106" s="94"/>
    </row>
    <row r="107" hidden="1" outlineLevel="1">
      <c r="A107" s="105">
        <v>45997.0</v>
      </c>
      <c r="B107" s="106">
        <v>0.0</v>
      </c>
      <c r="C107" s="159">
        <v>36.0</v>
      </c>
      <c r="D107" s="107">
        <f t="shared" si="111"/>
        <v>-36</v>
      </c>
      <c r="E107" s="106">
        <v>0.0</v>
      </c>
      <c r="F107" s="107">
        <v>9.0</v>
      </c>
      <c r="G107" s="107">
        <f t="shared" si="112"/>
        <v>-9</v>
      </c>
      <c r="H107" s="108">
        <v>0.0</v>
      </c>
      <c r="I107" s="109">
        <v>0.0</v>
      </c>
      <c r="J107" s="109">
        <f t="shared" si="113"/>
        <v>0</v>
      </c>
      <c r="K107" s="110" t="str">
        <f t="shared" si="106"/>
        <v>#DIV/0!</v>
      </c>
      <c r="L107" s="111">
        <v>0.3</v>
      </c>
      <c r="M107" s="114" t="str">
        <f t="shared" si="114"/>
        <v>#DIV/0!</v>
      </c>
      <c r="N107" s="109" t="str">
        <f t="shared" si="108"/>
        <v/>
      </c>
      <c r="O107" s="112">
        <v>250.0</v>
      </c>
      <c r="P107" s="109">
        <f t="shared" si="109"/>
        <v>-250</v>
      </c>
      <c r="R107" s="115" t="s">
        <v>15</v>
      </c>
    </row>
    <row r="108" hidden="1" outlineLevel="1">
      <c r="A108" s="105">
        <v>45998.0</v>
      </c>
      <c r="B108" s="106"/>
      <c r="C108" s="160"/>
      <c r="D108" s="107"/>
      <c r="E108" s="106"/>
      <c r="F108" s="107"/>
      <c r="G108" s="107"/>
      <c r="H108" s="108"/>
      <c r="I108" s="109"/>
      <c r="J108" s="109"/>
      <c r="K108" s="110"/>
      <c r="L108" s="111"/>
      <c r="M108" s="114"/>
      <c r="N108" s="109"/>
      <c r="O108" s="112"/>
      <c r="P108" s="114"/>
      <c r="R108" s="113" t="s">
        <v>8</v>
      </c>
      <c r="S108" s="116">
        <v>45000.0</v>
      </c>
      <c r="T108" s="118">
        <f>S108-S111</f>
        <v>31165.84</v>
      </c>
    </row>
    <row r="109" hidden="1" outlineLevel="1">
      <c r="A109" s="105">
        <v>45999.0</v>
      </c>
      <c r="B109" s="106">
        <v>8.0</v>
      </c>
      <c r="C109" s="159">
        <v>36.0</v>
      </c>
      <c r="D109" s="107">
        <f t="shared" ref="D109:D114" si="115">B109-C109</f>
        <v>-28</v>
      </c>
      <c r="E109" s="106">
        <v>3.0</v>
      </c>
      <c r="F109" s="107">
        <v>9.0</v>
      </c>
      <c r="G109" s="107">
        <f t="shared" ref="G109:G114" si="116">E109-F109</f>
        <v>-6</v>
      </c>
      <c r="H109" s="108">
        <v>501.93</v>
      </c>
      <c r="I109" s="109">
        <v>2250.0</v>
      </c>
      <c r="J109" s="109">
        <f t="shared" ref="J109:J114" si="117">H109-I109</f>
        <v>-1748.07</v>
      </c>
      <c r="K109" s="110">
        <f t="shared" ref="K109:K114" si="118">E109/B109</f>
        <v>0.375</v>
      </c>
      <c r="L109" s="111">
        <v>0.3</v>
      </c>
      <c r="M109" s="111">
        <f t="shared" ref="M109:M114" si="119">L109-K109</f>
        <v>-0.075</v>
      </c>
      <c r="N109" s="109">
        <f t="shared" ref="N109:N114" si="120">IFERROR(H109/E109,"")</f>
        <v>167.31</v>
      </c>
      <c r="O109" s="112">
        <v>250.0</v>
      </c>
      <c r="P109" s="109">
        <f t="shared" ref="P109:P114" si="121">N109-O109</f>
        <v>-82.69</v>
      </c>
      <c r="R109" s="113" t="s">
        <v>45</v>
      </c>
      <c r="S109" s="117">
        <f>S108/30</f>
        <v>1500</v>
      </c>
    </row>
    <row r="110" hidden="1" outlineLevel="1">
      <c r="A110" s="105">
        <v>46000.0</v>
      </c>
      <c r="B110" s="106">
        <v>21.0</v>
      </c>
      <c r="C110" s="158">
        <v>36.0</v>
      </c>
      <c r="D110" s="107">
        <f t="shared" si="115"/>
        <v>-15</v>
      </c>
      <c r="E110" s="106">
        <v>4.0</v>
      </c>
      <c r="F110" s="107">
        <v>9.0</v>
      </c>
      <c r="G110" s="107">
        <f t="shared" si="116"/>
        <v>-5</v>
      </c>
      <c r="H110" s="108">
        <v>1179.92</v>
      </c>
      <c r="I110" s="109">
        <v>2250.0</v>
      </c>
      <c r="J110" s="109">
        <f t="shared" si="117"/>
        <v>-1070.08</v>
      </c>
      <c r="K110" s="110">
        <f t="shared" si="118"/>
        <v>0.1904761905</v>
      </c>
      <c r="L110" s="111">
        <v>0.3</v>
      </c>
      <c r="M110" s="111">
        <f t="shared" si="119"/>
        <v>0.1095238095</v>
      </c>
      <c r="N110" s="109">
        <f t="shared" si="120"/>
        <v>294.98</v>
      </c>
      <c r="O110" s="112">
        <v>250.0</v>
      </c>
      <c r="P110" s="109">
        <f t="shared" si="121"/>
        <v>44.98</v>
      </c>
      <c r="R110" s="113" t="s">
        <v>46</v>
      </c>
      <c r="S110" s="117">
        <f>S108/20</f>
        <v>2250</v>
      </c>
    </row>
    <row r="111" hidden="1" outlineLevel="1">
      <c r="A111" s="105">
        <v>46001.0</v>
      </c>
      <c r="B111" s="106">
        <v>21.0</v>
      </c>
      <c r="C111" s="159">
        <v>36.0</v>
      </c>
      <c r="D111" s="107">
        <f t="shared" si="115"/>
        <v>-15</v>
      </c>
      <c r="E111" s="106">
        <v>3.0</v>
      </c>
      <c r="F111" s="107">
        <v>9.0</v>
      </c>
      <c r="G111" s="107">
        <f t="shared" si="116"/>
        <v>-6</v>
      </c>
      <c r="H111" s="108">
        <v>700.62</v>
      </c>
      <c r="I111" s="109">
        <v>2250.0</v>
      </c>
      <c r="J111" s="109">
        <f t="shared" si="117"/>
        <v>-1549.38</v>
      </c>
      <c r="K111" s="110">
        <f t="shared" si="118"/>
        <v>0.1428571429</v>
      </c>
      <c r="L111" s="111">
        <v>0.3</v>
      </c>
      <c r="M111" s="111">
        <f t="shared" si="119"/>
        <v>0.1571428571</v>
      </c>
      <c r="N111" s="109">
        <f t="shared" si="120"/>
        <v>233.54</v>
      </c>
      <c r="O111" s="112">
        <v>250.0</v>
      </c>
      <c r="P111" s="109">
        <f t="shared" si="121"/>
        <v>-16.46</v>
      </c>
      <c r="R111" s="113" t="s">
        <v>7</v>
      </c>
      <c r="S111" s="117">
        <f>H101</f>
        <v>13834.16</v>
      </c>
    </row>
    <row r="112" hidden="1" outlineLevel="1">
      <c r="A112" s="105">
        <v>46002.0</v>
      </c>
      <c r="B112" s="106">
        <v>11.0</v>
      </c>
      <c r="C112" s="158">
        <v>36.0</v>
      </c>
      <c r="D112" s="107">
        <f t="shared" si="115"/>
        <v>-25</v>
      </c>
      <c r="E112" s="106">
        <v>7.0</v>
      </c>
      <c r="F112" s="107">
        <v>9.0</v>
      </c>
      <c r="G112" s="107">
        <f t="shared" si="116"/>
        <v>-2</v>
      </c>
      <c r="H112" s="108">
        <v>1702.02</v>
      </c>
      <c r="I112" s="109">
        <v>2250.0</v>
      </c>
      <c r="J112" s="109">
        <f t="shared" si="117"/>
        <v>-547.98</v>
      </c>
      <c r="K112" s="110">
        <f t="shared" si="118"/>
        <v>0.6363636364</v>
      </c>
      <c r="L112" s="111">
        <v>0.3</v>
      </c>
      <c r="M112" s="111">
        <f t="shared" si="119"/>
        <v>-0.3363636364</v>
      </c>
      <c r="N112" s="109">
        <f t="shared" si="120"/>
        <v>243.1457143</v>
      </c>
      <c r="O112" s="112">
        <v>250.0</v>
      </c>
      <c r="P112" s="109">
        <f t="shared" si="121"/>
        <v>-6.854285714</v>
      </c>
      <c r="R112" s="113" t="s">
        <v>47</v>
      </c>
      <c r="S112" s="119">
        <f>S111/S108</f>
        <v>0.3074257778</v>
      </c>
    </row>
    <row r="113" hidden="1" outlineLevel="1">
      <c r="A113" s="105">
        <v>46003.0</v>
      </c>
      <c r="B113" s="106">
        <v>21.0</v>
      </c>
      <c r="C113" s="159">
        <v>36.0</v>
      </c>
      <c r="D113" s="107">
        <f t="shared" si="115"/>
        <v>-15</v>
      </c>
      <c r="E113" s="106">
        <v>5.0</v>
      </c>
      <c r="F113" s="107">
        <v>9.0</v>
      </c>
      <c r="G113" s="107">
        <f t="shared" si="116"/>
        <v>-4</v>
      </c>
      <c r="H113" s="108">
        <v>766.5</v>
      </c>
      <c r="I113" s="109">
        <v>2250.0</v>
      </c>
      <c r="J113" s="109">
        <f t="shared" si="117"/>
        <v>-1483.5</v>
      </c>
      <c r="K113" s="110">
        <f t="shared" si="118"/>
        <v>0.2380952381</v>
      </c>
      <c r="L113" s="111">
        <v>0.3</v>
      </c>
      <c r="M113" s="111">
        <f t="shared" si="119"/>
        <v>0.0619047619</v>
      </c>
      <c r="N113" s="109">
        <f t="shared" si="120"/>
        <v>153.3</v>
      </c>
      <c r="O113" s="112">
        <v>250.0</v>
      </c>
      <c r="P113" s="109">
        <f t="shared" si="121"/>
        <v>-96.7</v>
      </c>
      <c r="R113" s="113" t="s">
        <v>48</v>
      </c>
      <c r="S113" s="120">
        <v>4.0</v>
      </c>
    </row>
    <row r="114" hidden="1" outlineLevel="1">
      <c r="A114" s="105">
        <v>46004.0</v>
      </c>
      <c r="B114" s="106">
        <v>0.0</v>
      </c>
      <c r="C114" s="158">
        <v>36.0</v>
      </c>
      <c r="D114" s="107">
        <f t="shared" si="115"/>
        <v>-36</v>
      </c>
      <c r="E114" s="106">
        <v>0.0</v>
      </c>
      <c r="F114" s="107">
        <v>9.0</v>
      </c>
      <c r="G114" s="107">
        <f t="shared" si="116"/>
        <v>-9</v>
      </c>
      <c r="H114" s="108">
        <v>0.0</v>
      </c>
      <c r="I114" s="109">
        <v>0.0</v>
      </c>
      <c r="J114" s="109">
        <f t="shared" si="117"/>
        <v>0</v>
      </c>
      <c r="K114" s="110" t="str">
        <f t="shared" si="118"/>
        <v>#DIV/0!</v>
      </c>
      <c r="L114" s="111">
        <v>0.3</v>
      </c>
      <c r="M114" s="114" t="str">
        <f t="shared" si="119"/>
        <v>#DIV/0!</v>
      </c>
      <c r="N114" s="109" t="str">
        <f t="shared" si="120"/>
        <v/>
      </c>
      <c r="O114" s="112">
        <v>250.0</v>
      </c>
      <c r="P114" s="109">
        <f t="shared" si="121"/>
        <v>-250</v>
      </c>
      <c r="R114" s="113" t="s">
        <v>49</v>
      </c>
      <c r="S114" s="121">
        <f>(S108-S111)/S113</f>
        <v>7791.46</v>
      </c>
    </row>
    <row r="115" hidden="1" outlineLevel="1">
      <c r="A115" s="105">
        <v>46005.0</v>
      </c>
      <c r="B115" s="106"/>
      <c r="C115" s="161"/>
      <c r="D115" s="107"/>
      <c r="E115" s="106"/>
      <c r="F115" s="107"/>
      <c r="G115" s="107"/>
      <c r="H115" s="108"/>
      <c r="I115" s="109"/>
      <c r="J115" s="109"/>
      <c r="K115" s="110"/>
      <c r="L115" s="111"/>
      <c r="M115" s="114"/>
      <c r="N115" s="109"/>
      <c r="O115" s="112"/>
      <c r="P115" s="114"/>
      <c r="R115" s="113" t="s">
        <v>50</v>
      </c>
      <c r="S115" s="122">
        <f>N101</f>
        <v>238.52</v>
      </c>
    </row>
    <row r="116" hidden="1" outlineLevel="1">
      <c r="A116" s="105">
        <v>46006.0</v>
      </c>
      <c r="B116" s="106">
        <v>4.0</v>
      </c>
      <c r="C116" s="162">
        <v>36.0</v>
      </c>
      <c r="D116" s="107">
        <f t="shared" ref="D116:D121" si="122">B116-C116</f>
        <v>-32</v>
      </c>
      <c r="E116" s="106">
        <v>4.0</v>
      </c>
      <c r="F116" s="107">
        <v>9.0</v>
      </c>
      <c r="G116" s="107">
        <f t="shared" ref="G116:G121" si="123">E116-F116</f>
        <v>-5</v>
      </c>
      <c r="H116" s="108">
        <v>452.8</v>
      </c>
      <c r="I116" s="109">
        <v>2250.0</v>
      </c>
      <c r="J116" s="109">
        <f t="shared" ref="J116:J121" si="124">H116-I116</f>
        <v>-1797.2</v>
      </c>
      <c r="K116" s="110">
        <f t="shared" ref="K116:K121" si="125">E116/B116</f>
        <v>1</v>
      </c>
      <c r="L116" s="111">
        <v>0.3</v>
      </c>
      <c r="M116" s="111">
        <f t="shared" ref="M116:M121" si="126">L116-K116</f>
        <v>-0.7</v>
      </c>
      <c r="N116" s="109">
        <f t="shared" ref="N116:N121" si="127">IFERROR(H116/E116,"")</f>
        <v>113.2</v>
      </c>
      <c r="O116" s="112">
        <v>250.0</v>
      </c>
      <c r="P116" s="109">
        <f t="shared" ref="P116:P121" si="128">N116-O116</f>
        <v>-136.8</v>
      </c>
      <c r="R116" s="113" t="s">
        <v>51</v>
      </c>
      <c r="S116" s="128">
        <f>B101</f>
        <v>165</v>
      </c>
    </row>
    <row r="117" hidden="1" outlineLevel="1">
      <c r="A117" s="105">
        <v>46007.0</v>
      </c>
      <c r="B117" s="106">
        <v>9.0</v>
      </c>
      <c r="C117" s="163">
        <v>36.0</v>
      </c>
      <c r="D117" s="107">
        <f t="shared" si="122"/>
        <v>-27</v>
      </c>
      <c r="E117" s="106">
        <v>6.0</v>
      </c>
      <c r="F117" s="107">
        <v>9.0</v>
      </c>
      <c r="G117" s="107">
        <f t="shared" si="123"/>
        <v>-3</v>
      </c>
      <c r="H117" s="108">
        <v>1817.75</v>
      </c>
      <c r="I117" s="109">
        <v>2250.0</v>
      </c>
      <c r="J117" s="109">
        <f t="shared" si="124"/>
        <v>-432.25</v>
      </c>
      <c r="K117" s="110">
        <f t="shared" si="125"/>
        <v>0.6666666667</v>
      </c>
      <c r="L117" s="111">
        <v>0.3</v>
      </c>
      <c r="M117" s="111">
        <f t="shared" si="126"/>
        <v>-0.3666666667</v>
      </c>
      <c r="N117" s="109">
        <f t="shared" si="127"/>
        <v>302.9583333</v>
      </c>
      <c r="O117" s="112">
        <v>250.0</v>
      </c>
      <c r="P117" s="109">
        <f t="shared" si="128"/>
        <v>52.95833333</v>
      </c>
      <c r="R117" s="113" t="s">
        <v>52</v>
      </c>
      <c r="S117" s="128">
        <f>E101</f>
        <v>58</v>
      </c>
    </row>
    <row r="118" hidden="1" outlineLevel="1">
      <c r="A118" s="105">
        <v>46008.0</v>
      </c>
      <c r="B118" s="106">
        <v>8.0</v>
      </c>
      <c r="C118" s="162">
        <v>36.0</v>
      </c>
      <c r="D118" s="107">
        <f t="shared" si="122"/>
        <v>-28</v>
      </c>
      <c r="E118" s="106">
        <v>2.0</v>
      </c>
      <c r="F118" s="107">
        <v>9.0</v>
      </c>
      <c r="G118" s="107">
        <f t="shared" si="123"/>
        <v>-7</v>
      </c>
      <c r="H118" s="108">
        <v>354.34</v>
      </c>
      <c r="I118" s="109">
        <v>2250.0</v>
      </c>
      <c r="J118" s="109">
        <f t="shared" si="124"/>
        <v>-1895.66</v>
      </c>
      <c r="K118" s="110">
        <f t="shared" si="125"/>
        <v>0.25</v>
      </c>
      <c r="L118" s="111">
        <v>0.3</v>
      </c>
      <c r="M118" s="111">
        <f t="shared" si="126"/>
        <v>0.05</v>
      </c>
      <c r="N118" s="109">
        <f t="shared" si="127"/>
        <v>177.17</v>
      </c>
      <c r="O118" s="112">
        <v>250.0</v>
      </c>
      <c r="P118" s="109">
        <f t="shared" si="128"/>
        <v>-72.83</v>
      </c>
      <c r="R118" s="113" t="s">
        <v>4</v>
      </c>
      <c r="S118" s="119">
        <f>E101/B101</f>
        <v>0.3515151515</v>
      </c>
    </row>
    <row r="119" hidden="1" outlineLevel="1">
      <c r="A119" s="105">
        <v>46009.0</v>
      </c>
      <c r="B119" s="106">
        <v>5.0</v>
      </c>
      <c r="C119" s="163">
        <v>36.0</v>
      </c>
      <c r="D119" s="107">
        <f t="shared" si="122"/>
        <v>-31</v>
      </c>
      <c r="E119" s="106">
        <v>3.0</v>
      </c>
      <c r="F119" s="107">
        <v>9.0</v>
      </c>
      <c r="G119" s="107">
        <f t="shared" si="123"/>
        <v>-6</v>
      </c>
      <c r="H119" s="108">
        <v>268.32</v>
      </c>
      <c r="I119" s="109">
        <v>2250.0</v>
      </c>
      <c r="J119" s="109">
        <f t="shared" si="124"/>
        <v>-1981.68</v>
      </c>
      <c r="K119" s="110">
        <f t="shared" si="125"/>
        <v>0.6</v>
      </c>
      <c r="L119" s="111">
        <v>0.3</v>
      </c>
      <c r="M119" s="111">
        <f t="shared" si="126"/>
        <v>-0.3</v>
      </c>
      <c r="N119" s="109">
        <f t="shared" si="127"/>
        <v>89.44</v>
      </c>
      <c r="O119" s="112">
        <v>250.0</v>
      </c>
      <c r="P119" s="109">
        <f t="shared" si="128"/>
        <v>-160.56</v>
      </c>
      <c r="S119" s="94"/>
    </row>
    <row r="120" hidden="1" outlineLevel="1">
      <c r="A120" s="105">
        <v>46010.0</v>
      </c>
      <c r="B120" s="106">
        <v>6.0</v>
      </c>
      <c r="C120" s="162">
        <v>36.0</v>
      </c>
      <c r="D120" s="107">
        <f t="shared" si="122"/>
        <v>-30</v>
      </c>
      <c r="E120" s="106">
        <v>1.0</v>
      </c>
      <c r="F120" s="107">
        <v>9.0</v>
      </c>
      <c r="G120" s="107">
        <f t="shared" si="123"/>
        <v>-8</v>
      </c>
      <c r="H120" s="108">
        <v>70.0</v>
      </c>
      <c r="I120" s="109">
        <v>2250.0</v>
      </c>
      <c r="J120" s="109">
        <f t="shared" si="124"/>
        <v>-2180</v>
      </c>
      <c r="K120" s="110">
        <f t="shared" si="125"/>
        <v>0.1666666667</v>
      </c>
      <c r="L120" s="111">
        <v>0.3</v>
      </c>
      <c r="M120" s="111">
        <f t="shared" si="126"/>
        <v>0.1333333333</v>
      </c>
      <c r="N120" s="109">
        <f t="shared" si="127"/>
        <v>70</v>
      </c>
      <c r="O120" s="112">
        <v>250.0</v>
      </c>
      <c r="P120" s="109">
        <f t="shared" si="128"/>
        <v>-180</v>
      </c>
      <c r="S120" s="94"/>
    </row>
    <row r="121" hidden="1" outlineLevel="1">
      <c r="A121" s="105">
        <v>46011.0</v>
      </c>
      <c r="B121" s="106">
        <v>0.0</v>
      </c>
      <c r="C121" s="163">
        <v>36.0</v>
      </c>
      <c r="D121" s="107">
        <f t="shared" si="122"/>
        <v>-36</v>
      </c>
      <c r="E121" s="106">
        <v>0.0</v>
      </c>
      <c r="F121" s="107">
        <v>9.0</v>
      </c>
      <c r="G121" s="107">
        <f t="shared" si="123"/>
        <v>-9</v>
      </c>
      <c r="H121" s="108">
        <v>0.0</v>
      </c>
      <c r="I121" s="109">
        <v>0.0</v>
      </c>
      <c r="J121" s="109">
        <f t="shared" si="124"/>
        <v>0</v>
      </c>
      <c r="K121" s="110" t="str">
        <f t="shared" si="125"/>
        <v>#DIV/0!</v>
      </c>
      <c r="L121" s="111">
        <v>0.3</v>
      </c>
      <c r="M121" s="114" t="str">
        <f t="shared" si="126"/>
        <v>#DIV/0!</v>
      </c>
      <c r="N121" s="109" t="str">
        <f t="shared" si="127"/>
        <v/>
      </c>
      <c r="O121" s="112">
        <v>250.0</v>
      </c>
      <c r="P121" s="109">
        <f t="shared" si="128"/>
        <v>-250</v>
      </c>
      <c r="S121" s="94"/>
    </row>
    <row r="122" hidden="1" outlineLevel="1">
      <c r="A122" s="105">
        <v>46012.0</v>
      </c>
      <c r="B122" s="106"/>
      <c r="C122" s="160"/>
      <c r="D122" s="107"/>
      <c r="E122" s="106"/>
      <c r="F122" s="107"/>
      <c r="G122" s="107"/>
      <c r="H122" s="108"/>
      <c r="I122" s="109"/>
      <c r="J122" s="109"/>
      <c r="K122" s="110"/>
      <c r="L122" s="111"/>
      <c r="M122" s="114"/>
      <c r="N122" s="109"/>
      <c r="O122" s="112"/>
      <c r="P122" s="114"/>
      <c r="S122" s="94"/>
    </row>
    <row r="123" hidden="1" outlineLevel="1">
      <c r="A123" s="105">
        <v>46013.0</v>
      </c>
      <c r="B123" s="106">
        <v>9.0</v>
      </c>
      <c r="C123" s="163">
        <v>36.0</v>
      </c>
      <c r="D123" s="107">
        <f t="shared" ref="D123:D128" si="129">B123-C123</f>
        <v>-27</v>
      </c>
      <c r="E123" s="106">
        <v>6.0</v>
      </c>
      <c r="F123" s="107">
        <v>9.0</v>
      </c>
      <c r="G123" s="107">
        <f t="shared" ref="G123:G128" si="130">E123-F123</f>
        <v>-3</v>
      </c>
      <c r="H123" s="108">
        <v>2652.26</v>
      </c>
      <c r="I123" s="109">
        <v>2250.0</v>
      </c>
      <c r="J123" s="109">
        <f t="shared" ref="J123:J128" si="131">H123-I123</f>
        <v>402.26</v>
      </c>
      <c r="K123" s="110">
        <f t="shared" ref="K123:K128" si="132">E123/B123</f>
        <v>0.6666666667</v>
      </c>
      <c r="L123" s="111">
        <v>0.3</v>
      </c>
      <c r="M123" s="111">
        <f t="shared" ref="M123:M128" si="133">L123-K123</f>
        <v>-0.3666666667</v>
      </c>
      <c r="N123" s="109">
        <f t="shared" ref="N123:N128" si="134">IFERROR(H123/E123,"")</f>
        <v>442.0433333</v>
      </c>
      <c r="O123" s="112">
        <v>250.0</v>
      </c>
      <c r="P123" s="109">
        <f t="shared" ref="P123:P128" si="135">N123-O123</f>
        <v>192.0433333</v>
      </c>
      <c r="S123" s="94"/>
    </row>
    <row r="124" hidden="1" outlineLevel="1">
      <c r="A124" s="105">
        <v>46014.0</v>
      </c>
      <c r="B124" s="106">
        <v>0.0</v>
      </c>
      <c r="C124" s="162">
        <v>36.0</v>
      </c>
      <c r="D124" s="107">
        <f t="shared" si="129"/>
        <v>-36</v>
      </c>
      <c r="E124" s="106">
        <v>0.0</v>
      </c>
      <c r="F124" s="107">
        <v>9.0</v>
      </c>
      <c r="G124" s="107">
        <f t="shared" si="130"/>
        <v>-9</v>
      </c>
      <c r="H124" s="108">
        <v>0.0</v>
      </c>
      <c r="I124" s="109">
        <v>2250.0</v>
      </c>
      <c r="J124" s="109">
        <f t="shared" si="131"/>
        <v>-2250</v>
      </c>
      <c r="K124" s="110" t="str">
        <f t="shared" si="132"/>
        <v>#DIV/0!</v>
      </c>
      <c r="L124" s="111">
        <v>0.3</v>
      </c>
      <c r="M124" s="114" t="str">
        <f t="shared" si="133"/>
        <v>#DIV/0!</v>
      </c>
      <c r="N124" s="109" t="str">
        <f t="shared" si="134"/>
        <v/>
      </c>
      <c r="O124" s="112">
        <v>250.0</v>
      </c>
      <c r="P124" s="109">
        <f t="shared" si="135"/>
        <v>-250</v>
      </c>
      <c r="S124" s="94"/>
    </row>
    <row r="125" hidden="1" outlineLevel="1">
      <c r="A125" s="144">
        <v>46015.0</v>
      </c>
      <c r="B125" s="145">
        <v>0.0</v>
      </c>
      <c r="C125" s="164">
        <v>0.0</v>
      </c>
      <c r="D125" s="145">
        <f t="shared" si="129"/>
        <v>0</v>
      </c>
      <c r="E125" s="145">
        <v>0.0</v>
      </c>
      <c r="F125" s="145">
        <v>9.0</v>
      </c>
      <c r="G125" s="145">
        <f t="shared" si="130"/>
        <v>-9</v>
      </c>
      <c r="H125" s="146">
        <v>0.0</v>
      </c>
      <c r="I125" s="146">
        <v>0.0</v>
      </c>
      <c r="J125" s="146">
        <f t="shared" si="131"/>
        <v>0</v>
      </c>
      <c r="K125" s="147" t="str">
        <f t="shared" si="132"/>
        <v>#DIV/0!</v>
      </c>
      <c r="L125" s="148">
        <v>0.3</v>
      </c>
      <c r="M125" s="149" t="str">
        <f t="shared" si="133"/>
        <v>#DIV/0!</v>
      </c>
      <c r="N125" s="146" t="str">
        <f t="shared" si="134"/>
        <v/>
      </c>
      <c r="O125" s="150">
        <v>250.0</v>
      </c>
      <c r="P125" s="146">
        <f t="shared" si="135"/>
        <v>-250</v>
      </c>
      <c r="S125" s="94"/>
    </row>
    <row r="126" hidden="1" outlineLevel="1">
      <c r="A126" s="151">
        <v>46016.0</v>
      </c>
      <c r="B126" s="152">
        <v>0.0</v>
      </c>
      <c r="C126" s="165">
        <v>0.0</v>
      </c>
      <c r="D126" s="152">
        <f t="shared" si="129"/>
        <v>0</v>
      </c>
      <c r="E126" s="152">
        <v>0.0</v>
      </c>
      <c r="F126" s="152">
        <v>9.0</v>
      </c>
      <c r="G126" s="152">
        <f t="shared" si="130"/>
        <v>-9</v>
      </c>
      <c r="H126" s="153">
        <v>0.0</v>
      </c>
      <c r="I126" s="153">
        <v>0.0</v>
      </c>
      <c r="J126" s="153">
        <f t="shared" si="131"/>
        <v>0</v>
      </c>
      <c r="K126" s="154" t="str">
        <f t="shared" si="132"/>
        <v>#DIV/0!</v>
      </c>
      <c r="L126" s="155">
        <v>0.3</v>
      </c>
      <c r="M126" s="156" t="str">
        <f t="shared" si="133"/>
        <v>#DIV/0!</v>
      </c>
      <c r="N126" s="153" t="str">
        <f t="shared" si="134"/>
        <v/>
      </c>
      <c r="O126" s="157">
        <v>250.0</v>
      </c>
      <c r="P126" s="153">
        <f t="shared" si="135"/>
        <v>-250</v>
      </c>
      <c r="S126" s="94"/>
    </row>
    <row r="127" hidden="1" outlineLevel="1">
      <c r="A127" s="105">
        <v>46017.0</v>
      </c>
      <c r="B127" s="106">
        <v>0.0</v>
      </c>
      <c r="C127" s="163">
        <v>36.0</v>
      </c>
      <c r="D127" s="107">
        <f t="shared" si="129"/>
        <v>-36</v>
      </c>
      <c r="E127" s="106">
        <v>0.0</v>
      </c>
      <c r="F127" s="107">
        <v>9.0</v>
      </c>
      <c r="G127" s="107">
        <f t="shared" si="130"/>
        <v>-9</v>
      </c>
      <c r="H127" s="108">
        <v>0.0</v>
      </c>
      <c r="I127" s="109">
        <v>2250.0</v>
      </c>
      <c r="J127" s="109">
        <f t="shared" si="131"/>
        <v>-2250</v>
      </c>
      <c r="K127" s="110" t="str">
        <f t="shared" si="132"/>
        <v>#DIV/0!</v>
      </c>
      <c r="L127" s="111">
        <v>0.3</v>
      </c>
      <c r="M127" s="114" t="str">
        <f t="shared" si="133"/>
        <v>#DIV/0!</v>
      </c>
      <c r="N127" s="109" t="str">
        <f t="shared" si="134"/>
        <v/>
      </c>
      <c r="O127" s="112">
        <v>250.0</v>
      </c>
      <c r="P127" s="109">
        <f t="shared" si="135"/>
        <v>-250</v>
      </c>
      <c r="S127" s="94"/>
    </row>
    <row r="128" hidden="1" outlineLevel="1">
      <c r="A128" s="105">
        <v>46018.0</v>
      </c>
      <c r="B128" s="106">
        <v>0.0</v>
      </c>
      <c r="C128" s="162">
        <v>36.0</v>
      </c>
      <c r="D128" s="107">
        <f t="shared" si="129"/>
        <v>-36</v>
      </c>
      <c r="E128" s="106">
        <v>0.0</v>
      </c>
      <c r="F128" s="107">
        <v>9.0</v>
      </c>
      <c r="G128" s="107">
        <f t="shared" si="130"/>
        <v>-9</v>
      </c>
      <c r="H128" s="108">
        <v>0.0</v>
      </c>
      <c r="I128" s="109">
        <v>2250.0</v>
      </c>
      <c r="J128" s="109">
        <f t="shared" si="131"/>
        <v>-2250</v>
      </c>
      <c r="K128" s="110" t="str">
        <f t="shared" si="132"/>
        <v>#DIV/0!</v>
      </c>
      <c r="L128" s="111">
        <v>0.3</v>
      </c>
      <c r="M128" s="114" t="str">
        <f t="shared" si="133"/>
        <v>#DIV/0!</v>
      </c>
      <c r="N128" s="109" t="str">
        <f t="shared" si="134"/>
        <v/>
      </c>
      <c r="O128" s="112">
        <v>250.0</v>
      </c>
      <c r="P128" s="109">
        <f t="shared" si="135"/>
        <v>-250</v>
      </c>
      <c r="S128" s="94"/>
    </row>
    <row r="129" hidden="1" outlineLevel="1">
      <c r="A129" s="105">
        <v>46019.0</v>
      </c>
      <c r="B129" s="106"/>
      <c r="C129" s="161"/>
      <c r="D129" s="107"/>
      <c r="E129" s="106"/>
      <c r="F129" s="107"/>
      <c r="G129" s="107"/>
      <c r="H129" s="108"/>
      <c r="I129" s="109"/>
      <c r="J129" s="109"/>
      <c r="K129" s="110"/>
      <c r="L129" s="111"/>
      <c r="M129" s="114"/>
      <c r="N129" s="109"/>
      <c r="O129" s="112"/>
      <c r="P129" s="114"/>
      <c r="S129" s="94"/>
    </row>
    <row r="130" hidden="1" outlineLevel="1">
      <c r="A130" s="105">
        <v>46020.0</v>
      </c>
      <c r="B130" s="106">
        <v>0.0</v>
      </c>
      <c r="C130" s="158">
        <v>36.0</v>
      </c>
      <c r="D130" s="107">
        <f t="shared" ref="D130:D132" si="136">B130-C130</f>
        <v>-36</v>
      </c>
      <c r="E130" s="106">
        <v>0.0</v>
      </c>
      <c r="F130" s="107">
        <v>9.0</v>
      </c>
      <c r="G130" s="107">
        <f t="shared" ref="G130:G132" si="137">E130-F130</f>
        <v>-9</v>
      </c>
      <c r="H130" s="108">
        <v>0.0</v>
      </c>
      <c r="I130" s="109">
        <v>2250.0</v>
      </c>
      <c r="J130" s="109">
        <f t="shared" ref="J130:J132" si="138">H130-I130</f>
        <v>-2250</v>
      </c>
      <c r="K130" s="110" t="str">
        <f t="shared" ref="K130:K132" si="139">E130/B130</f>
        <v>#DIV/0!</v>
      </c>
      <c r="L130" s="111">
        <v>0.3</v>
      </c>
      <c r="M130" s="114" t="str">
        <f t="shared" ref="M130:M132" si="140">L130-K130</f>
        <v>#DIV/0!</v>
      </c>
      <c r="N130" s="109" t="str">
        <f t="shared" ref="N130:N132" si="141">IFERROR(H130/E130,"")</f>
        <v/>
      </c>
      <c r="O130" s="112">
        <v>250.0</v>
      </c>
      <c r="P130" s="109">
        <f t="shared" ref="P130:P132" si="142">N130-O130</f>
        <v>-250</v>
      </c>
      <c r="S130" s="94"/>
    </row>
    <row r="131" hidden="1" outlineLevel="1">
      <c r="A131" s="144">
        <v>46021.0</v>
      </c>
      <c r="B131" s="145">
        <v>0.0</v>
      </c>
      <c r="C131" s="164">
        <v>0.0</v>
      </c>
      <c r="D131" s="145">
        <f t="shared" si="136"/>
        <v>0</v>
      </c>
      <c r="E131" s="145">
        <v>0.0</v>
      </c>
      <c r="F131" s="145">
        <v>9.0</v>
      </c>
      <c r="G131" s="145">
        <f t="shared" si="137"/>
        <v>-9</v>
      </c>
      <c r="H131" s="146">
        <v>0.0</v>
      </c>
      <c r="I131" s="146">
        <v>0.0</v>
      </c>
      <c r="J131" s="146">
        <f t="shared" si="138"/>
        <v>0</v>
      </c>
      <c r="K131" s="147" t="str">
        <f t="shared" si="139"/>
        <v>#DIV/0!</v>
      </c>
      <c r="L131" s="148">
        <v>0.3</v>
      </c>
      <c r="M131" s="149" t="str">
        <f t="shared" si="140"/>
        <v>#DIV/0!</v>
      </c>
      <c r="N131" s="146" t="str">
        <f t="shared" si="141"/>
        <v/>
      </c>
      <c r="O131" s="150">
        <v>250.0</v>
      </c>
      <c r="P131" s="146">
        <f t="shared" si="142"/>
        <v>-250</v>
      </c>
      <c r="S131" s="94"/>
    </row>
    <row r="132" hidden="1" outlineLevel="1">
      <c r="A132" s="151">
        <v>46022.0</v>
      </c>
      <c r="B132" s="152">
        <v>0.0</v>
      </c>
      <c r="C132" s="165">
        <v>0.0</v>
      </c>
      <c r="D132" s="152">
        <f t="shared" si="136"/>
        <v>0</v>
      </c>
      <c r="E132" s="152">
        <v>0.0</v>
      </c>
      <c r="F132" s="152">
        <v>9.0</v>
      </c>
      <c r="G132" s="152">
        <f t="shared" si="137"/>
        <v>-9</v>
      </c>
      <c r="H132" s="153">
        <v>0.0</v>
      </c>
      <c r="I132" s="153">
        <v>0.0</v>
      </c>
      <c r="J132" s="153">
        <f t="shared" si="138"/>
        <v>0</v>
      </c>
      <c r="K132" s="154" t="str">
        <f t="shared" si="139"/>
        <v>#DIV/0!</v>
      </c>
      <c r="L132" s="155">
        <v>0.3</v>
      </c>
      <c r="M132" s="156" t="str">
        <f t="shared" si="140"/>
        <v>#DIV/0!</v>
      </c>
      <c r="N132" s="153" t="str">
        <f t="shared" si="141"/>
        <v/>
      </c>
      <c r="O132" s="157">
        <v>250.0</v>
      </c>
      <c r="P132" s="153">
        <f t="shared" si="142"/>
        <v>-250</v>
      </c>
      <c r="S132" s="94"/>
    </row>
    <row r="133">
      <c r="S133" s="94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66"/>
      <c r="K134" s="139"/>
      <c r="L134" s="140"/>
      <c r="N134" s="138"/>
      <c r="O134" s="141"/>
      <c r="S134" s="94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9"/>
      <c r="L135" s="140"/>
      <c r="N135" s="138"/>
      <c r="O135" s="141"/>
      <c r="S135" s="94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9"/>
      <c r="L136" s="140"/>
      <c r="N136" s="138"/>
      <c r="O136" s="141"/>
      <c r="S136" s="94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9"/>
      <c r="L137" s="140"/>
      <c r="N137" s="138"/>
      <c r="O137" s="141"/>
      <c r="S137" s="94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9"/>
      <c r="L138" s="140"/>
      <c r="N138" s="138"/>
      <c r="O138" s="141"/>
      <c r="S138" s="94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9"/>
      <c r="L139" s="140"/>
      <c r="N139" s="138"/>
      <c r="O139" s="141"/>
      <c r="S139" s="94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9"/>
      <c r="L140" s="140"/>
      <c r="N140" s="138"/>
      <c r="O140" s="141"/>
      <c r="S140" s="94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9"/>
      <c r="L141" s="140"/>
      <c r="N141" s="138"/>
      <c r="O141" s="141"/>
      <c r="S141" s="94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9"/>
      <c r="L142" s="140"/>
      <c r="N142" s="138"/>
      <c r="O142" s="141"/>
      <c r="S142" s="94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9"/>
      <c r="L143" s="140"/>
      <c r="N143" s="138"/>
      <c r="O143" s="141"/>
      <c r="S143" s="94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9"/>
      <c r="L144" s="140"/>
      <c r="N144" s="138"/>
      <c r="O144" s="141"/>
      <c r="S144" s="94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L145" s="140"/>
      <c r="N145" s="138"/>
      <c r="O145" s="141"/>
      <c r="S145" s="94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9"/>
      <c r="L146" s="140"/>
      <c r="N146" s="138"/>
      <c r="O146" s="141"/>
      <c r="S146" s="94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  <c r="L147" s="140"/>
      <c r="N147" s="138"/>
      <c r="O147" s="141"/>
      <c r="S147" s="94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9"/>
      <c r="L148" s="140"/>
      <c r="N148" s="138"/>
      <c r="O148" s="141"/>
      <c r="S148" s="94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9"/>
      <c r="L149" s="140"/>
      <c r="N149" s="138"/>
      <c r="O149" s="141"/>
      <c r="S149" s="94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9"/>
      <c r="L150" s="140"/>
      <c r="N150" s="138"/>
      <c r="O150" s="141"/>
      <c r="S150" s="94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L151" s="140"/>
      <c r="N151" s="138"/>
      <c r="O151" s="141"/>
      <c r="S151" s="94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9"/>
      <c r="L152" s="140"/>
      <c r="N152" s="138"/>
      <c r="O152" s="141"/>
      <c r="S152" s="94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9"/>
      <c r="L153" s="140"/>
      <c r="N153" s="138"/>
      <c r="O153" s="141"/>
      <c r="S153" s="94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9"/>
      <c r="L154" s="140"/>
      <c r="N154" s="138"/>
      <c r="O154" s="141"/>
      <c r="S154" s="94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9"/>
      <c r="L155" s="140"/>
      <c r="N155" s="138"/>
      <c r="O155" s="141"/>
      <c r="S155" s="94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9"/>
      <c r="L156" s="140"/>
      <c r="N156" s="138"/>
      <c r="O156" s="141"/>
      <c r="S156" s="94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9"/>
      <c r="L157" s="140"/>
      <c r="N157" s="138"/>
      <c r="O157" s="141"/>
      <c r="S157" s="94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9"/>
      <c r="L158" s="140"/>
      <c r="N158" s="138"/>
      <c r="O158" s="141"/>
      <c r="S158" s="94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9"/>
      <c r="L159" s="140"/>
      <c r="N159" s="138"/>
      <c r="O159" s="141"/>
      <c r="S159" s="94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9"/>
      <c r="L160" s="140"/>
      <c r="N160" s="138"/>
      <c r="O160" s="141"/>
      <c r="S160" s="94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9"/>
      <c r="L161" s="140"/>
      <c r="N161" s="138"/>
      <c r="O161" s="141"/>
      <c r="S161" s="94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9"/>
      <c r="L162" s="140"/>
      <c r="N162" s="138"/>
      <c r="O162" s="141"/>
      <c r="S162" s="94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9"/>
      <c r="L163" s="140"/>
      <c r="N163" s="138"/>
      <c r="O163" s="141"/>
      <c r="S163" s="94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9"/>
      <c r="L164" s="140"/>
      <c r="N164" s="138"/>
      <c r="O164" s="141"/>
      <c r="S164" s="94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9"/>
      <c r="L165" s="140"/>
      <c r="N165" s="138"/>
      <c r="O165" s="141"/>
      <c r="S165" s="94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9"/>
      <c r="L166" s="140"/>
      <c r="N166" s="138"/>
      <c r="O166" s="141"/>
      <c r="S166" s="94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9"/>
      <c r="L167" s="140"/>
      <c r="N167" s="138"/>
      <c r="O167" s="141"/>
      <c r="S167" s="94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9"/>
      <c r="L168" s="140"/>
      <c r="N168" s="138"/>
      <c r="O168" s="141"/>
      <c r="S168" s="94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9"/>
      <c r="L169" s="140"/>
      <c r="N169" s="138"/>
      <c r="O169" s="141"/>
      <c r="S169" s="94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9"/>
      <c r="L170" s="140"/>
      <c r="N170" s="138"/>
      <c r="O170" s="141"/>
      <c r="S170" s="94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9"/>
      <c r="L171" s="140"/>
      <c r="N171" s="138"/>
      <c r="O171" s="141"/>
      <c r="S171" s="94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9"/>
      <c r="L172" s="140"/>
      <c r="N172" s="138"/>
      <c r="O172" s="141"/>
      <c r="S172" s="94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9"/>
      <c r="L173" s="140"/>
      <c r="N173" s="138"/>
      <c r="O173" s="141"/>
      <c r="S173" s="94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9"/>
      <c r="L174" s="140"/>
      <c r="N174" s="138"/>
      <c r="O174" s="141"/>
      <c r="S174" s="94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9"/>
      <c r="L175" s="140"/>
      <c r="N175" s="138"/>
      <c r="O175" s="141"/>
      <c r="S175" s="94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9"/>
      <c r="L176" s="140"/>
      <c r="N176" s="138"/>
      <c r="O176" s="141"/>
      <c r="S176" s="94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9"/>
      <c r="L177" s="140"/>
      <c r="N177" s="138"/>
      <c r="O177" s="141"/>
      <c r="S177" s="94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9"/>
      <c r="L178" s="140"/>
      <c r="N178" s="138"/>
      <c r="O178" s="141"/>
      <c r="S178" s="94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9"/>
      <c r="L179" s="140"/>
      <c r="N179" s="138"/>
      <c r="O179" s="141"/>
      <c r="S179" s="94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9"/>
      <c r="L180" s="140"/>
      <c r="N180" s="138"/>
      <c r="O180" s="141"/>
      <c r="S180" s="94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9"/>
      <c r="L181" s="140"/>
      <c r="N181" s="138"/>
      <c r="O181" s="141"/>
      <c r="S181" s="94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L182" s="140"/>
      <c r="N182" s="138"/>
      <c r="O182" s="141"/>
      <c r="S182" s="94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9"/>
      <c r="L183" s="140"/>
      <c r="N183" s="138"/>
      <c r="O183" s="141"/>
      <c r="S183" s="94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9"/>
      <c r="L184" s="140"/>
      <c r="N184" s="138"/>
      <c r="O184" s="141"/>
      <c r="S184" s="94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9"/>
      <c r="L185" s="140"/>
      <c r="N185" s="138"/>
      <c r="O185" s="141"/>
      <c r="S185" s="94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9"/>
      <c r="L186" s="140"/>
      <c r="N186" s="138"/>
      <c r="O186" s="141"/>
      <c r="S186" s="94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9"/>
      <c r="L187" s="140"/>
      <c r="N187" s="138"/>
      <c r="O187" s="141"/>
      <c r="S187" s="94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L188" s="140"/>
      <c r="N188" s="138"/>
      <c r="O188" s="141"/>
      <c r="S188" s="94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9"/>
      <c r="L189" s="140"/>
      <c r="N189" s="138"/>
      <c r="O189" s="141"/>
      <c r="S189" s="94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9"/>
      <c r="L190" s="140"/>
      <c r="N190" s="138"/>
      <c r="O190" s="141"/>
      <c r="S190" s="94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9"/>
      <c r="L191" s="140"/>
      <c r="N191" s="138"/>
      <c r="O191" s="141"/>
      <c r="S191" s="94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9"/>
      <c r="L192" s="140"/>
      <c r="N192" s="138"/>
      <c r="O192" s="141"/>
      <c r="S192" s="94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9"/>
      <c r="L193" s="140"/>
      <c r="N193" s="138"/>
      <c r="O193" s="141"/>
      <c r="S193" s="94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9"/>
      <c r="L194" s="140"/>
      <c r="N194" s="138"/>
      <c r="O194" s="141"/>
      <c r="S194" s="94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9"/>
      <c r="L195" s="140"/>
      <c r="N195" s="138"/>
      <c r="O195" s="141"/>
      <c r="S195" s="94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9"/>
      <c r="L196" s="140"/>
      <c r="N196" s="138"/>
      <c r="O196" s="141"/>
      <c r="S196" s="94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9"/>
      <c r="L197" s="140"/>
      <c r="N197" s="138"/>
      <c r="O197" s="141"/>
      <c r="S197" s="94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9"/>
      <c r="L198" s="140"/>
      <c r="N198" s="138"/>
      <c r="O198" s="141"/>
      <c r="S198" s="94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9"/>
      <c r="L199" s="140"/>
      <c r="N199" s="138"/>
      <c r="O199" s="141"/>
      <c r="S199" s="94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9"/>
      <c r="L200" s="140"/>
      <c r="N200" s="138"/>
      <c r="O200" s="141"/>
      <c r="S200" s="94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9"/>
      <c r="L201" s="140"/>
      <c r="N201" s="138"/>
      <c r="O201" s="141"/>
      <c r="S201" s="94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9"/>
      <c r="L202" s="140"/>
      <c r="N202" s="138"/>
      <c r="O202" s="141"/>
      <c r="S202" s="94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9"/>
      <c r="L203" s="140"/>
      <c r="N203" s="138"/>
      <c r="O203" s="141"/>
      <c r="S203" s="94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9"/>
      <c r="L204" s="140"/>
      <c r="N204" s="138"/>
      <c r="O204" s="141"/>
      <c r="S204" s="94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9"/>
      <c r="L205" s="140"/>
      <c r="N205" s="138"/>
      <c r="O205" s="141"/>
      <c r="S205" s="94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9"/>
      <c r="L206" s="140"/>
      <c r="N206" s="138"/>
      <c r="O206" s="141"/>
      <c r="S206" s="94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9"/>
      <c r="L207" s="140"/>
      <c r="N207" s="138"/>
      <c r="O207" s="141"/>
      <c r="S207" s="94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9"/>
      <c r="L208" s="140"/>
      <c r="N208" s="138"/>
      <c r="O208" s="141"/>
      <c r="S208" s="94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9"/>
      <c r="L209" s="140"/>
      <c r="N209" s="138"/>
      <c r="O209" s="141"/>
      <c r="S209" s="94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9"/>
      <c r="L210" s="140"/>
      <c r="N210" s="138"/>
      <c r="O210" s="141"/>
      <c r="S210" s="94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9"/>
      <c r="L211" s="140"/>
      <c r="N211" s="138"/>
      <c r="O211" s="141"/>
      <c r="S211" s="94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9"/>
      <c r="L212" s="140"/>
      <c r="N212" s="138"/>
      <c r="O212" s="141"/>
      <c r="S212" s="94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9"/>
      <c r="L213" s="140"/>
      <c r="N213" s="138"/>
      <c r="O213" s="141"/>
      <c r="S213" s="94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9"/>
      <c r="L214" s="140"/>
      <c r="N214" s="138"/>
      <c r="O214" s="141"/>
      <c r="S214" s="94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9"/>
      <c r="L215" s="140"/>
      <c r="N215" s="138"/>
      <c r="O215" s="141"/>
      <c r="S215" s="94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9"/>
      <c r="L216" s="140"/>
      <c r="N216" s="138"/>
      <c r="O216" s="141"/>
      <c r="S216" s="94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9"/>
      <c r="L217" s="140"/>
      <c r="N217" s="138"/>
      <c r="O217" s="141"/>
      <c r="S217" s="94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9"/>
      <c r="L218" s="140"/>
      <c r="N218" s="138"/>
      <c r="O218" s="141"/>
      <c r="S218" s="94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L219" s="140"/>
      <c r="N219" s="138"/>
      <c r="O219" s="141"/>
      <c r="S219" s="94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9"/>
      <c r="L220" s="140"/>
      <c r="N220" s="138"/>
      <c r="O220" s="141"/>
      <c r="S220" s="94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9"/>
      <c r="L221" s="140"/>
      <c r="N221" s="138"/>
      <c r="O221" s="141"/>
      <c r="S221" s="94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9"/>
      <c r="L222" s="140"/>
      <c r="N222" s="138"/>
      <c r="O222" s="141"/>
      <c r="S222" s="94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9"/>
      <c r="L223" s="140"/>
      <c r="N223" s="138"/>
      <c r="O223" s="141"/>
      <c r="S223" s="94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9"/>
      <c r="L224" s="140"/>
      <c r="N224" s="138"/>
      <c r="O224" s="141"/>
      <c r="S224" s="94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L225" s="140"/>
      <c r="N225" s="138"/>
      <c r="O225" s="141"/>
      <c r="S225" s="94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L226" s="140"/>
      <c r="N226" s="138"/>
      <c r="O226" s="141"/>
      <c r="S226" s="94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9"/>
      <c r="L227" s="140"/>
      <c r="N227" s="138"/>
      <c r="O227" s="141"/>
      <c r="S227" s="94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9"/>
      <c r="L228" s="140"/>
      <c r="N228" s="138"/>
      <c r="O228" s="141"/>
      <c r="S228" s="94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9"/>
      <c r="L229" s="140"/>
      <c r="N229" s="138"/>
      <c r="O229" s="141"/>
      <c r="S229" s="94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9"/>
      <c r="L230" s="140"/>
      <c r="N230" s="138"/>
      <c r="O230" s="141"/>
      <c r="S230" s="94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9"/>
      <c r="L231" s="140"/>
      <c r="N231" s="138"/>
      <c r="O231" s="141"/>
      <c r="S231" s="94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9"/>
      <c r="L232" s="140"/>
      <c r="N232" s="138"/>
      <c r="O232" s="141"/>
      <c r="S232" s="94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9"/>
      <c r="L233" s="140"/>
      <c r="N233" s="138"/>
      <c r="O233" s="141"/>
      <c r="S233" s="94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9"/>
      <c r="L234" s="140"/>
      <c r="N234" s="138"/>
      <c r="O234" s="141"/>
      <c r="S234" s="94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9"/>
      <c r="L235" s="140"/>
      <c r="N235" s="138"/>
      <c r="O235" s="141"/>
      <c r="S235" s="94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9"/>
      <c r="L236" s="140"/>
      <c r="N236" s="138"/>
      <c r="O236" s="141"/>
      <c r="S236" s="94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9"/>
      <c r="L237" s="140"/>
      <c r="N237" s="138"/>
      <c r="O237" s="141"/>
      <c r="S237" s="94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9"/>
      <c r="L238" s="140"/>
      <c r="N238" s="138"/>
      <c r="O238" s="141"/>
      <c r="S238" s="94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9"/>
      <c r="L239" s="140"/>
      <c r="N239" s="138"/>
      <c r="O239" s="141"/>
      <c r="S239" s="94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9"/>
      <c r="L240" s="140"/>
      <c r="N240" s="138"/>
      <c r="O240" s="141"/>
      <c r="S240" s="94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9"/>
      <c r="L241" s="140"/>
      <c r="N241" s="138"/>
      <c r="O241" s="141"/>
      <c r="S241" s="94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9"/>
      <c r="L242" s="140"/>
      <c r="N242" s="138"/>
      <c r="O242" s="141"/>
      <c r="S242" s="94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9"/>
      <c r="L243" s="140"/>
      <c r="N243" s="138"/>
      <c r="O243" s="141"/>
      <c r="S243" s="94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9"/>
      <c r="L244" s="140"/>
      <c r="N244" s="138"/>
      <c r="O244" s="141"/>
      <c r="S244" s="94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9"/>
      <c r="L245" s="140"/>
      <c r="N245" s="138"/>
      <c r="O245" s="141"/>
      <c r="S245" s="94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9"/>
      <c r="L246" s="140"/>
      <c r="N246" s="138"/>
      <c r="O246" s="141"/>
      <c r="S246" s="94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9"/>
      <c r="L247" s="140"/>
      <c r="N247" s="138"/>
      <c r="O247" s="141"/>
      <c r="S247" s="94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9"/>
      <c r="L248" s="140"/>
      <c r="N248" s="138"/>
      <c r="O248" s="141"/>
      <c r="S248" s="94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9"/>
      <c r="L249" s="140"/>
      <c r="N249" s="138"/>
      <c r="O249" s="141"/>
      <c r="S249" s="94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9"/>
      <c r="L250" s="140"/>
      <c r="N250" s="138"/>
      <c r="O250" s="141"/>
      <c r="S250" s="94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9"/>
      <c r="L251" s="140"/>
      <c r="N251" s="138"/>
      <c r="O251" s="141"/>
      <c r="S251" s="94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9"/>
      <c r="L252" s="140"/>
      <c r="N252" s="138"/>
      <c r="O252" s="141"/>
      <c r="S252" s="94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9"/>
      <c r="L253" s="140"/>
      <c r="N253" s="138"/>
      <c r="O253" s="141"/>
      <c r="S253" s="94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9"/>
      <c r="L254" s="140"/>
      <c r="N254" s="138"/>
      <c r="O254" s="141"/>
      <c r="S254" s="94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9"/>
      <c r="L255" s="140"/>
      <c r="N255" s="138"/>
      <c r="O255" s="141"/>
      <c r="S255" s="94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L256" s="140"/>
      <c r="N256" s="138"/>
      <c r="O256" s="141"/>
      <c r="S256" s="94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9"/>
      <c r="L257" s="140"/>
      <c r="N257" s="138"/>
      <c r="O257" s="141"/>
      <c r="S257" s="94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9"/>
      <c r="L258" s="140"/>
      <c r="N258" s="138"/>
      <c r="O258" s="141"/>
      <c r="S258" s="94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9"/>
      <c r="L259" s="140"/>
      <c r="N259" s="138"/>
      <c r="O259" s="141"/>
      <c r="S259" s="94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9"/>
      <c r="L260" s="140"/>
      <c r="N260" s="138"/>
      <c r="O260" s="141"/>
      <c r="S260" s="94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9"/>
      <c r="L261" s="140"/>
      <c r="N261" s="138"/>
      <c r="O261" s="141"/>
      <c r="S261" s="94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L262" s="140"/>
      <c r="N262" s="138"/>
      <c r="O262" s="141"/>
      <c r="S262" s="94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9"/>
      <c r="L263" s="140"/>
      <c r="N263" s="138"/>
      <c r="O263" s="141"/>
      <c r="S263" s="94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9"/>
      <c r="L264" s="140"/>
      <c r="N264" s="138"/>
      <c r="O264" s="141"/>
      <c r="S264" s="94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9"/>
      <c r="L265" s="140"/>
      <c r="N265" s="138"/>
      <c r="O265" s="141"/>
      <c r="S265" s="94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9"/>
      <c r="L266" s="140"/>
      <c r="N266" s="138"/>
      <c r="O266" s="141"/>
      <c r="S266" s="94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9"/>
      <c r="L267" s="140"/>
      <c r="N267" s="138"/>
      <c r="O267" s="141"/>
      <c r="S267" s="94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9"/>
      <c r="L268" s="140"/>
      <c r="N268" s="138"/>
      <c r="O268" s="141"/>
      <c r="S268" s="94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9"/>
      <c r="L269" s="140"/>
      <c r="N269" s="138"/>
      <c r="O269" s="141"/>
      <c r="S269" s="94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9"/>
      <c r="L270" s="140"/>
      <c r="N270" s="138"/>
      <c r="O270" s="141"/>
      <c r="S270" s="94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9"/>
      <c r="L271" s="140"/>
      <c r="N271" s="138"/>
      <c r="O271" s="141"/>
      <c r="S271" s="94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9"/>
      <c r="L272" s="140"/>
      <c r="N272" s="138"/>
      <c r="O272" s="141"/>
      <c r="S272" s="94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9"/>
      <c r="L273" s="140"/>
      <c r="N273" s="138"/>
      <c r="O273" s="141"/>
      <c r="S273" s="94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9"/>
      <c r="L274" s="140"/>
      <c r="N274" s="138"/>
      <c r="O274" s="141"/>
      <c r="S274" s="94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9"/>
      <c r="L275" s="140"/>
      <c r="N275" s="138"/>
      <c r="O275" s="141"/>
      <c r="S275" s="94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9"/>
      <c r="L276" s="140"/>
      <c r="N276" s="138"/>
      <c r="O276" s="141"/>
      <c r="S276" s="94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9"/>
      <c r="L277" s="140"/>
      <c r="N277" s="138"/>
      <c r="O277" s="141"/>
      <c r="S277" s="94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9"/>
      <c r="L278" s="140"/>
      <c r="N278" s="138"/>
      <c r="O278" s="141"/>
      <c r="S278" s="94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9"/>
      <c r="L279" s="140"/>
      <c r="N279" s="138"/>
      <c r="O279" s="141"/>
      <c r="S279" s="94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9"/>
      <c r="L280" s="140"/>
      <c r="N280" s="138"/>
      <c r="O280" s="141"/>
      <c r="S280" s="94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9"/>
      <c r="L281" s="140"/>
      <c r="N281" s="138"/>
      <c r="O281" s="141"/>
      <c r="S281" s="94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9"/>
      <c r="L282" s="140"/>
      <c r="N282" s="138"/>
      <c r="O282" s="141"/>
      <c r="S282" s="94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9"/>
      <c r="L283" s="140"/>
      <c r="N283" s="138"/>
      <c r="O283" s="141"/>
      <c r="S283" s="94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9"/>
      <c r="L284" s="140"/>
      <c r="N284" s="138"/>
      <c r="O284" s="141"/>
      <c r="S284" s="94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9"/>
      <c r="L285" s="140"/>
      <c r="N285" s="138"/>
      <c r="O285" s="141"/>
      <c r="S285" s="94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9"/>
      <c r="L286" s="140"/>
      <c r="N286" s="138"/>
      <c r="O286" s="141"/>
      <c r="S286" s="94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9"/>
      <c r="L287" s="140"/>
      <c r="N287" s="138"/>
      <c r="O287" s="141"/>
      <c r="S287" s="94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9"/>
      <c r="L288" s="140"/>
      <c r="N288" s="138"/>
      <c r="O288" s="141"/>
      <c r="S288" s="94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9"/>
      <c r="L289" s="140"/>
      <c r="N289" s="138"/>
      <c r="O289" s="141"/>
      <c r="S289" s="94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9"/>
      <c r="L290" s="140"/>
      <c r="N290" s="138"/>
      <c r="O290" s="141"/>
      <c r="S290" s="94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9"/>
      <c r="L291" s="140"/>
      <c r="N291" s="138"/>
      <c r="O291" s="141"/>
      <c r="S291" s="94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9"/>
      <c r="L292" s="140"/>
      <c r="N292" s="138"/>
      <c r="O292" s="141"/>
      <c r="S292" s="94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L293" s="140"/>
      <c r="N293" s="138"/>
      <c r="O293" s="141"/>
      <c r="S293" s="94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9"/>
      <c r="L294" s="140"/>
      <c r="N294" s="138"/>
      <c r="O294" s="141"/>
      <c r="S294" s="94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9"/>
      <c r="L295" s="140"/>
      <c r="N295" s="138"/>
      <c r="O295" s="141"/>
      <c r="S295" s="94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9"/>
      <c r="L296" s="140"/>
      <c r="N296" s="138"/>
      <c r="O296" s="141"/>
      <c r="S296" s="94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9"/>
      <c r="L297" s="140"/>
      <c r="N297" s="138"/>
      <c r="O297" s="141"/>
      <c r="S297" s="94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9"/>
      <c r="L298" s="140"/>
      <c r="N298" s="138"/>
      <c r="O298" s="141"/>
      <c r="S298" s="94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L299" s="140"/>
      <c r="N299" s="138"/>
      <c r="O299" s="141"/>
      <c r="S299" s="94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9"/>
      <c r="L300" s="140"/>
      <c r="N300" s="138"/>
      <c r="O300" s="141"/>
      <c r="S300" s="94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9"/>
      <c r="L301" s="140"/>
      <c r="N301" s="138"/>
      <c r="O301" s="141"/>
      <c r="S301" s="94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9"/>
      <c r="L302" s="140"/>
      <c r="N302" s="138"/>
      <c r="O302" s="141"/>
      <c r="S302" s="94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9"/>
      <c r="L303" s="140"/>
      <c r="N303" s="138"/>
      <c r="O303" s="141"/>
      <c r="S303" s="94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9"/>
      <c r="L304" s="140"/>
      <c r="N304" s="138"/>
      <c r="O304" s="141"/>
      <c r="S304" s="94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9"/>
      <c r="L305" s="140"/>
      <c r="N305" s="138"/>
      <c r="O305" s="141"/>
      <c r="S305" s="94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9"/>
      <c r="L306" s="140"/>
      <c r="N306" s="138"/>
      <c r="O306" s="141"/>
      <c r="S306" s="94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9"/>
      <c r="L307" s="140"/>
      <c r="N307" s="138"/>
      <c r="O307" s="141"/>
      <c r="S307" s="94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9"/>
      <c r="L308" s="140"/>
      <c r="N308" s="138"/>
      <c r="O308" s="141"/>
      <c r="S308" s="94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9"/>
      <c r="L309" s="140"/>
      <c r="N309" s="138"/>
      <c r="O309" s="141"/>
      <c r="S309" s="94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9"/>
      <c r="L310" s="140"/>
      <c r="N310" s="138"/>
      <c r="O310" s="141"/>
      <c r="S310" s="94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9"/>
      <c r="L311" s="140"/>
      <c r="N311" s="138"/>
      <c r="O311" s="141"/>
      <c r="S311" s="94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9"/>
      <c r="L312" s="140"/>
      <c r="N312" s="138"/>
      <c r="O312" s="141"/>
      <c r="S312" s="94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9"/>
      <c r="L313" s="140"/>
      <c r="N313" s="138"/>
      <c r="O313" s="141"/>
      <c r="S313" s="94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9"/>
      <c r="L314" s="140"/>
      <c r="N314" s="138"/>
      <c r="O314" s="141"/>
      <c r="S314" s="94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9"/>
      <c r="L315" s="140"/>
      <c r="N315" s="138"/>
      <c r="O315" s="141"/>
      <c r="S315" s="94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9"/>
      <c r="L316" s="140"/>
      <c r="N316" s="138"/>
      <c r="O316" s="141"/>
      <c r="S316" s="94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9"/>
      <c r="L317" s="140"/>
      <c r="N317" s="138"/>
      <c r="O317" s="141"/>
      <c r="S317" s="94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9"/>
      <c r="L318" s="140"/>
      <c r="N318" s="138"/>
      <c r="O318" s="141"/>
      <c r="S318" s="94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9"/>
      <c r="L319" s="140"/>
      <c r="N319" s="138"/>
      <c r="O319" s="141"/>
      <c r="S319" s="94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9"/>
      <c r="L320" s="140"/>
      <c r="N320" s="138"/>
      <c r="O320" s="141"/>
      <c r="S320" s="94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9"/>
      <c r="L321" s="140"/>
      <c r="N321" s="138"/>
      <c r="O321" s="141"/>
      <c r="S321" s="94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9"/>
      <c r="L322" s="140"/>
      <c r="N322" s="138"/>
      <c r="O322" s="141"/>
      <c r="S322" s="94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9"/>
      <c r="L323" s="140"/>
      <c r="N323" s="138"/>
      <c r="O323" s="141"/>
      <c r="S323" s="94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9"/>
      <c r="L324" s="140"/>
      <c r="N324" s="138"/>
      <c r="O324" s="141"/>
      <c r="S324" s="94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9"/>
      <c r="L325" s="140"/>
      <c r="N325" s="138"/>
      <c r="O325" s="141"/>
      <c r="S325" s="94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9"/>
      <c r="L326" s="140"/>
      <c r="N326" s="138"/>
      <c r="O326" s="141"/>
      <c r="S326" s="94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9"/>
      <c r="L327" s="140"/>
      <c r="N327" s="138"/>
      <c r="O327" s="141"/>
      <c r="S327" s="94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9"/>
      <c r="L328" s="140"/>
      <c r="N328" s="138"/>
      <c r="O328" s="141"/>
      <c r="S328" s="94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9"/>
      <c r="L329" s="140"/>
      <c r="N329" s="138"/>
      <c r="O329" s="141"/>
      <c r="S329" s="94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L330" s="140"/>
      <c r="N330" s="138"/>
      <c r="O330" s="141"/>
      <c r="S330" s="94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9"/>
      <c r="L331" s="140"/>
      <c r="N331" s="138"/>
      <c r="O331" s="141"/>
      <c r="S331" s="94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9"/>
      <c r="L332" s="140"/>
      <c r="N332" s="138"/>
      <c r="O332" s="141"/>
      <c r="S332" s="94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9"/>
      <c r="L333" s="140"/>
      <c r="N333" s="138"/>
      <c r="O333" s="141"/>
      <c r="S333" s="94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9"/>
      <c r="L334" s="140"/>
      <c r="N334" s="138"/>
      <c r="O334" s="141"/>
      <c r="S334" s="94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9"/>
      <c r="L335" s="140"/>
      <c r="N335" s="138"/>
      <c r="O335" s="141"/>
      <c r="S335" s="94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L336" s="140"/>
      <c r="N336" s="138"/>
      <c r="O336" s="141"/>
      <c r="S336" s="94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9"/>
      <c r="L337" s="140"/>
      <c r="N337" s="138"/>
      <c r="O337" s="141"/>
      <c r="S337" s="94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9"/>
      <c r="L338" s="140"/>
      <c r="N338" s="138"/>
      <c r="O338" s="141"/>
      <c r="S338" s="94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9"/>
      <c r="L339" s="140"/>
      <c r="N339" s="138"/>
      <c r="O339" s="141"/>
      <c r="S339" s="94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9"/>
      <c r="L340" s="140"/>
      <c r="N340" s="138"/>
      <c r="O340" s="141"/>
      <c r="S340" s="94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9"/>
      <c r="L341" s="140"/>
      <c r="N341" s="138"/>
      <c r="O341" s="141"/>
      <c r="S341" s="94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9"/>
      <c r="L342" s="140"/>
      <c r="N342" s="138"/>
      <c r="O342" s="141"/>
      <c r="S342" s="94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9"/>
      <c r="L343" s="140"/>
      <c r="N343" s="138"/>
      <c r="O343" s="141"/>
      <c r="S343" s="94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9"/>
      <c r="L344" s="140"/>
      <c r="N344" s="138"/>
      <c r="O344" s="141"/>
      <c r="S344" s="94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9"/>
      <c r="L345" s="140"/>
      <c r="N345" s="138"/>
      <c r="O345" s="141"/>
      <c r="S345" s="94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9"/>
      <c r="L346" s="140"/>
      <c r="N346" s="138"/>
      <c r="O346" s="141"/>
      <c r="S346" s="94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9"/>
      <c r="L347" s="140"/>
      <c r="N347" s="138"/>
      <c r="O347" s="141"/>
      <c r="S347" s="94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9"/>
      <c r="L348" s="140"/>
      <c r="N348" s="138"/>
      <c r="O348" s="141"/>
      <c r="S348" s="94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9"/>
      <c r="L349" s="140"/>
      <c r="N349" s="138"/>
      <c r="O349" s="141"/>
      <c r="S349" s="94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9"/>
      <c r="L350" s="140"/>
      <c r="N350" s="138"/>
      <c r="O350" s="141"/>
      <c r="S350" s="94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9"/>
      <c r="L351" s="140"/>
      <c r="N351" s="138"/>
      <c r="O351" s="141"/>
      <c r="S351" s="94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9"/>
      <c r="L352" s="140"/>
      <c r="N352" s="138"/>
      <c r="O352" s="141"/>
      <c r="S352" s="94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9"/>
      <c r="L353" s="140"/>
      <c r="N353" s="138"/>
      <c r="O353" s="141"/>
      <c r="S353" s="94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9"/>
      <c r="L354" s="140"/>
      <c r="N354" s="138"/>
      <c r="O354" s="141"/>
      <c r="S354" s="94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9"/>
      <c r="L355" s="140"/>
      <c r="N355" s="138"/>
      <c r="O355" s="141"/>
      <c r="S355" s="94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9"/>
      <c r="L356" s="140"/>
      <c r="N356" s="138"/>
      <c r="O356" s="141"/>
      <c r="S356" s="94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9"/>
      <c r="L357" s="140"/>
      <c r="N357" s="138"/>
      <c r="O357" s="141"/>
      <c r="S357" s="94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9"/>
      <c r="L358" s="140"/>
      <c r="N358" s="138"/>
      <c r="O358" s="141"/>
      <c r="S358" s="94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9"/>
      <c r="L359" s="140"/>
      <c r="N359" s="138"/>
      <c r="O359" s="141"/>
      <c r="S359" s="94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9"/>
      <c r="L360" s="140"/>
      <c r="N360" s="138"/>
      <c r="O360" s="141"/>
      <c r="S360" s="94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9"/>
      <c r="L361" s="140"/>
      <c r="N361" s="138"/>
      <c r="O361" s="141"/>
      <c r="S361" s="94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9"/>
      <c r="L362" s="140"/>
      <c r="N362" s="138"/>
      <c r="O362" s="141"/>
      <c r="S362" s="94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9"/>
      <c r="L363" s="140"/>
      <c r="N363" s="138"/>
      <c r="O363" s="141"/>
      <c r="S363" s="94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9"/>
      <c r="L364" s="140"/>
      <c r="N364" s="138"/>
      <c r="O364" s="141"/>
      <c r="S364" s="94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9"/>
      <c r="L365" s="140"/>
      <c r="N365" s="138"/>
      <c r="O365" s="141"/>
      <c r="S365" s="94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9"/>
      <c r="L366" s="140"/>
      <c r="N366" s="138"/>
      <c r="O366" s="141"/>
      <c r="S366" s="94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L367" s="140"/>
      <c r="N367" s="138"/>
      <c r="O367" s="141"/>
      <c r="S367" s="94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9"/>
      <c r="L368" s="140"/>
      <c r="N368" s="138"/>
      <c r="O368" s="141"/>
      <c r="S368" s="94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9"/>
      <c r="L369" s="140"/>
      <c r="N369" s="138"/>
      <c r="O369" s="141"/>
      <c r="S369" s="94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9"/>
      <c r="L370" s="140"/>
      <c r="N370" s="138"/>
      <c r="O370" s="141"/>
      <c r="S370" s="94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9"/>
      <c r="L371" s="140"/>
      <c r="N371" s="138"/>
      <c r="O371" s="141"/>
      <c r="S371" s="94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9"/>
      <c r="L372" s="140"/>
      <c r="N372" s="138"/>
      <c r="O372" s="141"/>
      <c r="S372" s="94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L373" s="140"/>
      <c r="N373" s="138"/>
      <c r="O373" s="141"/>
      <c r="S373" s="94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9"/>
      <c r="L374" s="140"/>
      <c r="N374" s="138"/>
      <c r="O374" s="141"/>
      <c r="S374" s="94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9"/>
      <c r="L375" s="140"/>
      <c r="N375" s="138"/>
      <c r="O375" s="141"/>
      <c r="S375" s="94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9"/>
      <c r="L376" s="140"/>
      <c r="N376" s="138"/>
      <c r="O376" s="141"/>
      <c r="S376" s="94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9"/>
      <c r="L377" s="140"/>
      <c r="N377" s="138"/>
      <c r="O377" s="141"/>
      <c r="S377" s="94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9"/>
      <c r="L378" s="140"/>
      <c r="N378" s="138"/>
      <c r="O378" s="141"/>
      <c r="S378" s="94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9"/>
      <c r="L379" s="140"/>
      <c r="N379" s="138"/>
      <c r="O379" s="141"/>
      <c r="S379" s="94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9"/>
      <c r="L380" s="140"/>
      <c r="N380" s="138"/>
      <c r="O380" s="141"/>
      <c r="S380" s="94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9"/>
      <c r="L381" s="140"/>
      <c r="N381" s="138"/>
      <c r="O381" s="141"/>
      <c r="S381" s="94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9"/>
      <c r="L382" s="140"/>
      <c r="N382" s="138"/>
      <c r="O382" s="141"/>
      <c r="S382" s="94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9"/>
      <c r="L383" s="140"/>
      <c r="N383" s="138"/>
      <c r="O383" s="141"/>
      <c r="S383" s="94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9"/>
      <c r="L384" s="140"/>
      <c r="N384" s="138"/>
      <c r="O384" s="141"/>
      <c r="S384" s="94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9"/>
      <c r="L385" s="140"/>
      <c r="N385" s="138"/>
      <c r="O385" s="141"/>
      <c r="S385" s="94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9"/>
      <c r="L386" s="140"/>
      <c r="N386" s="138"/>
      <c r="O386" s="141"/>
      <c r="S386" s="94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9"/>
      <c r="L387" s="140"/>
      <c r="N387" s="138"/>
      <c r="O387" s="141"/>
      <c r="S387" s="94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9"/>
      <c r="L388" s="140"/>
      <c r="N388" s="138"/>
      <c r="O388" s="141"/>
      <c r="S388" s="94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9"/>
      <c r="L389" s="140"/>
      <c r="N389" s="138"/>
      <c r="O389" s="141"/>
      <c r="S389" s="94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9"/>
      <c r="L390" s="140"/>
      <c r="N390" s="138"/>
      <c r="O390" s="141"/>
      <c r="S390" s="94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9"/>
      <c r="L391" s="140"/>
      <c r="N391" s="138"/>
      <c r="O391" s="141"/>
      <c r="S391" s="94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9"/>
      <c r="L392" s="140"/>
      <c r="N392" s="138"/>
      <c r="O392" s="141"/>
      <c r="S392" s="94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9"/>
      <c r="L393" s="140"/>
      <c r="N393" s="138"/>
      <c r="O393" s="141"/>
      <c r="S393" s="94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9"/>
      <c r="L394" s="140"/>
      <c r="N394" s="138"/>
      <c r="O394" s="141"/>
      <c r="S394" s="94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9"/>
      <c r="L395" s="140"/>
      <c r="N395" s="138"/>
      <c r="O395" s="141"/>
      <c r="S395" s="94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9"/>
      <c r="L396" s="140"/>
      <c r="N396" s="138"/>
      <c r="O396" s="141"/>
      <c r="S396" s="94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9"/>
      <c r="L397" s="140"/>
      <c r="N397" s="138"/>
      <c r="O397" s="141"/>
      <c r="S397" s="94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9"/>
      <c r="L398" s="140"/>
      <c r="N398" s="138"/>
      <c r="O398" s="141"/>
      <c r="S398" s="94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9"/>
      <c r="L399" s="140"/>
      <c r="N399" s="138"/>
      <c r="O399" s="141"/>
      <c r="S399" s="94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9"/>
      <c r="L400" s="140"/>
      <c r="N400" s="138"/>
      <c r="O400" s="141"/>
      <c r="S400" s="94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9"/>
      <c r="L401" s="140"/>
      <c r="N401" s="138"/>
      <c r="O401" s="141"/>
      <c r="S401" s="94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9"/>
      <c r="L402" s="140"/>
      <c r="N402" s="138"/>
      <c r="O402" s="141"/>
      <c r="S402" s="94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9"/>
      <c r="L403" s="140"/>
      <c r="N403" s="138"/>
      <c r="O403" s="141"/>
      <c r="S403" s="94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L404" s="140"/>
      <c r="N404" s="138"/>
      <c r="O404" s="141"/>
      <c r="S404" s="94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9"/>
      <c r="L405" s="140"/>
      <c r="N405" s="138"/>
      <c r="O405" s="141"/>
      <c r="S405" s="94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9"/>
      <c r="L406" s="140"/>
      <c r="N406" s="138"/>
      <c r="O406" s="141"/>
      <c r="S406" s="94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9"/>
      <c r="L407" s="140"/>
      <c r="N407" s="138"/>
      <c r="O407" s="141"/>
      <c r="S407" s="94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9"/>
      <c r="L408" s="140"/>
      <c r="N408" s="138"/>
      <c r="O408" s="141"/>
      <c r="S408" s="94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9"/>
      <c r="L409" s="140"/>
      <c r="N409" s="138"/>
      <c r="O409" s="141"/>
      <c r="S409" s="94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L410" s="140"/>
      <c r="N410" s="138"/>
      <c r="O410" s="141"/>
      <c r="S410" s="94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9"/>
      <c r="L411" s="140"/>
      <c r="N411" s="138"/>
      <c r="O411" s="141"/>
      <c r="S411" s="94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9"/>
      <c r="L412" s="140"/>
      <c r="N412" s="138"/>
      <c r="O412" s="141"/>
      <c r="S412" s="94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9"/>
      <c r="L413" s="140"/>
      <c r="N413" s="138"/>
      <c r="O413" s="141"/>
      <c r="S413" s="94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9"/>
      <c r="L414" s="140"/>
      <c r="N414" s="138"/>
      <c r="O414" s="141"/>
      <c r="S414" s="94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9"/>
      <c r="L415" s="140"/>
      <c r="N415" s="138"/>
      <c r="O415" s="141"/>
      <c r="S415" s="94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9"/>
      <c r="L416" s="140"/>
      <c r="N416" s="138"/>
      <c r="O416" s="141"/>
      <c r="S416" s="94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9"/>
      <c r="L417" s="140"/>
      <c r="N417" s="138"/>
      <c r="O417" s="141"/>
      <c r="S417" s="94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9"/>
      <c r="L418" s="140"/>
      <c r="N418" s="138"/>
      <c r="O418" s="141"/>
      <c r="S418" s="94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9"/>
      <c r="L419" s="140"/>
      <c r="N419" s="138"/>
      <c r="O419" s="141"/>
      <c r="S419" s="94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9"/>
      <c r="L420" s="140"/>
      <c r="N420" s="138"/>
      <c r="O420" s="141"/>
      <c r="S420" s="94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9"/>
      <c r="L421" s="140"/>
      <c r="N421" s="138"/>
      <c r="O421" s="141"/>
      <c r="S421" s="94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9"/>
      <c r="L422" s="140"/>
      <c r="N422" s="138"/>
      <c r="O422" s="141"/>
      <c r="S422" s="94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9"/>
      <c r="L423" s="140"/>
      <c r="N423" s="138"/>
      <c r="O423" s="141"/>
      <c r="S423" s="94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9"/>
      <c r="L424" s="140"/>
      <c r="N424" s="138"/>
      <c r="O424" s="141"/>
      <c r="S424" s="94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9"/>
      <c r="L425" s="140"/>
      <c r="N425" s="138"/>
      <c r="O425" s="141"/>
      <c r="S425" s="94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9"/>
      <c r="L426" s="140"/>
      <c r="N426" s="138"/>
      <c r="O426" s="141"/>
      <c r="S426" s="94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9"/>
      <c r="L427" s="140"/>
      <c r="N427" s="138"/>
      <c r="O427" s="141"/>
      <c r="S427" s="94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9"/>
      <c r="L428" s="140"/>
      <c r="N428" s="138"/>
      <c r="O428" s="141"/>
      <c r="S428" s="94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9"/>
      <c r="L429" s="140"/>
      <c r="N429" s="138"/>
      <c r="O429" s="141"/>
      <c r="S429" s="94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9"/>
      <c r="L430" s="140"/>
      <c r="N430" s="138"/>
      <c r="O430" s="141"/>
      <c r="S430" s="94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9"/>
      <c r="L431" s="140"/>
      <c r="N431" s="138"/>
      <c r="O431" s="141"/>
      <c r="S431" s="94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9"/>
      <c r="L432" s="140"/>
      <c r="N432" s="138"/>
      <c r="O432" s="141"/>
      <c r="S432" s="94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9"/>
      <c r="L433" s="140"/>
      <c r="N433" s="138"/>
      <c r="O433" s="141"/>
      <c r="S433" s="94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9"/>
      <c r="L434" s="140"/>
      <c r="N434" s="138"/>
      <c r="O434" s="141"/>
      <c r="S434" s="94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9"/>
      <c r="L435" s="140"/>
      <c r="N435" s="138"/>
      <c r="O435" s="141"/>
      <c r="S435" s="94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9"/>
      <c r="L436" s="140"/>
      <c r="N436" s="138"/>
      <c r="O436" s="141"/>
      <c r="S436" s="94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9"/>
      <c r="L437" s="140"/>
      <c r="N437" s="138"/>
      <c r="O437" s="141"/>
      <c r="S437" s="94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9"/>
      <c r="L438" s="140"/>
      <c r="N438" s="138"/>
      <c r="O438" s="141"/>
      <c r="S438" s="94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9"/>
      <c r="L439" s="140"/>
      <c r="N439" s="138"/>
      <c r="O439" s="141"/>
      <c r="S439" s="94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9"/>
      <c r="L440" s="140"/>
      <c r="N440" s="138"/>
      <c r="O440" s="141"/>
      <c r="S440" s="94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L441" s="140"/>
      <c r="N441" s="138"/>
      <c r="O441" s="141"/>
      <c r="S441" s="94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9"/>
      <c r="L442" s="140"/>
      <c r="N442" s="138"/>
      <c r="O442" s="141"/>
      <c r="S442" s="94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9"/>
      <c r="L443" s="140"/>
      <c r="N443" s="138"/>
      <c r="O443" s="141"/>
      <c r="S443" s="94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9"/>
      <c r="L444" s="140"/>
      <c r="N444" s="138"/>
      <c r="O444" s="141"/>
      <c r="S444" s="94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9"/>
      <c r="L445" s="140"/>
      <c r="N445" s="138"/>
      <c r="O445" s="141"/>
      <c r="S445" s="94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9"/>
      <c r="L446" s="140"/>
      <c r="N446" s="138"/>
      <c r="O446" s="141"/>
      <c r="S446" s="94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L447" s="140"/>
      <c r="N447" s="138"/>
      <c r="O447" s="141"/>
      <c r="S447" s="94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9"/>
      <c r="L448" s="140"/>
      <c r="N448" s="138"/>
      <c r="O448" s="141"/>
      <c r="S448" s="94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9"/>
      <c r="L449" s="140"/>
      <c r="N449" s="138"/>
      <c r="O449" s="141"/>
      <c r="S449" s="94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9"/>
      <c r="L450" s="140"/>
      <c r="N450" s="138"/>
      <c r="O450" s="141"/>
      <c r="S450" s="94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9"/>
      <c r="L451" s="140"/>
      <c r="N451" s="138"/>
      <c r="O451" s="141"/>
      <c r="S451" s="94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9"/>
      <c r="L452" s="140"/>
      <c r="N452" s="138"/>
      <c r="O452" s="141"/>
      <c r="S452" s="94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9"/>
      <c r="L453" s="140"/>
      <c r="N453" s="138"/>
      <c r="O453" s="141"/>
      <c r="S453" s="94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9"/>
      <c r="L454" s="140"/>
      <c r="N454" s="138"/>
      <c r="O454" s="141"/>
      <c r="S454" s="94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9"/>
      <c r="L455" s="140"/>
      <c r="N455" s="138"/>
      <c r="O455" s="141"/>
      <c r="S455" s="94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9"/>
      <c r="L456" s="140"/>
      <c r="N456" s="138"/>
      <c r="O456" s="141"/>
      <c r="S456" s="94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9"/>
      <c r="L457" s="140"/>
      <c r="N457" s="138"/>
      <c r="O457" s="141"/>
      <c r="S457" s="94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9"/>
      <c r="L458" s="140"/>
      <c r="N458" s="138"/>
      <c r="O458" s="141"/>
      <c r="S458" s="94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9"/>
      <c r="L459" s="140"/>
      <c r="N459" s="138"/>
      <c r="O459" s="141"/>
      <c r="S459" s="94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9"/>
      <c r="L460" s="140"/>
      <c r="N460" s="138"/>
      <c r="O460" s="141"/>
      <c r="S460" s="94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9"/>
      <c r="L461" s="140"/>
      <c r="N461" s="138"/>
      <c r="O461" s="141"/>
      <c r="S461" s="94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9"/>
      <c r="L462" s="140"/>
      <c r="N462" s="138"/>
      <c r="O462" s="141"/>
      <c r="S462" s="94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9"/>
      <c r="L463" s="140"/>
      <c r="N463" s="138"/>
      <c r="O463" s="141"/>
      <c r="S463" s="94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9"/>
      <c r="L464" s="140"/>
      <c r="N464" s="138"/>
      <c r="O464" s="141"/>
      <c r="S464" s="94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9"/>
      <c r="L465" s="140"/>
      <c r="N465" s="138"/>
      <c r="O465" s="141"/>
      <c r="S465" s="94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9"/>
      <c r="L466" s="140"/>
      <c r="N466" s="138"/>
      <c r="O466" s="141"/>
      <c r="S466" s="94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9"/>
      <c r="L467" s="140"/>
      <c r="N467" s="138"/>
      <c r="O467" s="141"/>
      <c r="S467" s="94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9"/>
      <c r="L468" s="140"/>
      <c r="N468" s="138"/>
      <c r="O468" s="141"/>
      <c r="S468" s="94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9"/>
      <c r="L469" s="140"/>
      <c r="N469" s="138"/>
      <c r="O469" s="141"/>
      <c r="S469" s="94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9"/>
      <c r="L470" s="140"/>
      <c r="N470" s="138"/>
      <c r="O470" s="141"/>
      <c r="S470" s="94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9"/>
      <c r="L471" s="140"/>
      <c r="N471" s="138"/>
      <c r="O471" s="141"/>
      <c r="S471" s="94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9"/>
      <c r="L472" s="140"/>
      <c r="N472" s="138"/>
      <c r="O472" s="141"/>
      <c r="S472" s="94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9"/>
      <c r="L473" s="140"/>
      <c r="N473" s="138"/>
      <c r="O473" s="141"/>
      <c r="S473" s="94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9"/>
      <c r="L474" s="140"/>
      <c r="N474" s="138"/>
      <c r="O474" s="141"/>
      <c r="S474" s="94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9"/>
      <c r="L475" s="140"/>
      <c r="N475" s="138"/>
      <c r="O475" s="141"/>
      <c r="S475" s="94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9"/>
      <c r="L476" s="140"/>
      <c r="N476" s="138"/>
      <c r="O476" s="141"/>
      <c r="S476" s="94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9"/>
      <c r="L477" s="140"/>
      <c r="N477" s="138"/>
      <c r="O477" s="141"/>
      <c r="S477" s="94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L478" s="140"/>
      <c r="N478" s="138"/>
      <c r="O478" s="141"/>
      <c r="S478" s="94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9"/>
      <c r="L479" s="140"/>
      <c r="N479" s="138"/>
      <c r="O479" s="141"/>
      <c r="S479" s="94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9"/>
      <c r="L480" s="140"/>
      <c r="N480" s="138"/>
      <c r="O480" s="141"/>
      <c r="S480" s="94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9"/>
      <c r="L481" s="140"/>
      <c r="N481" s="138"/>
      <c r="O481" s="141"/>
      <c r="S481" s="94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9"/>
      <c r="L482" s="140"/>
      <c r="N482" s="138"/>
      <c r="O482" s="141"/>
      <c r="S482" s="94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9"/>
      <c r="L483" s="140"/>
      <c r="N483" s="138"/>
      <c r="O483" s="141"/>
      <c r="S483" s="94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L484" s="140"/>
      <c r="N484" s="138"/>
      <c r="O484" s="141"/>
      <c r="S484" s="94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9"/>
      <c r="L485" s="140"/>
      <c r="N485" s="138"/>
      <c r="O485" s="141"/>
      <c r="S485" s="94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9"/>
      <c r="L486" s="140"/>
      <c r="N486" s="138"/>
      <c r="O486" s="141"/>
      <c r="S486" s="94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9"/>
      <c r="L487" s="140"/>
      <c r="N487" s="138"/>
      <c r="O487" s="141"/>
      <c r="S487" s="94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9"/>
      <c r="L488" s="140"/>
      <c r="N488" s="138"/>
      <c r="O488" s="141"/>
      <c r="S488" s="94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9"/>
      <c r="L489" s="140"/>
      <c r="N489" s="138"/>
      <c r="O489" s="141"/>
      <c r="S489" s="94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9"/>
      <c r="L490" s="140"/>
      <c r="N490" s="138"/>
      <c r="O490" s="141"/>
      <c r="S490" s="94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9"/>
      <c r="L491" s="140"/>
      <c r="N491" s="138"/>
      <c r="O491" s="141"/>
      <c r="S491" s="94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9"/>
      <c r="L492" s="140"/>
      <c r="N492" s="138"/>
      <c r="O492" s="141"/>
      <c r="S492" s="94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9"/>
      <c r="L493" s="140"/>
      <c r="N493" s="138"/>
      <c r="O493" s="141"/>
      <c r="S493" s="94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9"/>
      <c r="L494" s="140"/>
      <c r="N494" s="138"/>
      <c r="O494" s="141"/>
      <c r="S494" s="94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9"/>
      <c r="L495" s="140"/>
      <c r="N495" s="138"/>
      <c r="O495" s="141"/>
      <c r="S495" s="94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9"/>
      <c r="L496" s="140"/>
      <c r="N496" s="138"/>
      <c r="O496" s="141"/>
      <c r="S496" s="94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9"/>
      <c r="L497" s="140"/>
      <c r="N497" s="138"/>
      <c r="O497" s="141"/>
      <c r="S497" s="94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9"/>
      <c r="L498" s="140"/>
      <c r="N498" s="138"/>
      <c r="O498" s="141"/>
      <c r="S498" s="94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9"/>
      <c r="L499" s="140"/>
      <c r="N499" s="138"/>
      <c r="O499" s="141"/>
      <c r="S499" s="94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9"/>
      <c r="L500" s="140"/>
      <c r="N500" s="138"/>
      <c r="O500" s="141"/>
      <c r="S500" s="94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9"/>
      <c r="L501" s="140"/>
      <c r="N501" s="138"/>
      <c r="O501" s="141"/>
      <c r="S501" s="94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9"/>
      <c r="L502" s="140"/>
      <c r="N502" s="138"/>
      <c r="O502" s="141"/>
      <c r="S502" s="94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9"/>
      <c r="L503" s="140"/>
      <c r="N503" s="138"/>
      <c r="O503" s="141"/>
      <c r="S503" s="94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9"/>
      <c r="L504" s="140"/>
      <c r="N504" s="138"/>
      <c r="O504" s="141"/>
      <c r="S504" s="94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9"/>
      <c r="L505" s="140"/>
      <c r="N505" s="138"/>
      <c r="O505" s="141"/>
      <c r="S505" s="94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9"/>
      <c r="L506" s="140"/>
      <c r="N506" s="138"/>
      <c r="O506" s="141"/>
      <c r="S506" s="94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9"/>
      <c r="L507" s="140"/>
      <c r="N507" s="138"/>
      <c r="O507" s="141"/>
      <c r="S507" s="94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9"/>
      <c r="L508" s="140"/>
      <c r="N508" s="138"/>
      <c r="O508" s="141"/>
      <c r="S508" s="94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9"/>
      <c r="L509" s="140"/>
      <c r="N509" s="138"/>
      <c r="O509" s="141"/>
      <c r="S509" s="94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9"/>
      <c r="L510" s="140"/>
      <c r="N510" s="138"/>
      <c r="O510" s="141"/>
      <c r="S510" s="94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9"/>
      <c r="L511" s="140"/>
      <c r="N511" s="138"/>
      <c r="O511" s="141"/>
      <c r="S511" s="94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9"/>
      <c r="L512" s="140"/>
      <c r="N512" s="138"/>
      <c r="O512" s="141"/>
      <c r="S512" s="94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9"/>
      <c r="L513" s="140"/>
      <c r="N513" s="138"/>
      <c r="O513" s="141"/>
      <c r="S513" s="94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9"/>
      <c r="L514" s="140"/>
      <c r="N514" s="138"/>
      <c r="O514" s="141"/>
      <c r="S514" s="94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L515" s="140"/>
      <c r="N515" s="138"/>
      <c r="O515" s="141"/>
      <c r="S515" s="94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9"/>
      <c r="L516" s="140"/>
      <c r="N516" s="138"/>
      <c r="O516" s="141"/>
      <c r="S516" s="94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9"/>
      <c r="L517" s="140"/>
      <c r="N517" s="138"/>
      <c r="O517" s="141"/>
      <c r="S517" s="94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9"/>
      <c r="L518" s="140"/>
      <c r="N518" s="138"/>
      <c r="O518" s="141"/>
      <c r="S518" s="94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9"/>
      <c r="L519" s="140"/>
      <c r="N519" s="138"/>
      <c r="O519" s="141"/>
      <c r="S519" s="94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9"/>
      <c r="L520" s="140"/>
      <c r="N520" s="138"/>
      <c r="O520" s="141"/>
      <c r="S520" s="94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L521" s="140"/>
      <c r="N521" s="138"/>
      <c r="O521" s="141"/>
      <c r="S521" s="94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9"/>
      <c r="L522" s="140"/>
      <c r="N522" s="138"/>
      <c r="O522" s="141"/>
      <c r="S522" s="94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9"/>
      <c r="L523" s="140"/>
      <c r="N523" s="138"/>
      <c r="O523" s="141"/>
      <c r="S523" s="94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9"/>
      <c r="L524" s="140"/>
      <c r="N524" s="138"/>
      <c r="O524" s="141"/>
      <c r="S524" s="94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9"/>
      <c r="L525" s="140"/>
      <c r="N525" s="138"/>
      <c r="O525" s="141"/>
      <c r="S525" s="94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9"/>
      <c r="L526" s="140"/>
      <c r="N526" s="138"/>
      <c r="O526" s="141"/>
      <c r="S526" s="94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9"/>
      <c r="L527" s="140"/>
      <c r="N527" s="138"/>
      <c r="O527" s="141"/>
      <c r="S527" s="94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9"/>
      <c r="L528" s="140"/>
      <c r="N528" s="138"/>
      <c r="O528" s="141"/>
      <c r="S528" s="94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9"/>
      <c r="L529" s="140"/>
      <c r="N529" s="138"/>
      <c r="O529" s="141"/>
      <c r="S529" s="94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9"/>
      <c r="L530" s="140"/>
      <c r="N530" s="138"/>
      <c r="O530" s="141"/>
      <c r="S530" s="94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9"/>
      <c r="L531" s="140"/>
      <c r="N531" s="138"/>
      <c r="O531" s="141"/>
      <c r="S531" s="94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9"/>
      <c r="L532" s="140"/>
      <c r="N532" s="138"/>
      <c r="O532" s="141"/>
      <c r="S532" s="94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9"/>
      <c r="L533" s="140"/>
      <c r="N533" s="138"/>
      <c r="O533" s="141"/>
      <c r="S533" s="94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9"/>
      <c r="L534" s="140"/>
      <c r="N534" s="138"/>
      <c r="O534" s="141"/>
      <c r="S534" s="94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9"/>
      <c r="L535" s="140"/>
      <c r="N535" s="138"/>
      <c r="O535" s="141"/>
      <c r="S535" s="94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9"/>
      <c r="L536" s="140"/>
      <c r="N536" s="138"/>
      <c r="O536" s="141"/>
      <c r="S536" s="94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9"/>
      <c r="L537" s="140"/>
      <c r="N537" s="138"/>
      <c r="O537" s="141"/>
      <c r="S537" s="94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9"/>
      <c r="L538" s="140"/>
      <c r="N538" s="138"/>
      <c r="O538" s="141"/>
      <c r="S538" s="94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9"/>
      <c r="L539" s="140"/>
      <c r="N539" s="138"/>
      <c r="O539" s="141"/>
      <c r="S539" s="94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9"/>
      <c r="L540" s="140"/>
      <c r="N540" s="138"/>
      <c r="O540" s="141"/>
      <c r="S540" s="94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9"/>
      <c r="L541" s="140"/>
      <c r="N541" s="138"/>
      <c r="O541" s="141"/>
      <c r="S541" s="94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9"/>
      <c r="L542" s="140"/>
      <c r="N542" s="138"/>
      <c r="O542" s="141"/>
      <c r="S542" s="94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9"/>
      <c r="L543" s="140"/>
      <c r="N543" s="138"/>
      <c r="O543" s="141"/>
      <c r="S543" s="94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9"/>
      <c r="L544" s="140"/>
      <c r="N544" s="138"/>
      <c r="O544" s="141"/>
      <c r="S544" s="94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9"/>
      <c r="L545" s="140"/>
      <c r="N545" s="138"/>
      <c r="O545" s="141"/>
      <c r="S545" s="94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9"/>
      <c r="L546" s="140"/>
      <c r="N546" s="138"/>
      <c r="O546" s="141"/>
      <c r="S546" s="94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9"/>
      <c r="L547" s="140"/>
      <c r="N547" s="138"/>
      <c r="O547" s="141"/>
      <c r="S547" s="94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9"/>
      <c r="L548" s="140"/>
      <c r="N548" s="138"/>
      <c r="O548" s="141"/>
      <c r="S548" s="94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9"/>
      <c r="L549" s="140"/>
      <c r="N549" s="138"/>
      <c r="O549" s="141"/>
      <c r="S549" s="94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9"/>
      <c r="L550" s="140"/>
      <c r="N550" s="138"/>
      <c r="O550" s="141"/>
      <c r="S550" s="94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9"/>
      <c r="L551" s="140"/>
      <c r="N551" s="138"/>
      <c r="O551" s="141"/>
      <c r="S551" s="94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L552" s="140"/>
      <c r="N552" s="138"/>
      <c r="O552" s="141"/>
      <c r="S552" s="94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9"/>
      <c r="L553" s="140"/>
      <c r="N553" s="138"/>
      <c r="O553" s="141"/>
      <c r="S553" s="94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9"/>
      <c r="L554" s="140"/>
      <c r="N554" s="138"/>
      <c r="O554" s="141"/>
      <c r="S554" s="94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9"/>
      <c r="L555" s="140"/>
      <c r="N555" s="138"/>
      <c r="O555" s="141"/>
      <c r="S555" s="94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9"/>
      <c r="L556" s="140"/>
      <c r="N556" s="138"/>
      <c r="O556" s="141"/>
      <c r="S556" s="94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9"/>
      <c r="L557" s="140"/>
      <c r="N557" s="138"/>
      <c r="O557" s="141"/>
      <c r="S557" s="94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L558" s="140"/>
      <c r="N558" s="138"/>
      <c r="O558" s="141"/>
      <c r="S558" s="94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9"/>
      <c r="L559" s="140"/>
      <c r="N559" s="138"/>
      <c r="O559" s="141"/>
      <c r="S559" s="94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9"/>
      <c r="L560" s="140"/>
      <c r="N560" s="138"/>
      <c r="O560" s="141"/>
      <c r="S560" s="94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9"/>
      <c r="L561" s="140"/>
      <c r="N561" s="138"/>
      <c r="O561" s="141"/>
      <c r="S561" s="94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9"/>
      <c r="L562" s="140"/>
      <c r="N562" s="138"/>
      <c r="O562" s="141"/>
      <c r="S562" s="94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9"/>
      <c r="L563" s="140"/>
      <c r="N563" s="138"/>
      <c r="O563" s="141"/>
      <c r="S563" s="94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9"/>
      <c r="L564" s="140"/>
      <c r="N564" s="138"/>
      <c r="O564" s="141"/>
      <c r="S564" s="94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9"/>
      <c r="L565" s="140"/>
      <c r="N565" s="138"/>
      <c r="O565" s="141"/>
      <c r="S565" s="94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9"/>
      <c r="L566" s="140"/>
      <c r="N566" s="138"/>
      <c r="O566" s="141"/>
      <c r="S566" s="94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9"/>
      <c r="L567" s="140"/>
      <c r="N567" s="138"/>
      <c r="O567" s="141"/>
      <c r="S567" s="94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9"/>
      <c r="L568" s="140"/>
      <c r="N568" s="138"/>
      <c r="O568" s="141"/>
      <c r="S568" s="94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9"/>
      <c r="L569" s="140"/>
      <c r="N569" s="138"/>
      <c r="O569" s="141"/>
      <c r="S569" s="94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9"/>
      <c r="L570" s="140"/>
      <c r="N570" s="138"/>
      <c r="O570" s="141"/>
      <c r="S570" s="94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9"/>
      <c r="L571" s="140"/>
      <c r="N571" s="138"/>
      <c r="O571" s="141"/>
      <c r="S571" s="94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9"/>
      <c r="L572" s="140"/>
      <c r="N572" s="138"/>
      <c r="O572" s="141"/>
      <c r="S572" s="94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9"/>
      <c r="L573" s="140"/>
      <c r="N573" s="138"/>
      <c r="O573" s="141"/>
      <c r="S573" s="94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9"/>
      <c r="L574" s="140"/>
      <c r="N574" s="138"/>
      <c r="O574" s="141"/>
      <c r="S574" s="94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9"/>
      <c r="L575" s="140"/>
      <c r="N575" s="138"/>
      <c r="O575" s="141"/>
      <c r="S575" s="94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9"/>
      <c r="L576" s="140"/>
      <c r="N576" s="138"/>
      <c r="O576" s="141"/>
      <c r="S576" s="94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9"/>
      <c r="L577" s="140"/>
      <c r="N577" s="138"/>
      <c r="O577" s="141"/>
      <c r="S577" s="94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9"/>
      <c r="L578" s="140"/>
      <c r="N578" s="138"/>
      <c r="O578" s="141"/>
      <c r="S578" s="94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9"/>
      <c r="L579" s="140"/>
      <c r="N579" s="138"/>
      <c r="O579" s="141"/>
      <c r="S579" s="94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9"/>
      <c r="L580" s="140"/>
      <c r="N580" s="138"/>
      <c r="O580" s="141"/>
      <c r="S580" s="94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9"/>
      <c r="L581" s="140"/>
      <c r="N581" s="138"/>
      <c r="O581" s="141"/>
      <c r="S581" s="94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9"/>
      <c r="L582" s="140"/>
      <c r="N582" s="138"/>
      <c r="O582" s="141"/>
      <c r="S582" s="94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9"/>
      <c r="L583" s="140"/>
      <c r="N583" s="138"/>
      <c r="O583" s="141"/>
      <c r="S583" s="94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9"/>
      <c r="L584" s="140"/>
      <c r="N584" s="138"/>
      <c r="O584" s="141"/>
      <c r="S584" s="94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9"/>
      <c r="L585" s="140"/>
      <c r="N585" s="138"/>
      <c r="O585" s="141"/>
      <c r="S585" s="94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9"/>
      <c r="L586" s="140"/>
      <c r="N586" s="138"/>
      <c r="O586" s="141"/>
      <c r="S586" s="94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9"/>
      <c r="L587" s="140"/>
      <c r="N587" s="138"/>
      <c r="O587" s="141"/>
      <c r="S587" s="94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9"/>
      <c r="L588" s="140"/>
      <c r="N588" s="138"/>
      <c r="O588" s="141"/>
      <c r="S588" s="94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L589" s="140"/>
      <c r="N589" s="138"/>
      <c r="O589" s="141"/>
      <c r="S589" s="94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9"/>
      <c r="L590" s="140"/>
      <c r="N590" s="138"/>
      <c r="O590" s="141"/>
      <c r="S590" s="94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9"/>
      <c r="L591" s="140"/>
      <c r="N591" s="138"/>
      <c r="O591" s="141"/>
      <c r="S591" s="94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9"/>
      <c r="L592" s="140"/>
      <c r="N592" s="138"/>
      <c r="O592" s="141"/>
      <c r="S592" s="94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9"/>
      <c r="L593" s="140"/>
      <c r="N593" s="138"/>
      <c r="O593" s="141"/>
      <c r="S593" s="94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9"/>
      <c r="L594" s="140"/>
      <c r="N594" s="138"/>
      <c r="O594" s="141"/>
      <c r="S594" s="94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L595" s="140"/>
      <c r="N595" s="138"/>
      <c r="O595" s="141"/>
      <c r="S595" s="94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9"/>
      <c r="L596" s="140"/>
      <c r="N596" s="138"/>
      <c r="O596" s="141"/>
      <c r="S596" s="94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9"/>
      <c r="L597" s="140"/>
      <c r="N597" s="138"/>
      <c r="O597" s="141"/>
      <c r="S597" s="94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9"/>
      <c r="L598" s="140"/>
      <c r="N598" s="138"/>
      <c r="O598" s="141"/>
      <c r="S598" s="94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9"/>
      <c r="L599" s="140"/>
      <c r="N599" s="138"/>
      <c r="O599" s="141"/>
      <c r="S599" s="94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9"/>
      <c r="L600" s="140"/>
      <c r="N600" s="138"/>
      <c r="O600" s="141"/>
      <c r="S600" s="94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9"/>
      <c r="L601" s="140"/>
      <c r="N601" s="138"/>
      <c r="O601" s="141"/>
      <c r="S601" s="94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9"/>
      <c r="L602" s="140"/>
      <c r="N602" s="138"/>
      <c r="O602" s="141"/>
      <c r="S602" s="94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9"/>
      <c r="L603" s="140"/>
      <c r="N603" s="138"/>
      <c r="O603" s="141"/>
      <c r="S603" s="94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9"/>
      <c r="L604" s="140"/>
      <c r="N604" s="138"/>
      <c r="O604" s="141"/>
      <c r="S604" s="94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9"/>
      <c r="L605" s="140"/>
      <c r="N605" s="138"/>
      <c r="O605" s="141"/>
      <c r="S605" s="94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9"/>
      <c r="L606" s="140"/>
      <c r="N606" s="138"/>
      <c r="O606" s="141"/>
      <c r="S606" s="94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9"/>
      <c r="L607" s="140"/>
      <c r="N607" s="138"/>
      <c r="O607" s="141"/>
      <c r="S607" s="94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9"/>
      <c r="L608" s="140"/>
      <c r="N608" s="138"/>
      <c r="O608" s="141"/>
      <c r="S608" s="94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9"/>
      <c r="L609" s="140"/>
      <c r="N609" s="138"/>
      <c r="O609" s="141"/>
      <c r="S609" s="94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9"/>
      <c r="L610" s="140"/>
      <c r="N610" s="138"/>
      <c r="O610" s="141"/>
      <c r="S610" s="94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9"/>
      <c r="L611" s="140"/>
      <c r="N611" s="138"/>
      <c r="O611" s="141"/>
      <c r="S611" s="94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9"/>
      <c r="L612" s="140"/>
      <c r="N612" s="138"/>
      <c r="O612" s="141"/>
      <c r="S612" s="94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9"/>
      <c r="L613" s="140"/>
      <c r="N613" s="138"/>
      <c r="O613" s="141"/>
      <c r="S613" s="94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9"/>
      <c r="L614" s="140"/>
      <c r="N614" s="138"/>
      <c r="O614" s="141"/>
      <c r="S614" s="94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9"/>
      <c r="L615" s="140"/>
      <c r="N615" s="138"/>
      <c r="O615" s="141"/>
      <c r="S615" s="94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9"/>
      <c r="L616" s="140"/>
      <c r="N616" s="138"/>
      <c r="O616" s="141"/>
      <c r="S616" s="94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9"/>
      <c r="L617" s="140"/>
      <c r="N617" s="138"/>
      <c r="O617" s="141"/>
      <c r="S617" s="94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9"/>
      <c r="L618" s="140"/>
      <c r="N618" s="138"/>
      <c r="O618" s="141"/>
      <c r="S618" s="94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9"/>
      <c r="L619" s="140"/>
      <c r="N619" s="138"/>
      <c r="O619" s="141"/>
      <c r="S619" s="94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9"/>
      <c r="L620" s="140"/>
      <c r="N620" s="138"/>
      <c r="O620" s="141"/>
      <c r="S620" s="94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9"/>
      <c r="L621" s="140"/>
      <c r="N621" s="138"/>
      <c r="O621" s="141"/>
      <c r="S621" s="94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9"/>
      <c r="L622" s="140"/>
      <c r="N622" s="138"/>
      <c r="O622" s="141"/>
      <c r="S622" s="94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9"/>
      <c r="L623" s="140"/>
      <c r="N623" s="138"/>
      <c r="O623" s="141"/>
      <c r="S623" s="94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9"/>
      <c r="L624" s="140"/>
      <c r="N624" s="138"/>
      <c r="O624" s="141"/>
      <c r="S624" s="94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9"/>
      <c r="L625" s="140"/>
      <c r="N625" s="138"/>
      <c r="O625" s="141"/>
      <c r="S625" s="94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L626" s="140"/>
      <c r="N626" s="138"/>
      <c r="O626" s="141"/>
      <c r="S626" s="94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9"/>
      <c r="L627" s="140"/>
      <c r="N627" s="138"/>
      <c r="O627" s="141"/>
      <c r="S627" s="94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9"/>
      <c r="L628" s="140"/>
      <c r="N628" s="138"/>
      <c r="O628" s="141"/>
      <c r="S628" s="94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9"/>
      <c r="L629" s="140"/>
      <c r="N629" s="138"/>
      <c r="O629" s="141"/>
      <c r="S629" s="94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9"/>
      <c r="L630" s="140"/>
      <c r="N630" s="138"/>
      <c r="O630" s="141"/>
      <c r="S630" s="94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9"/>
      <c r="L631" s="140"/>
      <c r="N631" s="138"/>
      <c r="O631" s="141"/>
      <c r="S631" s="94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L632" s="140"/>
      <c r="N632" s="138"/>
      <c r="O632" s="141"/>
      <c r="S632" s="94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9"/>
      <c r="L633" s="140"/>
      <c r="N633" s="138"/>
      <c r="O633" s="141"/>
      <c r="S633" s="94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9"/>
      <c r="L634" s="140"/>
      <c r="N634" s="138"/>
      <c r="O634" s="141"/>
      <c r="S634" s="94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9"/>
      <c r="L635" s="140"/>
      <c r="N635" s="138"/>
      <c r="O635" s="141"/>
      <c r="S635" s="94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9"/>
      <c r="L636" s="140"/>
      <c r="N636" s="138"/>
      <c r="O636" s="141"/>
      <c r="S636" s="94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9"/>
      <c r="L637" s="140"/>
      <c r="N637" s="138"/>
      <c r="O637" s="141"/>
      <c r="S637" s="94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9"/>
      <c r="L638" s="140"/>
      <c r="N638" s="138"/>
      <c r="O638" s="141"/>
      <c r="S638" s="94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9"/>
      <c r="L639" s="140"/>
      <c r="N639" s="138"/>
      <c r="O639" s="141"/>
      <c r="S639" s="94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9"/>
      <c r="L640" s="140"/>
      <c r="N640" s="138"/>
      <c r="O640" s="141"/>
      <c r="S640" s="94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9"/>
      <c r="L641" s="140"/>
      <c r="N641" s="138"/>
      <c r="O641" s="141"/>
      <c r="S641" s="94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9"/>
      <c r="L642" s="140"/>
      <c r="N642" s="138"/>
      <c r="O642" s="141"/>
      <c r="S642" s="94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9"/>
      <c r="L643" s="140"/>
      <c r="N643" s="138"/>
      <c r="O643" s="141"/>
      <c r="S643" s="94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9"/>
      <c r="L644" s="140"/>
      <c r="N644" s="138"/>
      <c r="O644" s="141"/>
      <c r="S644" s="94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9"/>
      <c r="L645" s="140"/>
      <c r="N645" s="138"/>
      <c r="O645" s="141"/>
      <c r="S645" s="94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9"/>
      <c r="L646" s="140"/>
      <c r="N646" s="138"/>
      <c r="O646" s="141"/>
      <c r="S646" s="94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9"/>
      <c r="L647" s="140"/>
      <c r="N647" s="138"/>
      <c r="O647" s="141"/>
      <c r="S647" s="94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9"/>
      <c r="L648" s="140"/>
      <c r="N648" s="138"/>
      <c r="O648" s="141"/>
      <c r="S648" s="94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9"/>
      <c r="L649" s="140"/>
      <c r="N649" s="138"/>
      <c r="O649" s="141"/>
      <c r="S649" s="94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9"/>
      <c r="L650" s="140"/>
      <c r="N650" s="138"/>
      <c r="O650" s="141"/>
      <c r="S650" s="94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9"/>
      <c r="L651" s="140"/>
      <c r="N651" s="138"/>
      <c r="O651" s="141"/>
      <c r="S651" s="94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9"/>
      <c r="L652" s="140"/>
      <c r="N652" s="138"/>
      <c r="O652" s="141"/>
      <c r="S652" s="94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9"/>
      <c r="L653" s="140"/>
      <c r="N653" s="138"/>
      <c r="O653" s="141"/>
      <c r="S653" s="94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9"/>
      <c r="L654" s="140"/>
      <c r="N654" s="138"/>
      <c r="O654" s="141"/>
      <c r="S654" s="94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9"/>
      <c r="L655" s="140"/>
      <c r="N655" s="138"/>
      <c r="O655" s="141"/>
      <c r="S655" s="94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9"/>
      <c r="L656" s="140"/>
      <c r="N656" s="138"/>
      <c r="O656" s="141"/>
      <c r="S656" s="94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9"/>
      <c r="L657" s="140"/>
      <c r="N657" s="138"/>
      <c r="O657" s="141"/>
      <c r="S657" s="94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9"/>
      <c r="L658" s="140"/>
      <c r="N658" s="138"/>
      <c r="O658" s="141"/>
      <c r="S658" s="94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9"/>
      <c r="L659" s="140"/>
      <c r="N659" s="138"/>
      <c r="O659" s="141"/>
      <c r="S659" s="94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9"/>
      <c r="L660" s="140"/>
      <c r="N660" s="138"/>
      <c r="O660" s="141"/>
      <c r="S660" s="94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9"/>
      <c r="L661" s="140"/>
      <c r="N661" s="138"/>
      <c r="O661" s="141"/>
      <c r="S661" s="94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9"/>
      <c r="L662" s="140"/>
      <c r="N662" s="138"/>
      <c r="O662" s="141"/>
      <c r="S662" s="94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L663" s="140"/>
      <c r="N663" s="138"/>
      <c r="O663" s="141"/>
      <c r="S663" s="94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9"/>
      <c r="L664" s="140"/>
      <c r="N664" s="138"/>
      <c r="O664" s="141"/>
      <c r="S664" s="94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9"/>
      <c r="L665" s="140"/>
      <c r="N665" s="138"/>
      <c r="O665" s="141"/>
      <c r="S665" s="94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9"/>
      <c r="L666" s="140"/>
      <c r="N666" s="138"/>
      <c r="O666" s="141"/>
      <c r="S666" s="94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9"/>
      <c r="L667" s="140"/>
      <c r="N667" s="138"/>
      <c r="O667" s="141"/>
      <c r="S667" s="94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9"/>
      <c r="L668" s="140"/>
      <c r="N668" s="138"/>
      <c r="O668" s="141"/>
      <c r="S668" s="94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L669" s="140"/>
      <c r="N669" s="138"/>
      <c r="O669" s="141"/>
      <c r="S669" s="94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9"/>
      <c r="L670" s="140"/>
      <c r="N670" s="138"/>
      <c r="O670" s="141"/>
      <c r="S670" s="94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9"/>
      <c r="L671" s="140"/>
      <c r="N671" s="138"/>
      <c r="O671" s="141"/>
      <c r="S671" s="94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9"/>
      <c r="L672" s="140"/>
      <c r="N672" s="138"/>
      <c r="O672" s="141"/>
      <c r="S672" s="94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9"/>
      <c r="L673" s="140"/>
      <c r="N673" s="138"/>
      <c r="O673" s="141"/>
      <c r="S673" s="94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9"/>
      <c r="L674" s="140"/>
      <c r="N674" s="138"/>
      <c r="O674" s="141"/>
      <c r="S674" s="94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9"/>
      <c r="L675" s="140"/>
      <c r="N675" s="138"/>
      <c r="O675" s="141"/>
      <c r="S675" s="94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9"/>
      <c r="L676" s="140"/>
      <c r="N676" s="138"/>
      <c r="O676" s="141"/>
      <c r="S676" s="94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9"/>
      <c r="L677" s="140"/>
      <c r="N677" s="138"/>
      <c r="O677" s="141"/>
      <c r="S677" s="94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9"/>
      <c r="L678" s="140"/>
      <c r="N678" s="138"/>
      <c r="O678" s="141"/>
      <c r="S678" s="94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9"/>
      <c r="L679" s="140"/>
      <c r="N679" s="138"/>
      <c r="O679" s="141"/>
      <c r="S679" s="94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9"/>
      <c r="L680" s="140"/>
      <c r="N680" s="138"/>
      <c r="O680" s="141"/>
      <c r="S680" s="94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9"/>
      <c r="L681" s="140"/>
      <c r="N681" s="138"/>
      <c r="O681" s="141"/>
      <c r="S681" s="94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9"/>
      <c r="L682" s="140"/>
      <c r="N682" s="138"/>
      <c r="O682" s="141"/>
      <c r="S682" s="94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9"/>
      <c r="L683" s="140"/>
      <c r="N683" s="138"/>
      <c r="O683" s="141"/>
      <c r="S683" s="94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9"/>
      <c r="L684" s="140"/>
      <c r="N684" s="138"/>
      <c r="O684" s="141"/>
      <c r="S684" s="94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9"/>
      <c r="L685" s="140"/>
      <c r="N685" s="138"/>
      <c r="O685" s="141"/>
      <c r="S685" s="94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9"/>
      <c r="L686" s="140"/>
      <c r="N686" s="138"/>
      <c r="O686" s="141"/>
      <c r="S686" s="94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9"/>
      <c r="L687" s="140"/>
      <c r="N687" s="138"/>
      <c r="O687" s="141"/>
      <c r="S687" s="94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9"/>
      <c r="L688" s="140"/>
      <c r="N688" s="138"/>
      <c r="O688" s="141"/>
      <c r="S688" s="94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9"/>
      <c r="L689" s="140"/>
      <c r="N689" s="138"/>
      <c r="O689" s="141"/>
      <c r="S689" s="94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9"/>
      <c r="L690" s="140"/>
      <c r="N690" s="138"/>
      <c r="O690" s="141"/>
      <c r="S690" s="94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9"/>
      <c r="L691" s="140"/>
      <c r="N691" s="138"/>
      <c r="O691" s="141"/>
      <c r="S691" s="94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9"/>
      <c r="L692" s="140"/>
      <c r="N692" s="138"/>
      <c r="O692" s="141"/>
      <c r="S692" s="94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9"/>
      <c r="L693" s="140"/>
      <c r="N693" s="138"/>
      <c r="O693" s="141"/>
      <c r="S693" s="94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9"/>
      <c r="L694" s="140"/>
      <c r="N694" s="138"/>
      <c r="O694" s="141"/>
      <c r="S694" s="94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9"/>
      <c r="L695" s="140"/>
      <c r="N695" s="138"/>
      <c r="O695" s="141"/>
      <c r="S695" s="94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9"/>
      <c r="L696" s="140"/>
      <c r="N696" s="138"/>
      <c r="O696" s="141"/>
      <c r="S696" s="94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9"/>
      <c r="L697" s="140"/>
      <c r="N697" s="138"/>
      <c r="O697" s="141"/>
      <c r="S697" s="94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9"/>
      <c r="L698" s="140"/>
      <c r="N698" s="138"/>
      <c r="O698" s="141"/>
      <c r="S698" s="94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9"/>
      <c r="L699" s="140"/>
      <c r="N699" s="138"/>
      <c r="O699" s="141"/>
      <c r="S699" s="94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L700" s="140"/>
      <c r="N700" s="138"/>
      <c r="O700" s="141"/>
      <c r="S700" s="94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9"/>
      <c r="L701" s="140"/>
      <c r="N701" s="138"/>
      <c r="O701" s="141"/>
      <c r="S701" s="94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9"/>
      <c r="L702" s="140"/>
      <c r="N702" s="138"/>
      <c r="O702" s="141"/>
      <c r="S702" s="94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9"/>
      <c r="L703" s="140"/>
      <c r="N703" s="138"/>
      <c r="O703" s="141"/>
      <c r="S703" s="94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9"/>
      <c r="L704" s="140"/>
      <c r="N704" s="138"/>
      <c r="O704" s="141"/>
      <c r="S704" s="94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9"/>
      <c r="L705" s="140"/>
      <c r="N705" s="138"/>
      <c r="O705" s="141"/>
      <c r="S705" s="94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L706" s="140"/>
      <c r="N706" s="138"/>
      <c r="O706" s="141"/>
      <c r="S706" s="94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9"/>
      <c r="L707" s="140"/>
      <c r="N707" s="138"/>
      <c r="O707" s="141"/>
      <c r="S707" s="94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9"/>
      <c r="L708" s="140"/>
      <c r="N708" s="138"/>
      <c r="O708" s="141"/>
      <c r="S708" s="94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9"/>
      <c r="L709" s="140"/>
      <c r="N709" s="138"/>
      <c r="O709" s="141"/>
      <c r="S709" s="94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9"/>
      <c r="L710" s="140"/>
      <c r="N710" s="138"/>
      <c r="O710" s="141"/>
      <c r="S710" s="94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9"/>
      <c r="L711" s="140"/>
      <c r="N711" s="138"/>
      <c r="O711" s="141"/>
      <c r="S711" s="94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9"/>
      <c r="L712" s="140"/>
      <c r="N712" s="138"/>
      <c r="O712" s="141"/>
      <c r="S712" s="94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9"/>
      <c r="L713" s="140"/>
      <c r="N713" s="138"/>
      <c r="O713" s="141"/>
      <c r="S713" s="94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9"/>
      <c r="L714" s="140"/>
      <c r="N714" s="138"/>
      <c r="O714" s="141"/>
      <c r="S714" s="94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9"/>
      <c r="L715" s="140"/>
      <c r="N715" s="138"/>
      <c r="O715" s="141"/>
      <c r="S715" s="94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9"/>
      <c r="L716" s="140"/>
      <c r="N716" s="138"/>
      <c r="O716" s="141"/>
      <c r="S716" s="94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9"/>
      <c r="L717" s="140"/>
      <c r="N717" s="138"/>
      <c r="O717" s="141"/>
      <c r="S717" s="94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9"/>
      <c r="L718" s="140"/>
      <c r="N718" s="138"/>
      <c r="O718" s="141"/>
      <c r="S718" s="94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9"/>
      <c r="L719" s="140"/>
      <c r="N719" s="138"/>
      <c r="O719" s="141"/>
      <c r="S719" s="94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9"/>
      <c r="L720" s="140"/>
      <c r="N720" s="138"/>
      <c r="O720" s="141"/>
      <c r="S720" s="94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9"/>
      <c r="L721" s="140"/>
      <c r="N721" s="138"/>
      <c r="O721" s="141"/>
      <c r="S721" s="94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9"/>
      <c r="L722" s="140"/>
      <c r="N722" s="138"/>
      <c r="O722" s="141"/>
      <c r="S722" s="94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9"/>
      <c r="L723" s="140"/>
      <c r="N723" s="138"/>
      <c r="O723" s="141"/>
      <c r="S723" s="94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9"/>
      <c r="L724" s="140"/>
      <c r="N724" s="138"/>
      <c r="O724" s="141"/>
      <c r="S724" s="94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9"/>
      <c r="L725" s="140"/>
      <c r="N725" s="138"/>
      <c r="O725" s="141"/>
      <c r="S725" s="94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9"/>
      <c r="L726" s="140"/>
      <c r="N726" s="138"/>
      <c r="O726" s="141"/>
      <c r="S726" s="94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9"/>
      <c r="L727" s="140"/>
      <c r="N727" s="138"/>
      <c r="O727" s="141"/>
      <c r="S727" s="94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9"/>
      <c r="L728" s="140"/>
      <c r="N728" s="138"/>
      <c r="O728" s="141"/>
      <c r="S728" s="94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9"/>
      <c r="L729" s="140"/>
      <c r="N729" s="138"/>
      <c r="O729" s="141"/>
      <c r="S729" s="94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9"/>
      <c r="L730" s="140"/>
      <c r="N730" s="138"/>
      <c r="O730" s="141"/>
      <c r="S730" s="94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9"/>
      <c r="L731" s="140"/>
      <c r="N731" s="138"/>
      <c r="O731" s="141"/>
      <c r="S731" s="94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9"/>
      <c r="L732" s="140"/>
      <c r="N732" s="138"/>
      <c r="O732" s="141"/>
      <c r="S732" s="94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9"/>
      <c r="L733" s="140"/>
      <c r="N733" s="138"/>
      <c r="O733" s="141"/>
      <c r="S733" s="94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9"/>
      <c r="L734" s="140"/>
      <c r="N734" s="138"/>
      <c r="O734" s="141"/>
      <c r="S734" s="94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9"/>
      <c r="L735" s="140"/>
      <c r="N735" s="138"/>
      <c r="O735" s="141"/>
      <c r="S735" s="94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9"/>
      <c r="L736" s="140"/>
      <c r="N736" s="138"/>
      <c r="O736" s="141"/>
      <c r="S736" s="94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L737" s="140"/>
      <c r="N737" s="138"/>
      <c r="O737" s="141"/>
      <c r="S737" s="94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9"/>
      <c r="L738" s="140"/>
      <c r="N738" s="138"/>
      <c r="O738" s="141"/>
      <c r="S738" s="94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9"/>
      <c r="L739" s="140"/>
      <c r="N739" s="138"/>
      <c r="O739" s="141"/>
      <c r="S739" s="94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9"/>
      <c r="L740" s="140"/>
      <c r="N740" s="138"/>
      <c r="O740" s="141"/>
      <c r="S740" s="94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9"/>
      <c r="L741" s="140"/>
      <c r="N741" s="138"/>
      <c r="O741" s="141"/>
      <c r="S741" s="94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9"/>
      <c r="L742" s="140"/>
      <c r="N742" s="138"/>
      <c r="O742" s="141"/>
      <c r="S742" s="94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L743" s="140"/>
      <c r="N743" s="138"/>
      <c r="O743" s="141"/>
      <c r="S743" s="94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9"/>
      <c r="L744" s="140"/>
      <c r="N744" s="138"/>
      <c r="O744" s="141"/>
      <c r="S744" s="94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9"/>
      <c r="L745" s="140"/>
      <c r="N745" s="138"/>
      <c r="O745" s="141"/>
      <c r="S745" s="94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9"/>
      <c r="L746" s="140"/>
      <c r="N746" s="138"/>
      <c r="O746" s="141"/>
      <c r="S746" s="94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9"/>
      <c r="L747" s="140"/>
      <c r="N747" s="138"/>
      <c r="O747" s="141"/>
      <c r="S747" s="94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9"/>
      <c r="L748" s="140"/>
      <c r="N748" s="138"/>
      <c r="O748" s="141"/>
      <c r="S748" s="94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9"/>
      <c r="L749" s="140"/>
      <c r="N749" s="138"/>
      <c r="O749" s="141"/>
      <c r="S749" s="94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9"/>
      <c r="L750" s="140"/>
      <c r="N750" s="138"/>
      <c r="O750" s="141"/>
      <c r="S750" s="94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9"/>
      <c r="L751" s="140"/>
      <c r="N751" s="138"/>
      <c r="O751" s="141"/>
      <c r="S751" s="94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9"/>
      <c r="L752" s="140"/>
      <c r="N752" s="138"/>
      <c r="O752" s="141"/>
      <c r="S752" s="94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9"/>
      <c r="L753" s="140"/>
      <c r="N753" s="138"/>
      <c r="O753" s="141"/>
      <c r="S753" s="94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9"/>
      <c r="L754" s="140"/>
      <c r="N754" s="138"/>
      <c r="O754" s="141"/>
      <c r="S754" s="94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9"/>
      <c r="L755" s="140"/>
      <c r="N755" s="138"/>
      <c r="O755" s="141"/>
      <c r="S755" s="94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9"/>
      <c r="L756" s="140"/>
      <c r="N756" s="138"/>
      <c r="O756" s="141"/>
      <c r="S756" s="94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9"/>
      <c r="L757" s="140"/>
      <c r="N757" s="138"/>
      <c r="O757" s="141"/>
      <c r="S757" s="94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9"/>
      <c r="L758" s="140"/>
      <c r="N758" s="138"/>
      <c r="O758" s="141"/>
      <c r="S758" s="94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9"/>
      <c r="L759" s="140"/>
      <c r="N759" s="138"/>
      <c r="O759" s="141"/>
      <c r="S759" s="94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9"/>
      <c r="L760" s="140"/>
      <c r="N760" s="138"/>
      <c r="O760" s="141"/>
      <c r="S760" s="94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9"/>
      <c r="L761" s="140"/>
      <c r="N761" s="138"/>
      <c r="O761" s="141"/>
      <c r="S761" s="94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9"/>
      <c r="L762" s="140"/>
      <c r="N762" s="138"/>
      <c r="O762" s="141"/>
      <c r="S762" s="94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9"/>
      <c r="L763" s="140"/>
      <c r="N763" s="138"/>
      <c r="O763" s="141"/>
      <c r="S763" s="94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9"/>
      <c r="L764" s="140"/>
      <c r="N764" s="138"/>
      <c r="O764" s="141"/>
      <c r="S764" s="94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9"/>
      <c r="L765" s="140"/>
      <c r="N765" s="138"/>
      <c r="O765" s="141"/>
      <c r="S765" s="94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9"/>
      <c r="L766" s="140"/>
      <c r="N766" s="138"/>
      <c r="O766" s="141"/>
      <c r="S766" s="94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9"/>
      <c r="L767" s="140"/>
      <c r="N767" s="138"/>
      <c r="O767" s="141"/>
      <c r="S767" s="94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9"/>
      <c r="L768" s="140"/>
      <c r="N768" s="138"/>
      <c r="O768" s="141"/>
      <c r="S768" s="94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9"/>
      <c r="L769" s="140"/>
      <c r="N769" s="138"/>
      <c r="O769" s="141"/>
      <c r="S769" s="94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9"/>
      <c r="L770" s="140"/>
      <c r="N770" s="138"/>
      <c r="O770" s="141"/>
      <c r="S770" s="94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9"/>
      <c r="L771" s="140"/>
      <c r="N771" s="138"/>
      <c r="O771" s="141"/>
      <c r="S771" s="94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9"/>
      <c r="L772" s="140"/>
      <c r="N772" s="138"/>
      <c r="O772" s="141"/>
      <c r="S772" s="94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9"/>
      <c r="L773" s="140"/>
      <c r="N773" s="138"/>
      <c r="O773" s="141"/>
      <c r="S773" s="94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L774" s="140"/>
      <c r="N774" s="138"/>
      <c r="O774" s="141"/>
      <c r="S774" s="94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9"/>
      <c r="L775" s="140"/>
      <c r="N775" s="138"/>
      <c r="O775" s="141"/>
      <c r="S775" s="94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9"/>
      <c r="L776" s="140"/>
      <c r="N776" s="138"/>
      <c r="O776" s="141"/>
      <c r="S776" s="94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9"/>
      <c r="L777" s="140"/>
      <c r="N777" s="138"/>
      <c r="O777" s="141"/>
      <c r="S777" s="94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9"/>
      <c r="L778" s="140"/>
      <c r="N778" s="138"/>
      <c r="O778" s="141"/>
      <c r="S778" s="94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9"/>
      <c r="L779" s="140"/>
      <c r="N779" s="138"/>
      <c r="O779" s="141"/>
      <c r="S779" s="94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L780" s="140"/>
      <c r="N780" s="138"/>
      <c r="O780" s="141"/>
      <c r="S780" s="94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9"/>
      <c r="L781" s="140"/>
      <c r="N781" s="138"/>
      <c r="O781" s="141"/>
      <c r="S781" s="94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9"/>
      <c r="L782" s="140"/>
      <c r="N782" s="138"/>
      <c r="O782" s="141"/>
      <c r="S782" s="94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9"/>
      <c r="L783" s="140"/>
      <c r="N783" s="138"/>
      <c r="O783" s="141"/>
      <c r="S783" s="94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9"/>
      <c r="L784" s="140"/>
      <c r="N784" s="138"/>
      <c r="O784" s="141"/>
      <c r="S784" s="94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9"/>
      <c r="L785" s="140"/>
      <c r="N785" s="138"/>
      <c r="O785" s="141"/>
      <c r="S785" s="94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9"/>
      <c r="L786" s="140"/>
      <c r="N786" s="138"/>
      <c r="O786" s="141"/>
      <c r="S786" s="94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9"/>
      <c r="L787" s="140"/>
      <c r="N787" s="138"/>
      <c r="O787" s="141"/>
      <c r="S787" s="94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9"/>
      <c r="L788" s="140"/>
      <c r="N788" s="138"/>
      <c r="O788" s="141"/>
      <c r="S788" s="94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9"/>
      <c r="L789" s="140"/>
      <c r="N789" s="138"/>
      <c r="O789" s="141"/>
      <c r="S789" s="94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9"/>
      <c r="L790" s="140"/>
      <c r="N790" s="138"/>
      <c r="O790" s="141"/>
      <c r="S790" s="94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9"/>
      <c r="L791" s="140"/>
      <c r="N791" s="138"/>
      <c r="O791" s="141"/>
      <c r="S791" s="94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9"/>
      <c r="L792" s="140"/>
      <c r="N792" s="138"/>
      <c r="O792" s="141"/>
      <c r="S792" s="94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9"/>
      <c r="L793" s="140"/>
      <c r="N793" s="138"/>
      <c r="O793" s="141"/>
      <c r="S793" s="94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9"/>
      <c r="L794" s="140"/>
      <c r="N794" s="138"/>
      <c r="O794" s="141"/>
      <c r="S794" s="94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9"/>
      <c r="L795" s="140"/>
      <c r="N795" s="138"/>
      <c r="O795" s="141"/>
      <c r="S795" s="94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9"/>
      <c r="L796" s="140"/>
      <c r="N796" s="138"/>
      <c r="O796" s="141"/>
      <c r="S796" s="94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9"/>
      <c r="L797" s="140"/>
      <c r="N797" s="138"/>
      <c r="O797" s="141"/>
      <c r="S797" s="94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9"/>
      <c r="L798" s="140"/>
      <c r="N798" s="138"/>
      <c r="O798" s="141"/>
      <c r="S798" s="94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9"/>
      <c r="L799" s="140"/>
      <c r="N799" s="138"/>
      <c r="O799" s="141"/>
      <c r="S799" s="94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9"/>
      <c r="L800" s="140"/>
      <c r="N800" s="138"/>
      <c r="O800" s="141"/>
      <c r="S800" s="94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9"/>
      <c r="L801" s="140"/>
      <c r="N801" s="138"/>
      <c r="O801" s="141"/>
      <c r="S801" s="94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9"/>
      <c r="L802" s="140"/>
      <c r="N802" s="138"/>
      <c r="O802" s="141"/>
      <c r="S802" s="94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9"/>
      <c r="L803" s="140"/>
      <c r="N803" s="138"/>
      <c r="O803" s="141"/>
      <c r="S803" s="94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9"/>
      <c r="L804" s="140"/>
      <c r="N804" s="138"/>
      <c r="O804" s="141"/>
      <c r="S804" s="94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9"/>
      <c r="L805" s="140"/>
      <c r="N805" s="138"/>
      <c r="O805" s="141"/>
      <c r="S805" s="94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9"/>
      <c r="L806" s="140"/>
      <c r="N806" s="138"/>
      <c r="O806" s="141"/>
      <c r="S806" s="94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9"/>
      <c r="L807" s="140"/>
      <c r="N807" s="138"/>
      <c r="O807" s="141"/>
      <c r="S807" s="94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9"/>
      <c r="L808" s="140"/>
      <c r="N808" s="138"/>
      <c r="O808" s="141"/>
      <c r="S808" s="94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9"/>
      <c r="L809" s="140"/>
      <c r="N809" s="138"/>
      <c r="O809" s="141"/>
      <c r="S809" s="94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9"/>
      <c r="L810" s="140"/>
      <c r="N810" s="138"/>
      <c r="O810" s="141"/>
      <c r="S810" s="94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L811" s="140"/>
      <c r="N811" s="138"/>
      <c r="O811" s="141"/>
      <c r="S811" s="94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9"/>
      <c r="L812" s="140"/>
      <c r="N812" s="138"/>
      <c r="O812" s="141"/>
      <c r="S812" s="94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9"/>
      <c r="L813" s="140"/>
      <c r="N813" s="138"/>
      <c r="O813" s="141"/>
      <c r="S813" s="94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9"/>
      <c r="L814" s="140"/>
      <c r="N814" s="138"/>
      <c r="O814" s="141"/>
      <c r="S814" s="94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9"/>
      <c r="L815" s="140"/>
      <c r="N815" s="138"/>
      <c r="O815" s="141"/>
      <c r="S815" s="94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9"/>
      <c r="L816" s="140"/>
      <c r="N816" s="138"/>
      <c r="O816" s="141"/>
      <c r="S816" s="94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L817" s="140"/>
      <c r="N817" s="138"/>
      <c r="O817" s="141"/>
      <c r="S817" s="94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9"/>
      <c r="L818" s="140"/>
      <c r="N818" s="138"/>
      <c r="O818" s="141"/>
      <c r="S818" s="94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9"/>
      <c r="L819" s="140"/>
      <c r="N819" s="138"/>
      <c r="O819" s="141"/>
      <c r="S819" s="94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9"/>
      <c r="L820" s="140"/>
      <c r="N820" s="138"/>
      <c r="O820" s="141"/>
      <c r="S820" s="94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9"/>
      <c r="L821" s="140"/>
      <c r="N821" s="138"/>
      <c r="O821" s="141"/>
      <c r="S821" s="94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9"/>
      <c r="L822" s="140"/>
      <c r="N822" s="138"/>
      <c r="O822" s="141"/>
      <c r="S822" s="94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9"/>
      <c r="L823" s="140"/>
      <c r="N823" s="138"/>
      <c r="O823" s="141"/>
      <c r="S823" s="94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9"/>
      <c r="L824" s="140"/>
      <c r="N824" s="138"/>
      <c r="O824" s="141"/>
      <c r="S824" s="94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9"/>
      <c r="L825" s="140"/>
      <c r="N825" s="138"/>
      <c r="O825" s="141"/>
      <c r="S825" s="94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9"/>
      <c r="L826" s="140"/>
      <c r="N826" s="138"/>
      <c r="O826" s="141"/>
      <c r="S826" s="94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9"/>
      <c r="L827" s="140"/>
      <c r="N827" s="138"/>
      <c r="O827" s="141"/>
      <c r="S827" s="94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9"/>
      <c r="L828" s="140"/>
      <c r="N828" s="138"/>
      <c r="O828" s="141"/>
      <c r="S828" s="94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9"/>
      <c r="L829" s="140"/>
      <c r="N829" s="138"/>
      <c r="O829" s="141"/>
      <c r="S829" s="94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9"/>
      <c r="L830" s="140"/>
      <c r="N830" s="138"/>
      <c r="O830" s="141"/>
      <c r="S830" s="94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9"/>
      <c r="L831" s="140"/>
      <c r="N831" s="138"/>
      <c r="O831" s="141"/>
      <c r="S831" s="94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9"/>
      <c r="L832" s="140"/>
      <c r="N832" s="138"/>
      <c r="O832" s="141"/>
      <c r="S832" s="94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9"/>
      <c r="L833" s="140"/>
      <c r="N833" s="138"/>
      <c r="O833" s="141"/>
      <c r="S833" s="94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9"/>
      <c r="L834" s="140"/>
      <c r="N834" s="138"/>
      <c r="O834" s="141"/>
      <c r="S834" s="94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9"/>
      <c r="L835" s="140"/>
      <c r="N835" s="138"/>
      <c r="O835" s="141"/>
      <c r="S835" s="94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9"/>
      <c r="L836" s="140"/>
      <c r="N836" s="138"/>
      <c r="O836" s="141"/>
      <c r="S836" s="94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9"/>
      <c r="L837" s="140"/>
      <c r="N837" s="138"/>
      <c r="O837" s="141"/>
      <c r="S837" s="94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9"/>
      <c r="L838" s="140"/>
      <c r="N838" s="138"/>
      <c r="O838" s="141"/>
      <c r="S838" s="94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9"/>
      <c r="L839" s="140"/>
      <c r="N839" s="138"/>
      <c r="O839" s="141"/>
      <c r="S839" s="94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9"/>
      <c r="L840" s="140"/>
      <c r="N840" s="138"/>
      <c r="O840" s="141"/>
      <c r="S840" s="94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9"/>
      <c r="L841" s="140"/>
      <c r="N841" s="138"/>
      <c r="O841" s="141"/>
      <c r="S841" s="94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9"/>
      <c r="L842" s="140"/>
      <c r="N842" s="138"/>
      <c r="O842" s="141"/>
      <c r="S842" s="94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9"/>
      <c r="L843" s="140"/>
      <c r="N843" s="138"/>
      <c r="O843" s="141"/>
      <c r="S843" s="94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9"/>
      <c r="L844" s="140"/>
      <c r="N844" s="138"/>
      <c r="O844" s="141"/>
      <c r="S844" s="94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9"/>
      <c r="L845" s="140"/>
      <c r="N845" s="138"/>
      <c r="O845" s="141"/>
      <c r="S845" s="94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9"/>
      <c r="L846" s="140"/>
      <c r="N846" s="138"/>
      <c r="O846" s="141"/>
      <c r="S846" s="94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9"/>
      <c r="L847" s="140"/>
      <c r="N847" s="138"/>
      <c r="O847" s="141"/>
      <c r="S847" s="94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9"/>
      <c r="L848" s="140"/>
      <c r="N848" s="138"/>
      <c r="O848" s="141"/>
      <c r="S848" s="94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9"/>
      <c r="L849" s="140"/>
      <c r="N849" s="138"/>
      <c r="O849" s="141"/>
      <c r="S849" s="94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9"/>
      <c r="L850" s="140"/>
      <c r="N850" s="138"/>
      <c r="O850" s="141"/>
      <c r="S850" s="94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9"/>
      <c r="L851" s="140"/>
      <c r="N851" s="138"/>
      <c r="O851" s="141"/>
      <c r="S851" s="94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9"/>
      <c r="L852" s="140"/>
      <c r="N852" s="138"/>
      <c r="O852" s="141"/>
      <c r="S852" s="94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9"/>
      <c r="L853" s="140"/>
      <c r="N853" s="138"/>
      <c r="O853" s="141"/>
      <c r="S853" s="94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9"/>
      <c r="L854" s="140"/>
      <c r="N854" s="138"/>
      <c r="O854" s="141"/>
      <c r="S854" s="94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9"/>
      <c r="L855" s="140"/>
      <c r="N855" s="138"/>
      <c r="O855" s="141"/>
      <c r="S855" s="94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9"/>
      <c r="L856" s="140"/>
      <c r="N856" s="138"/>
      <c r="O856" s="141"/>
      <c r="S856" s="94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9"/>
      <c r="L857" s="140"/>
      <c r="N857" s="138"/>
      <c r="O857" s="141"/>
      <c r="S857" s="94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9"/>
      <c r="L858" s="140"/>
      <c r="N858" s="138"/>
      <c r="O858" s="141"/>
      <c r="S858" s="94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9"/>
      <c r="L859" s="140"/>
      <c r="N859" s="138"/>
      <c r="O859" s="141"/>
      <c r="S859" s="94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9"/>
      <c r="L860" s="140"/>
      <c r="N860" s="138"/>
      <c r="O860" s="141"/>
      <c r="S860" s="94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9"/>
      <c r="L861" s="140"/>
      <c r="N861" s="138"/>
      <c r="O861" s="141"/>
      <c r="S861" s="94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9"/>
      <c r="L862" s="140"/>
      <c r="N862" s="138"/>
      <c r="O862" s="141"/>
      <c r="S862" s="94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9"/>
      <c r="L863" s="140"/>
      <c r="N863" s="138"/>
      <c r="O863" s="141"/>
      <c r="S863" s="94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9"/>
      <c r="L864" s="140"/>
      <c r="N864" s="138"/>
      <c r="O864" s="141"/>
      <c r="S864" s="94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9"/>
      <c r="L865" s="140"/>
      <c r="N865" s="138"/>
      <c r="O865" s="141"/>
      <c r="S865" s="94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9"/>
      <c r="L866" s="140"/>
      <c r="N866" s="138"/>
      <c r="O866" s="141"/>
      <c r="S866" s="94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9"/>
      <c r="L867" s="140"/>
      <c r="N867" s="138"/>
      <c r="O867" s="141"/>
      <c r="S867" s="94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9"/>
      <c r="L868" s="140"/>
      <c r="N868" s="138"/>
      <c r="O868" s="141"/>
      <c r="S868" s="94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9"/>
      <c r="L869" s="140"/>
      <c r="N869" s="138"/>
      <c r="O869" s="141"/>
      <c r="S869" s="94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9"/>
      <c r="L870" s="140"/>
      <c r="N870" s="138"/>
      <c r="O870" s="141"/>
      <c r="S870" s="94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9"/>
      <c r="L871" s="140"/>
      <c r="N871" s="138"/>
      <c r="O871" s="141"/>
      <c r="S871" s="94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9"/>
      <c r="L872" s="140"/>
      <c r="N872" s="138"/>
      <c r="O872" s="141"/>
      <c r="S872" s="94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9"/>
      <c r="L873" s="140"/>
      <c r="N873" s="138"/>
      <c r="O873" s="141"/>
      <c r="S873" s="94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9"/>
      <c r="L874" s="140"/>
      <c r="N874" s="138"/>
      <c r="O874" s="141"/>
      <c r="S874" s="94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9"/>
      <c r="L875" s="140"/>
      <c r="N875" s="138"/>
      <c r="O875" s="141"/>
      <c r="S875" s="94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9"/>
      <c r="L876" s="140"/>
      <c r="N876" s="138"/>
      <c r="O876" s="141"/>
      <c r="S876" s="94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9"/>
      <c r="L877" s="140"/>
      <c r="N877" s="138"/>
      <c r="O877" s="141"/>
      <c r="S877" s="94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9"/>
      <c r="L878" s="140"/>
      <c r="N878" s="138"/>
      <c r="O878" s="141"/>
      <c r="S878" s="94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9"/>
      <c r="L879" s="140"/>
      <c r="N879" s="138"/>
      <c r="O879" s="141"/>
      <c r="S879" s="94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9"/>
      <c r="L880" s="140"/>
      <c r="N880" s="138"/>
      <c r="O880" s="141"/>
      <c r="S880" s="94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9"/>
      <c r="L881" s="140"/>
      <c r="N881" s="138"/>
      <c r="O881" s="141"/>
      <c r="S881" s="94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9"/>
      <c r="L882" s="140"/>
      <c r="N882" s="138"/>
      <c r="O882" s="141"/>
      <c r="S882" s="94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9"/>
      <c r="L883" s="140"/>
      <c r="N883" s="138"/>
      <c r="O883" s="141"/>
      <c r="S883" s="94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9"/>
      <c r="L884" s="140"/>
      <c r="N884" s="138"/>
      <c r="O884" s="141"/>
      <c r="S884" s="94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9"/>
      <c r="L885" s="140"/>
      <c r="N885" s="138"/>
      <c r="O885" s="141"/>
      <c r="S885" s="94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9"/>
      <c r="L886" s="140"/>
      <c r="N886" s="138"/>
      <c r="O886" s="141"/>
      <c r="S886" s="94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9"/>
      <c r="L887" s="140"/>
      <c r="N887" s="138"/>
      <c r="O887" s="141"/>
      <c r="S887" s="94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9"/>
      <c r="L888" s="140"/>
      <c r="N888" s="138"/>
      <c r="O888" s="141"/>
      <c r="S888" s="94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9"/>
      <c r="L889" s="140"/>
      <c r="N889" s="138"/>
      <c r="O889" s="141"/>
      <c r="S889" s="94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9"/>
      <c r="L890" s="140"/>
      <c r="N890" s="138"/>
      <c r="O890" s="141"/>
      <c r="S890" s="94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9"/>
      <c r="L891" s="140"/>
      <c r="N891" s="138"/>
      <c r="O891" s="141"/>
      <c r="S891" s="94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9"/>
      <c r="L892" s="140"/>
      <c r="N892" s="138"/>
      <c r="O892" s="141"/>
      <c r="S892" s="94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9"/>
      <c r="L893" s="140"/>
      <c r="N893" s="138"/>
      <c r="O893" s="141"/>
      <c r="S893" s="94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9"/>
      <c r="L894" s="140"/>
      <c r="N894" s="138"/>
      <c r="O894" s="141"/>
      <c r="S894" s="94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9"/>
      <c r="L895" s="140"/>
      <c r="N895" s="138"/>
      <c r="O895" s="141"/>
      <c r="S895" s="94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9"/>
      <c r="L896" s="140"/>
      <c r="N896" s="138"/>
      <c r="O896" s="141"/>
      <c r="S896" s="94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9"/>
      <c r="L897" s="140"/>
      <c r="N897" s="138"/>
      <c r="O897" s="141"/>
      <c r="S897" s="94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9"/>
      <c r="L898" s="140"/>
      <c r="N898" s="138"/>
      <c r="O898" s="141"/>
      <c r="S898" s="94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9"/>
      <c r="L899" s="140"/>
      <c r="N899" s="138"/>
      <c r="O899" s="141"/>
      <c r="S899" s="94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9"/>
      <c r="L900" s="140"/>
      <c r="N900" s="138"/>
      <c r="O900" s="141"/>
      <c r="S900" s="94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9"/>
      <c r="L901" s="140"/>
      <c r="N901" s="138"/>
      <c r="O901" s="141"/>
      <c r="S901" s="94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9"/>
      <c r="L902" s="140"/>
      <c r="N902" s="138"/>
      <c r="O902" s="141"/>
      <c r="S902" s="94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9"/>
      <c r="L903" s="140"/>
      <c r="N903" s="138"/>
      <c r="O903" s="141"/>
      <c r="S903" s="94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9"/>
      <c r="L904" s="140"/>
      <c r="N904" s="138"/>
      <c r="O904" s="141"/>
      <c r="S904" s="94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9"/>
      <c r="L905" s="140"/>
      <c r="N905" s="138"/>
      <c r="O905" s="141"/>
      <c r="S905" s="94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9"/>
      <c r="L906" s="140"/>
      <c r="N906" s="138"/>
      <c r="O906" s="141"/>
      <c r="S906" s="94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9"/>
      <c r="L907" s="140"/>
      <c r="N907" s="138"/>
      <c r="O907" s="141"/>
      <c r="S907" s="94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9"/>
      <c r="L908" s="140"/>
      <c r="N908" s="138"/>
      <c r="O908" s="141"/>
      <c r="S908" s="94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9"/>
      <c r="L909" s="140"/>
      <c r="N909" s="138"/>
      <c r="O909" s="141"/>
      <c r="S909" s="94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9"/>
      <c r="L910" s="140"/>
      <c r="N910" s="138"/>
      <c r="O910" s="141"/>
      <c r="S910" s="94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9"/>
      <c r="L911" s="140"/>
      <c r="N911" s="138"/>
      <c r="O911" s="141"/>
      <c r="S911" s="94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9"/>
      <c r="L912" s="140"/>
      <c r="N912" s="138"/>
      <c r="O912" s="141"/>
      <c r="S912" s="94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9"/>
      <c r="L913" s="140"/>
      <c r="N913" s="138"/>
      <c r="O913" s="141"/>
      <c r="S913" s="94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9"/>
      <c r="L914" s="140"/>
      <c r="N914" s="138"/>
      <c r="O914" s="141"/>
      <c r="S914" s="94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9"/>
      <c r="L915" s="140"/>
      <c r="N915" s="138"/>
      <c r="O915" s="141"/>
      <c r="S915" s="94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9"/>
      <c r="L916" s="140"/>
      <c r="N916" s="138"/>
      <c r="O916" s="141"/>
      <c r="S916" s="94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9"/>
      <c r="L917" s="140"/>
      <c r="N917" s="138"/>
      <c r="O917" s="141"/>
      <c r="S917" s="94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9"/>
      <c r="L918" s="140"/>
      <c r="N918" s="138"/>
      <c r="O918" s="141"/>
      <c r="S918" s="94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9"/>
      <c r="L919" s="140"/>
      <c r="N919" s="138"/>
      <c r="O919" s="141"/>
      <c r="S919" s="94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9"/>
      <c r="L920" s="140"/>
      <c r="N920" s="138"/>
      <c r="O920" s="141"/>
      <c r="S920" s="94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9"/>
      <c r="L921" s="140"/>
      <c r="N921" s="138"/>
      <c r="O921" s="141"/>
      <c r="S921" s="94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9"/>
      <c r="L922" s="140"/>
      <c r="N922" s="138"/>
      <c r="O922" s="141"/>
      <c r="S922" s="94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9"/>
      <c r="L923" s="140"/>
      <c r="N923" s="138"/>
      <c r="O923" s="141"/>
      <c r="S923" s="94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9"/>
      <c r="L924" s="140"/>
      <c r="N924" s="138"/>
      <c r="O924" s="141"/>
      <c r="S924" s="94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9"/>
      <c r="L925" s="140"/>
      <c r="N925" s="138"/>
      <c r="O925" s="141"/>
      <c r="S925" s="94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9"/>
      <c r="L926" s="140"/>
      <c r="N926" s="138"/>
      <c r="O926" s="141"/>
      <c r="S926" s="94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9"/>
      <c r="L927" s="140"/>
      <c r="N927" s="138"/>
      <c r="O927" s="141"/>
      <c r="S927" s="94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9"/>
      <c r="L928" s="140"/>
      <c r="N928" s="138"/>
      <c r="O928" s="141"/>
      <c r="S928" s="94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9"/>
      <c r="L929" s="140"/>
      <c r="N929" s="138"/>
      <c r="O929" s="141"/>
      <c r="S929" s="94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9"/>
      <c r="L930" s="140"/>
      <c r="N930" s="138"/>
      <c r="O930" s="141"/>
      <c r="S930" s="94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9"/>
      <c r="L931" s="140"/>
      <c r="N931" s="138"/>
      <c r="O931" s="141"/>
      <c r="S931" s="94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9"/>
      <c r="L932" s="140"/>
      <c r="N932" s="138"/>
      <c r="O932" s="141"/>
      <c r="S932" s="94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9"/>
      <c r="L933" s="140"/>
      <c r="N933" s="138"/>
      <c r="O933" s="141"/>
      <c r="S933" s="94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9"/>
      <c r="L934" s="140"/>
      <c r="N934" s="138"/>
      <c r="O934" s="141"/>
      <c r="S934" s="94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9"/>
      <c r="L935" s="140"/>
      <c r="N935" s="138"/>
      <c r="O935" s="141"/>
      <c r="S935" s="94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9"/>
      <c r="L936" s="140"/>
      <c r="N936" s="138"/>
      <c r="O936" s="141"/>
      <c r="S936" s="94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9"/>
      <c r="L937" s="140"/>
      <c r="N937" s="138"/>
      <c r="O937" s="141"/>
      <c r="S937" s="94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9"/>
      <c r="L938" s="140"/>
      <c r="N938" s="138"/>
      <c r="O938" s="141"/>
      <c r="S938" s="94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9"/>
      <c r="L939" s="140"/>
      <c r="N939" s="138"/>
      <c r="O939" s="141"/>
      <c r="S939" s="94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9"/>
      <c r="L940" s="140"/>
      <c r="N940" s="138"/>
      <c r="O940" s="141"/>
      <c r="S940" s="94"/>
    </row>
  </sheetData>
  <mergeCells count="10">
    <mergeCell ref="R39:S39"/>
    <mergeCell ref="R75:S75"/>
    <mergeCell ref="R107:S107"/>
    <mergeCell ref="B1:D1"/>
    <mergeCell ref="E1:G1"/>
    <mergeCell ref="H1:J1"/>
    <mergeCell ref="K1:M1"/>
    <mergeCell ref="N1:P1"/>
    <mergeCell ref="R6:S6"/>
    <mergeCell ref="R7:S7"/>
  </mergeCells>
  <conditionalFormatting sqref="D3:D28 D31:D34 D37:D92 D95:D98 D101:D133">
    <cfRule type="cellIs" dxfId="6" priority="1" operator="lessThan">
      <formula>C3:C67</formula>
    </cfRule>
  </conditionalFormatting>
  <conditionalFormatting sqref="D3:D28 D31:D34 D37:D92 D95:D98 D101:D133">
    <cfRule type="cellIs" dxfId="4" priority="2" operator="greaterThan">
      <formula>C3:C67</formula>
    </cfRule>
  </conditionalFormatting>
  <conditionalFormatting sqref="G3:G92 G95:G133">
    <cfRule type="cellIs" dxfId="4" priority="3" operator="greaterThan">
      <formula>0</formula>
    </cfRule>
  </conditionalFormatting>
  <conditionalFormatting sqref="G3:G92 G95:G133">
    <cfRule type="cellIs" dxfId="6" priority="4" operator="lessThan">
      <formula>0</formula>
    </cfRule>
  </conditionalFormatting>
  <conditionalFormatting sqref="J3:J133">
    <cfRule type="cellIs" dxfId="5" priority="5" operator="lessThan">
      <formula>I3:I67</formula>
    </cfRule>
  </conditionalFormatting>
  <conditionalFormatting sqref="J3:J133">
    <cfRule type="cellIs" dxfId="4" priority="6" operator="greaterThan">
      <formula>I3:I67</formula>
    </cfRule>
  </conditionalFormatting>
  <conditionalFormatting sqref="M2:M940">
    <cfRule type="cellIs" dxfId="4" priority="7" operator="greaterThan">
      <formula>0%</formula>
    </cfRule>
  </conditionalFormatting>
  <conditionalFormatting sqref="M2:M940">
    <cfRule type="cellIs" dxfId="6" priority="8" operator="lessThan">
      <formula>0%</formula>
    </cfRule>
  </conditionalFormatting>
  <conditionalFormatting sqref="D2:D28 G2:G92 J2:J940 M2:M940 P2:P940 D31:D34 D37:D92 D95:D98 G95:G940 D101:D940">
    <cfRule type="cellIs" dxfId="4" priority="9" operator="greaterThan">
      <formula>1</formula>
    </cfRule>
  </conditionalFormatting>
  <conditionalFormatting sqref="P2:P940">
    <cfRule type="cellIs" dxfId="6" priority="10" operator="lessThan">
      <formula>0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2"/>
  <cols>
    <col customWidth="1" min="1" max="1" width="11.13"/>
    <col customWidth="1" min="2" max="2" width="9.25"/>
    <col customWidth="1" min="3" max="3" width="4.75"/>
    <col customWidth="1" min="4" max="4" width="5.13"/>
    <col customWidth="1" min="5" max="5" width="9.25"/>
    <col customWidth="1" min="6" max="6" width="5.63"/>
    <col customWidth="1" min="7" max="7" width="5.75"/>
    <col customWidth="1" min="8" max="8" width="11.13"/>
    <col customWidth="1" min="9" max="9" width="11.88"/>
    <col customWidth="1" min="10" max="11" width="12.0"/>
    <col customWidth="1" min="12" max="12" width="4.75"/>
    <col customWidth="1" min="13" max="13" width="7.0"/>
    <col customWidth="1" min="14" max="14" width="11.0"/>
    <col customWidth="1" min="15" max="15" width="6.38"/>
    <col customWidth="1" min="16" max="16" width="8.75"/>
    <col customWidth="1" min="18" max="18" width="16.25"/>
  </cols>
  <sheetData>
    <row r="1">
      <c r="A1" s="167"/>
      <c r="B1" s="167" t="s">
        <v>1</v>
      </c>
      <c r="E1" s="167" t="s">
        <v>2</v>
      </c>
      <c r="H1" s="167" t="s">
        <v>3</v>
      </c>
      <c r="K1" s="167" t="s">
        <v>4</v>
      </c>
      <c r="N1" s="167" t="s">
        <v>5</v>
      </c>
      <c r="Q1" s="90"/>
      <c r="R1" s="90"/>
      <c r="S1" s="91"/>
      <c r="T1" s="90"/>
      <c r="U1" s="90"/>
      <c r="V1" s="90"/>
      <c r="W1" s="90"/>
      <c r="X1" s="90"/>
      <c r="Y1" s="90"/>
      <c r="Z1" s="90"/>
      <c r="AA1" s="90"/>
      <c r="AB1" s="90"/>
    </row>
    <row r="2">
      <c r="A2" s="167"/>
      <c r="B2" s="167" t="s">
        <v>7</v>
      </c>
      <c r="C2" s="167" t="s">
        <v>8</v>
      </c>
      <c r="D2" s="167" t="s">
        <v>9</v>
      </c>
      <c r="E2" s="167" t="s">
        <v>7</v>
      </c>
      <c r="F2" s="167" t="s">
        <v>8</v>
      </c>
      <c r="G2" s="167" t="s">
        <v>9</v>
      </c>
      <c r="H2" s="167" t="s">
        <v>7</v>
      </c>
      <c r="I2" s="167" t="s">
        <v>8</v>
      </c>
      <c r="J2" s="167" t="s">
        <v>9</v>
      </c>
      <c r="K2" s="167" t="s">
        <v>7</v>
      </c>
      <c r="L2" s="168" t="s">
        <v>8</v>
      </c>
      <c r="M2" s="167" t="s">
        <v>9</v>
      </c>
      <c r="N2" s="167" t="s">
        <v>7</v>
      </c>
      <c r="O2" s="169" t="s">
        <v>8</v>
      </c>
      <c r="P2" s="167" t="s">
        <v>9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170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2"/>
      <c r="P3" s="171"/>
      <c r="S3" s="94"/>
    </row>
    <row r="4">
      <c r="A4" s="170" t="s">
        <v>13</v>
      </c>
      <c r="B4" s="173">
        <f t="shared" ref="B4:J4" si="1">B5+B37+B69</f>
        <v>850</v>
      </c>
      <c r="C4" s="173">
        <f t="shared" si="1"/>
        <v>2818</v>
      </c>
      <c r="D4" s="171">
        <f t="shared" si="1"/>
        <v>-2328</v>
      </c>
      <c r="E4" s="173">
        <f t="shared" si="1"/>
        <v>691</v>
      </c>
      <c r="F4" s="173">
        <f t="shared" si="1"/>
        <v>1538</v>
      </c>
      <c r="G4" s="173">
        <f t="shared" si="1"/>
        <v>-725</v>
      </c>
      <c r="H4" s="174">
        <f t="shared" si="1"/>
        <v>163911.51</v>
      </c>
      <c r="I4" s="175">
        <f t="shared" si="1"/>
        <v>285000</v>
      </c>
      <c r="J4" s="176">
        <f t="shared" si="1"/>
        <v>-121088.49</v>
      </c>
      <c r="K4" s="177">
        <f t="shared" ref="K4:K11" si="3">E4/B4</f>
        <v>0.8129411765</v>
      </c>
      <c r="L4" s="178">
        <v>0.6</v>
      </c>
      <c r="M4" s="179">
        <f>K4-L4</f>
        <v>0.2129411765</v>
      </c>
      <c r="N4" s="174">
        <f t="shared" ref="N4:N5" si="4">H4/E4</f>
        <v>237.2091317</v>
      </c>
      <c r="O4" s="180">
        <v>250.0</v>
      </c>
      <c r="P4" s="176">
        <f t="shared" ref="P4:P11" si="5">N4-O4</f>
        <v>-12.79086831</v>
      </c>
      <c r="S4" s="94"/>
    </row>
    <row r="5" outlineLevel="1" collapsed="1">
      <c r="A5" s="100" t="s">
        <v>59</v>
      </c>
      <c r="B5" s="100">
        <f>SUM(B6:B35)</f>
        <v>332</v>
      </c>
      <c r="C5" s="100">
        <v>1200.0</v>
      </c>
      <c r="D5" s="100">
        <f t="shared" ref="D5:J5" si="2">SUM(D6:D35)</f>
        <v>-1048</v>
      </c>
      <c r="E5" s="100">
        <f t="shared" si="2"/>
        <v>250</v>
      </c>
      <c r="F5" s="100">
        <f t="shared" si="2"/>
        <v>480</v>
      </c>
      <c r="G5" s="100">
        <f t="shared" si="2"/>
        <v>-230</v>
      </c>
      <c r="H5" s="102">
        <f t="shared" si="2"/>
        <v>59960.03</v>
      </c>
      <c r="I5" s="101">
        <f t="shared" si="2"/>
        <v>100000</v>
      </c>
      <c r="J5" s="102">
        <f t="shared" si="2"/>
        <v>-40039.97</v>
      </c>
      <c r="K5" s="181">
        <f t="shared" si="3"/>
        <v>0.7530120482</v>
      </c>
      <c r="L5" s="103">
        <v>0.7</v>
      </c>
      <c r="M5" s="103">
        <f t="shared" ref="M5:M11" si="6">L5-K5</f>
        <v>-0.05301204819</v>
      </c>
      <c r="N5" s="102">
        <f t="shared" si="4"/>
        <v>239.84012</v>
      </c>
      <c r="O5" s="104">
        <v>250.0</v>
      </c>
      <c r="P5" s="102">
        <f t="shared" si="5"/>
        <v>-10.15988</v>
      </c>
    </row>
    <row r="6" hidden="1" outlineLevel="2">
      <c r="A6" s="182">
        <v>45992.0</v>
      </c>
      <c r="B6" s="183">
        <v>41.0</v>
      </c>
      <c r="C6" s="184">
        <v>60.0</v>
      </c>
      <c r="D6" s="185">
        <f t="shared" ref="D6:D11" si="7">B6-C6</f>
        <v>-19</v>
      </c>
      <c r="E6" s="183">
        <v>22.0</v>
      </c>
      <c r="F6" s="184">
        <v>20.0</v>
      </c>
      <c r="G6" s="185">
        <f t="shared" ref="G6:G11" si="8">E6-F6</f>
        <v>2</v>
      </c>
      <c r="H6" s="186">
        <v>6492.88</v>
      </c>
      <c r="I6" s="187">
        <v>5000.0</v>
      </c>
      <c r="J6" s="137">
        <f t="shared" ref="J6:J11" si="9">H6-I6</f>
        <v>1492.88</v>
      </c>
      <c r="K6" s="188">
        <f t="shared" si="3"/>
        <v>0.5365853659</v>
      </c>
      <c r="L6" s="189">
        <v>0.75</v>
      </c>
      <c r="M6" s="190">
        <f t="shared" si="6"/>
        <v>0.2134146341</v>
      </c>
      <c r="N6" s="191">
        <f t="shared" ref="N6:N11" si="10">IFERROR(H6/E6,"")</f>
        <v>295.1309091</v>
      </c>
      <c r="O6" s="192">
        <v>250.0</v>
      </c>
      <c r="P6" s="193">
        <f t="shared" si="5"/>
        <v>45.13090909</v>
      </c>
      <c r="R6" s="113" t="s">
        <v>60</v>
      </c>
    </row>
    <row r="7" hidden="1" outlineLevel="2">
      <c r="A7" s="194">
        <v>45993.0</v>
      </c>
      <c r="B7" s="183">
        <v>29.0</v>
      </c>
      <c r="C7" s="184">
        <v>60.0</v>
      </c>
      <c r="D7" s="195">
        <f t="shared" si="7"/>
        <v>-31</v>
      </c>
      <c r="E7" s="183">
        <v>27.0</v>
      </c>
      <c r="F7" s="184">
        <v>20.0</v>
      </c>
      <c r="G7" s="195">
        <f t="shared" si="8"/>
        <v>7</v>
      </c>
      <c r="H7" s="186">
        <v>6337.03</v>
      </c>
      <c r="I7" s="187">
        <v>5000.0</v>
      </c>
      <c r="J7" s="135">
        <f t="shared" si="9"/>
        <v>1337.03</v>
      </c>
      <c r="K7" s="188">
        <f t="shared" si="3"/>
        <v>0.9310344828</v>
      </c>
      <c r="L7" s="189">
        <v>0.75</v>
      </c>
      <c r="M7" s="196">
        <f t="shared" si="6"/>
        <v>-0.1810344828</v>
      </c>
      <c r="N7" s="191">
        <f t="shared" si="10"/>
        <v>234.7048148</v>
      </c>
      <c r="O7" s="197">
        <v>250.0</v>
      </c>
      <c r="P7" s="198">
        <f t="shared" si="5"/>
        <v>-15.29518519</v>
      </c>
      <c r="R7" s="115" t="s">
        <v>15</v>
      </c>
    </row>
    <row r="8" hidden="1" outlineLevel="2">
      <c r="A8" s="182">
        <v>45994.0</v>
      </c>
      <c r="B8" s="183">
        <v>44.0</v>
      </c>
      <c r="C8" s="184">
        <v>60.0</v>
      </c>
      <c r="D8" s="185">
        <f t="shared" si="7"/>
        <v>-16</v>
      </c>
      <c r="E8" s="183">
        <v>23.0</v>
      </c>
      <c r="F8" s="184">
        <v>20.0</v>
      </c>
      <c r="G8" s="185">
        <f t="shared" si="8"/>
        <v>3</v>
      </c>
      <c r="H8" s="186">
        <v>4140.15</v>
      </c>
      <c r="I8" s="187">
        <v>5000.0</v>
      </c>
      <c r="J8" s="137">
        <f t="shared" si="9"/>
        <v>-859.85</v>
      </c>
      <c r="K8" s="188">
        <f t="shared" si="3"/>
        <v>0.5227272727</v>
      </c>
      <c r="L8" s="189">
        <v>0.75</v>
      </c>
      <c r="M8" s="190">
        <f t="shared" si="6"/>
        <v>0.2272727273</v>
      </c>
      <c r="N8" s="191">
        <f t="shared" si="10"/>
        <v>180.0065217</v>
      </c>
      <c r="O8" s="192">
        <v>250.0</v>
      </c>
      <c r="P8" s="193">
        <f t="shared" si="5"/>
        <v>-69.99347826</v>
      </c>
      <c r="R8" s="113" t="s">
        <v>8</v>
      </c>
      <c r="S8" s="116">
        <v>100000.0</v>
      </c>
      <c r="T8" s="118">
        <f>S8-S11</f>
        <v>40039.97</v>
      </c>
    </row>
    <row r="9" hidden="1" outlineLevel="2">
      <c r="A9" s="194">
        <v>45995.0</v>
      </c>
      <c r="B9" s="183">
        <v>21.0</v>
      </c>
      <c r="C9" s="184">
        <v>60.0</v>
      </c>
      <c r="D9" s="195">
        <f t="shared" si="7"/>
        <v>-39</v>
      </c>
      <c r="E9" s="183">
        <v>14.0</v>
      </c>
      <c r="F9" s="184">
        <v>20.0</v>
      </c>
      <c r="G9" s="195">
        <f t="shared" si="8"/>
        <v>-6</v>
      </c>
      <c r="H9" s="186">
        <v>3318.81</v>
      </c>
      <c r="I9" s="187">
        <v>5000.0</v>
      </c>
      <c r="J9" s="135">
        <f t="shared" si="9"/>
        <v>-1681.19</v>
      </c>
      <c r="K9" s="188">
        <f t="shared" si="3"/>
        <v>0.6666666667</v>
      </c>
      <c r="L9" s="189">
        <v>0.75</v>
      </c>
      <c r="M9" s="196">
        <f t="shared" si="6"/>
        <v>0.08333333333</v>
      </c>
      <c r="N9" s="191">
        <f t="shared" si="10"/>
        <v>237.0578571</v>
      </c>
      <c r="O9" s="197">
        <v>250.0</v>
      </c>
      <c r="P9" s="198">
        <f t="shared" si="5"/>
        <v>-12.94214286</v>
      </c>
      <c r="R9" s="113" t="s">
        <v>45</v>
      </c>
      <c r="S9" s="117">
        <f>S8/30</f>
        <v>3333.333333</v>
      </c>
    </row>
    <row r="10" hidden="1" outlineLevel="2">
      <c r="A10" s="182">
        <v>45996.0</v>
      </c>
      <c r="B10" s="183">
        <v>20.0</v>
      </c>
      <c r="C10" s="184">
        <v>60.0</v>
      </c>
      <c r="D10" s="185">
        <f t="shared" si="7"/>
        <v>-40</v>
      </c>
      <c r="E10" s="183">
        <v>12.0</v>
      </c>
      <c r="F10" s="184">
        <v>20.0</v>
      </c>
      <c r="G10" s="185">
        <f t="shared" si="8"/>
        <v>-8</v>
      </c>
      <c r="H10" s="186">
        <v>2492.96</v>
      </c>
      <c r="I10" s="187">
        <v>5000.0</v>
      </c>
      <c r="J10" s="137">
        <f t="shared" si="9"/>
        <v>-2507.04</v>
      </c>
      <c r="K10" s="188">
        <f t="shared" si="3"/>
        <v>0.6</v>
      </c>
      <c r="L10" s="189">
        <v>0.75</v>
      </c>
      <c r="M10" s="190">
        <f t="shared" si="6"/>
        <v>0.15</v>
      </c>
      <c r="N10" s="191">
        <f t="shared" si="10"/>
        <v>207.7466667</v>
      </c>
      <c r="O10" s="192">
        <v>250.0</v>
      </c>
      <c r="P10" s="193">
        <f t="shared" si="5"/>
        <v>-42.25333333</v>
      </c>
      <c r="R10" s="113" t="s">
        <v>46</v>
      </c>
      <c r="S10" s="117">
        <f>S8/20</f>
        <v>5000</v>
      </c>
    </row>
    <row r="11" hidden="1" outlineLevel="2">
      <c r="A11" s="194">
        <v>45997.0</v>
      </c>
      <c r="B11" s="183">
        <v>12.0</v>
      </c>
      <c r="C11" s="184">
        <v>60.0</v>
      </c>
      <c r="D11" s="195">
        <f t="shared" si="7"/>
        <v>-48</v>
      </c>
      <c r="E11" s="183">
        <v>5.0</v>
      </c>
      <c r="F11" s="184">
        <v>20.0</v>
      </c>
      <c r="G11" s="195">
        <f t="shared" si="8"/>
        <v>-15</v>
      </c>
      <c r="H11" s="186">
        <v>1028.16</v>
      </c>
      <c r="I11" s="135">
        <v>0.0</v>
      </c>
      <c r="J11" s="135">
        <f t="shared" si="9"/>
        <v>1028.16</v>
      </c>
      <c r="K11" s="188">
        <f t="shared" si="3"/>
        <v>0.4166666667</v>
      </c>
      <c r="L11" s="189">
        <v>0.75</v>
      </c>
      <c r="M11" s="196">
        <f t="shared" si="6"/>
        <v>0.3333333333</v>
      </c>
      <c r="N11" s="191">
        <f t="shared" si="10"/>
        <v>205.632</v>
      </c>
      <c r="O11" s="197">
        <v>250.0</v>
      </c>
      <c r="P11" s="198">
        <f t="shared" si="5"/>
        <v>-44.368</v>
      </c>
      <c r="R11" s="113" t="s">
        <v>7</v>
      </c>
      <c r="S11" s="117">
        <f>H5</f>
        <v>59960.03</v>
      </c>
    </row>
    <row r="12" hidden="1" outlineLevel="2">
      <c r="A12" s="182">
        <v>45998.0</v>
      </c>
      <c r="B12" s="199"/>
      <c r="C12" s="161"/>
      <c r="D12" s="161"/>
      <c r="E12" s="199"/>
      <c r="F12" s="161"/>
      <c r="G12" s="161"/>
      <c r="H12" s="191"/>
      <c r="I12" s="200"/>
      <c r="J12" s="200"/>
      <c r="K12" s="201"/>
      <c r="L12" s="202"/>
      <c r="M12" s="203"/>
      <c r="N12" s="191"/>
      <c r="O12" s="204"/>
      <c r="P12" s="203"/>
      <c r="R12" s="113" t="s">
        <v>47</v>
      </c>
      <c r="S12" s="119">
        <f>S11/S8</f>
        <v>0.5996003</v>
      </c>
    </row>
    <row r="13" hidden="1" outlineLevel="2">
      <c r="A13" s="194">
        <v>45999.0</v>
      </c>
      <c r="B13" s="183">
        <v>26.0</v>
      </c>
      <c r="C13" s="184">
        <v>60.0</v>
      </c>
      <c r="D13" s="195">
        <f t="shared" ref="D13:D18" si="11">B13-C13</f>
        <v>-34</v>
      </c>
      <c r="E13" s="183">
        <v>21.0</v>
      </c>
      <c r="F13" s="184">
        <v>20.0</v>
      </c>
      <c r="G13" s="195">
        <f t="shared" ref="G13:G18" si="12">E13-F13</f>
        <v>1</v>
      </c>
      <c r="H13" s="186">
        <v>5111.57</v>
      </c>
      <c r="I13" s="187">
        <v>5000.0</v>
      </c>
      <c r="J13" s="135">
        <f t="shared" ref="J13:J18" si="13">H13-I13</f>
        <v>111.57</v>
      </c>
      <c r="K13" s="188">
        <f t="shared" ref="K13:K18" si="14">E13/B13</f>
        <v>0.8076923077</v>
      </c>
      <c r="L13" s="189">
        <v>0.75</v>
      </c>
      <c r="M13" s="196">
        <f t="shared" ref="M13:M18" si="15">L13-K13</f>
        <v>-0.05769230769</v>
      </c>
      <c r="N13" s="191">
        <f t="shared" ref="N13:N18" si="16">IFERROR(H13/E13,"")</f>
        <v>243.4080952</v>
      </c>
      <c r="O13" s="197">
        <v>250.0</v>
      </c>
      <c r="P13" s="198">
        <f t="shared" ref="P13:P18" si="17">N13-O13</f>
        <v>-6.591904762</v>
      </c>
      <c r="R13" s="113" t="s">
        <v>48</v>
      </c>
      <c r="S13" s="120">
        <v>4.0</v>
      </c>
    </row>
    <row r="14" hidden="1" outlineLevel="2">
      <c r="A14" s="182">
        <v>46000.0</v>
      </c>
      <c r="B14" s="183">
        <v>26.0</v>
      </c>
      <c r="C14" s="184">
        <v>60.0</v>
      </c>
      <c r="D14" s="185">
        <f t="shared" si="11"/>
        <v>-34</v>
      </c>
      <c r="E14" s="183">
        <v>4.0</v>
      </c>
      <c r="F14" s="184">
        <v>20.0</v>
      </c>
      <c r="G14" s="185">
        <f t="shared" si="12"/>
        <v>-16</v>
      </c>
      <c r="H14" s="186">
        <v>484.79</v>
      </c>
      <c r="I14" s="187">
        <v>5000.0</v>
      </c>
      <c r="J14" s="137">
        <f t="shared" si="13"/>
        <v>-4515.21</v>
      </c>
      <c r="K14" s="188">
        <f t="shared" si="14"/>
        <v>0.1538461538</v>
      </c>
      <c r="L14" s="189">
        <v>0.75</v>
      </c>
      <c r="M14" s="190">
        <f t="shared" si="15"/>
        <v>0.5961538462</v>
      </c>
      <c r="N14" s="191">
        <f t="shared" si="16"/>
        <v>121.1975</v>
      </c>
      <c r="O14" s="192">
        <v>250.0</v>
      </c>
      <c r="P14" s="193">
        <f t="shared" si="17"/>
        <v>-128.8025</v>
      </c>
      <c r="R14" s="113" t="s">
        <v>49</v>
      </c>
      <c r="S14" s="121">
        <f>(S8-S11)/S13</f>
        <v>10009.9925</v>
      </c>
    </row>
    <row r="15" hidden="1" outlineLevel="2">
      <c r="A15" s="194">
        <v>46001.0</v>
      </c>
      <c r="B15" s="183">
        <v>13.0</v>
      </c>
      <c r="C15" s="184">
        <v>60.0</v>
      </c>
      <c r="D15" s="195">
        <f t="shared" si="11"/>
        <v>-47</v>
      </c>
      <c r="E15" s="183">
        <v>17.0</v>
      </c>
      <c r="F15" s="184">
        <v>20.0</v>
      </c>
      <c r="G15" s="195">
        <f t="shared" si="12"/>
        <v>-3</v>
      </c>
      <c r="H15" s="186">
        <v>5571.61</v>
      </c>
      <c r="I15" s="187">
        <v>5000.0</v>
      </c>
      <c r="J15" s="135">
        <f t="shared" si="13"/>
        <v>571.61</v>
      </c>
      <c r="K15" s="188">
        <f t="shared" si="14"/>
        <v>1.307692308</v>
      </c>
      <c r="L15" s="189">
        <v>0.75</v>
      </c>
      <c r="M15" s="196">
        <f t="shared" si="15"/>
        <v>-0.5576923077</v>
      </c>
      <c r="N15" s="191">
        <f t="shared" si="16"/>
        <v>327.7417647</v>
      </c>
      <c r="O15" s="197">
        <v>250.0</v>
      </c>
      <c r="P15" s="198">
        <f t="shared" si="17"/>
        <v>77.74176471</v>
      </c>
      <c r="R15" s="113" t="s">
        <v>50</v>
      </c>
      <c r="S15" s="122">
        <f>N5</f>
        <v>239.84012</v>
      </c>
    </row>
    <row r="16" hidden="1" outlineLevel="2">
      <c r="A16" s="182">
        <v>46002.0</v>
      </c>
      <c r="B16" s="183">
        <v>18.0</v>
      </c>
      <c r="C16" s="184">
        <v>60.0</v>
      </c>
      <c r="D16" s="185">
        <f t="shared" si="11"/>
        <v>-42</v>
      </c>
      <c r="E16" s="183">
        <v>15.0</v>
      </c>
      <c r="F16" s="184">
        <v>20.0</v>
      </c>
      <c r="G16" s="185">
        <f t="shared" si="12"/>
        <v>-5</v>
      </c>
      <c r="H16" s="186">
        <v>3229.49</v>
      </c>
      <c r="I16" s="187">
        <v>5000.0</v>
      </c>
      <c r="J16" s="137">
        <f t="shared" si="13"/>
        <v>-1770.51</v>
      </c>
      <c r="K16" s="188">
        <f t="shared" si="14"/>
        <v>0.8333333333</v>
      </c>
      <c r="L16" s="189">
        <v>0.75</v>
      </c>
      <c r="M16" s="190">
        <f t="shared" si="15"/>
        <v>-0.08333333333</v>
      </c>
      <c r="N16" s="191">
        <f t="shared" si="16"/>
        <v>215.2993333</v>
      </c>
      <c r="O16" s="192">
        <v>250.0</v>
      </c>
      <c r="P16" s="193">
        <f t="shared" si="17"/>
        <v>-34.70066667</v>
      </c>
      <c r="R16" s="113" t="s">
        <v>51</v>
      </c>
      <c r="S16" s="128">
        <f>B5</f>
        <v>332</v>
      </c>
    </row>
    <row r="17" hidden="1" outlineLevel="2">
      <c r="A17" s="194">
        <v>46003.0</v>
      </c>
      <c r="B17" s="183">
        <v>22.0</v>
      </c>
      <c r="C17" s="184">
        <v>60.0</v>
      </c>
      <c r="D17" s="195">
        <f t="shared" si="11"/>
        <v>-38</v>
      </c>
      <c r="E17" s="183">
        <v>10.0</v>
      </c>
      <c r="F17" s="184">
        <v>20.0</v>
      </c>
      <c r="G17" s="195">
        <f t="shared" si="12"/>
        <v>-10</v>
      </c>
      <c r="H17" s="186">
        <v>2550.03</v>
      </c>
      <c r="I17" s="187">
        <v>5000.0</v>
      </c>
      <c r="J17" s="135">
        <f t="shared" si="13"/>
        <v>-2449.97</v>
      </c>
      <c r="K17" s="188">
        <f t="shared" si="14"/>
        <v>0.4545454545</v>
      </c>
      <c r="L17" s="189">
        <v>0.75</v>
      </c>
      <c r="M17" s="196">
        <f t="shared" si="15"/>
        <v>0.2954545455</v>
      </c>
      <c r="N17" s="191">
        <f t="shared" si="16"/>
        <v>255.003</v>
      </c>
      <c r="O17" s="197">
        <v>250.0</v>
      </c>
      <c r="P17" s="198">
        <f t="shared" si="17"/>
        <v>5.003</v>
      </c>
      <c r="R17" s="113" t="s">
        <v>52</v>
      </c>
      <c r="S17" s="128">
        <f>E5</f>
        <v>250</v>
      </c>
    </row>
    <row r="18" hidden="1" outlineLevel="2">
      <c r="A18" s="182">
        <v>46004.0</v>
      </c>
      <c r="B18" s="205">
        <v>0.0</v>
      </c>
      <c r="C18" s="184">
        <v>60.0</v>
      </c>
      <c r="D18" s="185">
        <f t="shared" si="11"/>
        <v>-60</v>
      </c>
      <c r="E18" s="183">
        <v>8.0</v>
      </c>
      <c r="F18" s="184">
        <v>20.0</v>
      </c>
      <c r="G18" s="185">
        <f t="shared" si="12"/>
        <v>-12</v>
      </c>
      <c r="H18" s="186">
        <v>2299.85</v>
      </c>
      <c r="I18" s="137">
        <v>0.0</v>
      </c>
      <c r="J18" s="206">
        <f t="shared" si="13"/>
        <v>2299.85</v>
      </c>
      <c r="K18" s="188" t="str">
        <f t="shared" si="14"/>
        <v>#DIV/0!</v>
      </c>
      <c r="L18" s="189">
        <v>0.75</v>
      </c>
      <c r="M18" s="207" t="str">
        <f t="shared" si="15"/>
        <v>#DIV/0!</v>
      </c>
      <c r="N18" s="191">
        <f t="shared" si="16"/>
        <v>287.48125</v>
      </c>
      <c r="O18" s="192">
        <v>250.0</v>
      </c>
      <c r="P18" s="193">
        <f t="shared" si="17"/>
        <v>37.48125</v>
      </c>
      <c r="R18" s="113" t="s">
        <v>4</v>
      </c>
      <c r="S18" s="119">
        <f>E5/B5</f>
        <v>0.7530120482</v>
      </c>
    </row>
    <row r="19" hidden="1" outlineLevel="2">
      <c r="A19" s="194">
        <v>46005.0</v>
      </c>
      <c r="B19" s="199"/>
      <c r="C19" s="160"/>
      <c r="D19" s="160"/>
      <c r="E19" s="199"/>
      <c r="F19" s="160"/>
      <c r="G19" s="160"/>
      <c r="H19" s="191"/>
      <c r="I19" s="208"/>
      <c r="J19" s="208"/>
      <c r="K19" s="201"/>
      <c r="L19" s="209"/>
      <c r="M19" s="210"/>
      <c r="N19" s="191"/>
      <c r="O19" s="211"/>
      <c r="P19" s="210"/>
    </row>
    <row r="20" hidden="1" outlineLevel="2">
      <c r="A20" s="182">
        <v>46006.0</v>
      </c>
      <c r="B20" s="183">
        <v>16.0</v>
      </c>
      <c r="C20" s="184">
        <v>60.0</v>
      </c>
      <c r="D20" s="185">
        <f t="shared" ref="D20:D25" si="18">B20-C20</f>
        <v>-44</v>
      </c>
      <c r="E20" s="183">
        <v>18.0</v>
      </c>
      <c r="F20" s="184">
        <v>20.0</v>
      </c>
      <c r="G20" s="185">
        <f t="shared" ref="G20:G25" si="19">E20-F20</f>
        <v>-2</v>
      </c>
      <c r="H20" s="186">
        <v>4536.42</v>
      </c>
      <c r="I20" s="187">
        <v>5000.0</v>
      </c>
      <c r="J20" s="137">
        <f t="shared" ref="J20:J25" si="20">H20-I20</f>
        <v>-463.58</v>
      </c>
      <c r="K20" s="188">
        <f t="shared" ref="K20:K25" si="21">E20/B20</f>
        <v>1.125</v>
      </c>
      <c r="L20" s="189">
        <v>0.75</v>
      </c>
      <c r="M20" s="190">
        <f t="shared" ref="M20:M25" si="22">L20-K20</f>
        <v>-0.375</v>
      </c>
      <c r="N20" s="191">
        <f t="shared" ref="N20:N25" si="23">IFERROR(H20/E20,"")</f>
        <v>252.0233333</v>
      </c>
      <c r="O20" s="192">
        <v>250.0</v>
      </c>
      <c r="P20" s="193">
        <f t="shared" ref="P20:P25" si="24">N20-O20</f>
        <v>2.023333333</v>
      </c>
    </row>
    <row r="21" hidden="1" outlineLevel="2">
      <c r="A21" s="194">
        <v>46007.0</v>
      </c>
      <c r="B21" s="183">
        <v>6.0</v>
      </c>
      <c r="C21" s="184">
        <v>60.0</v>
      </c>
      <c r="D21" s="195">
        <f t="shared" si="18"/>
        <v>-54</v>
      </c>
      <c r="E21" s="183">
        <v>11.0</v>
      </c>
      <c r="F21" s="184">
        <v>20.0</v>
      </c>
      <c r="G21" s="195">
        <f t="shared" si="19"/>
        <v>-9</v>
      </c>
      <c r="H21" s="186">
        <v>3583.95</v>
      </c>
      <c r="I21" s="187">
        <v>5000.0</v>
      </c>
      <c r="J21" s="135">
        <f t="shared" si="20"/>
        <v>-1416.05</v>
      </c>
      <c r="K21" s="188">
        <f t="shared" si="21"/>
        <v>1.833333333</v>
      </c>
      <c r="L21" s="189">
        <v>0.75</v>
      </c>
      <c r="M21" s="196">
        <f t="shared" si="22"/>
        <v>-1.083333333</v>
      </c>
      <c r="N21" s="191">
        <f t="shared" si="23"/>
        <v>325.8136364</v>
      </c>
      <c r="O21" s="197">
        <v>250.0</v>
      </c>
      <c r="P21" s="198">
        <f t="shared" si="24"/>
        <v>75.81363636</v>
      </c>
    </row>
    <row r="22" hidden="1" outlineLevel="2">
      <c r="A22" s="182">
        <v>46008.0</v>
      </c>
      <c r="B22" s="183">
        <v>2.0</v>
      </c>
      <c r="C22" s="184">
        <v>60.0</v>
      </c>
      <c r="D22" s="185">
        <f t="shared" si="18"/>
        <v>-58</v>
      </c>
      <c r="E22" s="183">
        <v>7.0</v>
      </c>
      <c r="F22" s="184">
        <v>20.0</v>
      </c>
      <c r="G22" s="185">
        <f t="shared" si="19"/>
        <v>-13</v>
      </c>
      <c r="H22" s="186">
        <v>1762.73</v>
      </c>
      <c r="I22" s="187">
        <v>5000.0</v>
      </c>
      <c r="J22" s="137">
        <f t="shared" si="20"/>
        <v>-3237.27</v>
      </c>
      <c r="K22" s="188">
        <f t="shared" si="21"/>
        <v>3.5</v>
      </c>
      <c r="L22" s="189">
        <v>0.75</v>
      </c>
      <c r="M22" s="190">
        <f t="shared" si="22"/>
        <v>-2.75</v>
      </c>
      <c r="N22" s="191">
        <f t="shared" si="23"/>
        <v>251.8185714</v>
      </c>
      <c r="O22" s="192">
        <v>250.0</v>
      </c>
      <c r="P22" s="193">
        <f t="shared" si="24"/>
        <v>1.818571429</v>
      </c>
    </row>
    <row r="23" hidden="1" outlineLevel="2">
      <c r="A23" s="194">
        <v>46009.0</v>
      </c>
      <c r="B23" s="183">
        <v>4.0</v>
      </c>
      <c r="C23" s="184">
        <v>60.0</v>
      </c>
      <c r="D23" s="195">
        <f t="shared" si="18"/>
        <v>-56</v>
      </c>
      <c r="E23" s="183">
        <v>10.0</v>
      </c>
      <c r="F23" s="184">
        <v>20.0</v>
      </c>
      <c r="G23" s="195">
        <f t="shared" si="19"/>
        <v>-10</v>
      </c>
      <c r="H23" s="186">
        <v>2505.84</v>
      </c>
      <c r="I23" s="187">
        <v>5000.0</v>
      </c>
      <c r="J23" s="135">
        <f t="shared" si="20"/>
        <v>-2494.16</v>
      </c>
      <c r="K23" s="188">
        <f t="shared" si="21"/>
        <v>2.5</v>
      </c>
      <c r="L23" s="189">
        <v>0.75</v>
      </c>
      <c r="M23" s="196">
        <f t="shared" si="22"/>
        <v>-1.75</v>
      </c>
      <c r="N23" s="191">
        <f t="shared" si="23"/>
        <v>250.584</v>
      </c>
      <c r="O23" s="197">
        <v>250.0</v>
      </c>
      <c r="P23" s="198">
        <f t="shared" si="24"/>
        <v>0.584</v>
      </c>
      <c r="S23" s="94"/>
    </row>
    <row r="24" hidden="1" outlineLevel="2">
      <c r="A24" s="182">
        <v>46010.0</v>
      </c>
      <c r="B24" s="183">
        <v>8.0</v>
      </c>
      <c r="C24" s="184">
        <v>60.0</v>
      </c>
      <c r="D24" s="185">
        <f t="shared" si="18"/>
        <v>-52</v>
      </c>
      <c r="E24" s="183">
        <v>10.0</v>
      </c>
      <c r="F24" s="184">
        <v>20.0</v>
      </c>
      <c r="G24" s="185">
        <f t="shared" si="19"/>
        <v>-10</v>
      </c>
      <c r="H24" s="186">
        <v>1532.06</v>
      </c>
      <c r="I24" s="187">
        <v>5000.0</v>
      </c>
      <c r="J24" s="137">
        <f t="shared" si="20"/>
        <v>-3467.94</v>
      </c>
      <c r="K24" s="188">
        <f t="shared" si="21"/>
        <v>1.25</v>
      </c>
      <c r="L24" s="189">
        <v>0.75</v>
      </c>
      <c r="M24" s="190">
        <f t="shared" si="22"/>
        <v>-0.5</v>
      </c>
      <c r="N24" s="191">
        <f t="shared" si="23"/>
        <v>153.206</v>
      </c>
      <c r="O24" s="192">
        <v>250.0</v>
      </c>
      <c r="P24" s="193">
        <f t="shared" si="24"/>
        <v>-96.794</v>
      </c>
      <c r="S24" s="94"/>
    </row>
    <row r="25" hidden="1" outlineLevel="2">
      <c r="A25" s="194">
        <v>46011.0</v>
      </c>
      <c r="B25" s="183">
        <v>13.0</v>
      </c>
      <c r="C25" s="184">
        <v>60.0</v>
      </c>
      <c r="D25" s="195">
        <f t="shared" si="18"/>
        <v>-47</v>
      </c>
      <c r="E25" s="183">
        <v>4.0</v>
      </c>
      <c r="F25" s="184">
        <v>20.0</v>
      </c>
      <c r="G25" s="195">
        <f t="shared" si="19"/>
        <v>-16</v>
      </c>
      <c r="H25" s="186">
        <v>677.6</v>
      </c>
      <c r="I25" s="135">
        <v>0.0</v>
      </c>
      <c r="J25" s="135">
        <f t="shared" si="20"/>
        <v>677.6</v>
      </c>
      <c r="K25" s="188">
        <f t="shared" si="21"/>
        <v>0.3076923077</v>
      </c>
      <c r="L25" s="189">
        <v>0.75</v>
      </c>
      <c r="M25" s="196">
        <f t="shared" si="22"/>
        <v>0.4423076923</v>
      </c>
      <c r="N25" s="191">
        <f t="shared" si="23"/>
        <v>169.4</v>
      </c>
      <c r="O25" s="197">
        <v>250.0</v>
      </c>
      <c r="P25" s="198">
        <f t="shared" si="24"/>
        <v>-80.6</v>
      </c>
      <c r="S25" s="94"/>
    </row>
    <row r="26" hidden="1" outlineLevel="2">
      <c r="A26" s="182">
        <v>46012.0</v>
      </c>
      <c r="B26" s="199"/>
      <c r="C26" s="161"/>
      <c r="D26" s="161"/>
      <c r="E26" s="199"/>
      <c r="F26" s="161"/>
      <c r="G26" s="161"/>
      <c r="H26" s="191"/>
      <c r="I26" s="200"/>
      <c r="J26" s="200"/>
      <c r="K26" s="201"/>
      <c r="L26" s="202"/>
      <c r="M26" s="203"/>
      <c r="N26" s="191"/>
      <c r="O26" s="204"/>
      <c r="P26" s="203"/>
      <c r="S26" s="94"/>
    </row>
    <row r="27" hidden="1" outlineLevel="2">
      <c r="A27" s="194">
        <v>46013.0</v>
      </c>
      <c r="B27" s="183">
        <v>11.0</v>
      </c>
      <c r="C27" s="212">
        <v>60.0</v>
      </c>
      <c r="D27" s="195">
        <f t="shared" ref="D27:D32" si="25">B27-C27</f>
        <v>-49</v>
      </c>
      <c r="E27" s="183">
        <v>12.0</v>
      </c>
      <c r="F27" s="212">
        <v>20.0</v>
      </c>
      <c r="G27" s="195">
        <f t="shared" ref="G27:G32" si="26">E27-F27</f>
        <v>-8</v>
      </c>
      <c r="H27" s="186">
        <v>2304.1</v>
      </c>
      <c r="I27" s="213">
        <v>5000.0</v>
      </c>
      <c r="J27" s="135">
        <f t="shared" ref="J27:J32" si="27">H27-I27</f>
        <v>-2695.9</v>
      </c>
      <c r="K27" s="188">
        <f t="shared" ref="K27:K32" si="28">E27/B27</f>
        <v>1.090909091</v>
      </c>
      <c r="L27" s="189">
        <v>0.75</v>
      </c>
      <c r="M27" s="196">
        <f t="shared" ref="M27:M32" si="29">L27-K27</f>
        <v>-0.3409090909</v>
      </c>
      <c r="N27" s="191">
        <f t="shared" ref="N27:N32" si="30">IFERROR(H27/E27,"")</f>
        <v>192.0083333</v>
      </c>
      <c r="O27" s="197">
        <v>250.0</v>
      </c>
      <c r="P27" s="198">
        <f t="shared" ref="P27:P32" si="31">N27-O27</f>
        <v>-57.99166667</v>
      </c>
      <c r="S27" s="94"/>
    </row>
    <row r="28" hidden="1" outlineLevel="2">
      <c r="A28" s="182">
        <v>46014.0</v>
      </c>
      <c r="B28" s="205">
        <v>0.0</v>
      </c>
      <c r="C28" s="184">
        <v>60.0</v>
      </c>
      <c r="D28" s="185">
        <f t="shared" si="25"/>
        <v>-60</v>
      </c>
      <c r="E28" s="205">
        <v>0.0</v>
      </c>
      <c r="F28" s="184">
        <v>20.0</v>
      </c>
      <c r="G28" s="185">
        <f t="shared" si="26"/>
        <v>-20</v>
      </c>
      <c r="H28" s="214">
        <v>0.0</v>
      </c>
      <c r="I28" s="187">
        <v>5000.0</v>
      </c>
      <c r="J28" s="137">
        <f t="shared" si="27"/>
        <v>-5000</v>
      </c>
      <c r="K28" s="188" t="str">
        <f t="shared" si="28"/>
        <v>#DIV/0!</v>
      </c>
      <c r="L28" s="189">
        <v>0.75</v>
      </c>
      <c r="M28" s="207" t="str">
        <f t="shared" si="29"/>
        <v>#DIV/0!</v>
      </c>
      <c r="N28" s="191" t="str">
        <f t="shared" si="30"/>
        <v/>
      </c>
      <c r="O28" s="192">
        <v>250.0</v>
      </c>
      <c r="P28" s="193">
        <f t="shared" si="31"/>
        <v>-250</v>
      </c>
      <c r="S28" s="94"/>
    </row>
    <row r="29" hidden="1" outlineLevel="2">
      <c r="A29" s="215">
        <v>46015.0</v>
      </c>
      <c r="B29" s="216">
        <v>0.0</v>
      </c>
      <c r="C29" s="217">
        <v>0.0</v>
      </c>
      <c r="D29" s="218">
        <f t="shared" si="25"/>
        <v>0</v>
      </c>
      <c r="E29" s="216">
        <v>0.0</v>
      </c>
      <c r="F29" s="217">
        <v>0.0</v>
      </c>
      <c r="G29" s="218">
        <f t="shared" si="26"/>
        <v>0</v>
      </c>
      <c r="H29" s="219">
        <v>0.0</v>
      </c>
      <c r="I29" s="219">
        <v>0.0</v>
      </c>
      <c r="J29" s="219">
        <f t="shared" si="27"/>
        <v>0</v>
      </c>
      <c r="K29" s="220" t="str">
        <f t="shared" si="28"/>
        <v>#DIV/0!</v>
      </c>
      <c r="L29" s="221">
        <v>0.75</v>
      </c>
      <c r="M29" s="222" t="str">
        <f t="shared" si="29"/>
        <v>#DIV/0!</v>
      </c>
      <c r="N29" s="223" t="str">
        <f t="shared" si="30"/>
        <v/>
      </c>
      <c r="O29" s="224">
        <v>250.0</v>
      </c>
      <c r="P29" s="225">
        <f t="shared" si="31"/>
        <v>-250</v>
      </c>
      <c r="Q29" s="226"/>
      <c r="R29" s="226"/>
      <c r="S29" s="227"/>
      <c r="T29" s="226"/>
      <c r="U29" s="226"/>
      <c r="V29" s="226"/>
      <c r="W29" s="226"/>
      <c r="X29" s="226"/>
      <c r="Y29" s="226"/>
      <c r="Z29" s="226"/>
      <c r="AA29" s="226"/>
      <c r="AB29" s="226"/>
    </row>
    <row r="30" hidden="1" outlineLevel="2">
      <c r="A30" s="228">
        <v>46016.0</v>
      </c>
      <c r="B30" s="229">
        <v>0.0</v>
      </c>
      <c r="C30" s="230">
        <v>0.0</v>
      </c>
      <c r="D30" s="231">
        <f t="shared" si="25"/>
        <v>0</v>
      </c>
      <c r="E30" s="229">
        <v>0.0</v>
      </c>
      <c r="F30" s="230">
        <v>0.0</v>
      </c>
      <c r="G30" s="231">
        <f t="shared" si="26"/>
        <v>0</v>
      </c>
      <c r="H30" s="232">
        <v>0.0</v>
      </c>
      <c r="I30" s="232">
        <v>0.0</v>
      </c>
      <c r="J30" s="232">
        <f t="shared" si="27"/>
        <v>0</v>
      </c>
      <c r="K30" s="233" t="str">
        <f t="shared" si="28"/>
        <v>#DIV/0!</v>
      </c>
      <c r="L30" s="234"/>
      <c r="M30" s="235" t="str">
        <f t="shared" si="29"/>
        <v>#DIV/0!</v>
      </c>
      <c r="N30" s="236" t="str">
        <f t="shared" si="30"/>
        <v/>
      </c>
      <c r="O30" s="237">
        <v>250.0</v>
      </c>
      <c r="P30" s="238">
        <f t="shared" si="31"/>
        <v>-250</v>
      </c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</row>
    <row r="31" hidden="1" outlineLevel="2">
      <c r="A31" s="240">
        <v>46017.0</v>
      </c>
      <c r="B31" s="241">
        <v>0.0</v>
      </c>
      <c r="C31" s="242">
        <v>60.0</v>
      </c>
      <c r="D31" s="243">
        <f t="shared" si="25"/>
        <v>-60</v>
      </c>
      <c r="E31" s="241">
        <v>0.0</v>
      </c>
      <c r="F31" s="242">
        <v>20.0</v>
      </c>
      <c r="G31" s="243">
        <f t="shared" si="26"/>
        <v>-20</v>
      </c>
      <c r="H31" s="244">
        <v>0.0</v>
      </c>
      <c r="I31" s="245">
        <v>5000.0</v>
      </c>
      <c r="J31" s="246">
        <f t="shared" si="27"/>
        <v>-5000</v>
      </c>
      <c r="K31" s="247" t="str">
        <f t="shared" si="28"/>
        <v>#DIV/0!</v>
      </c>
      <c r="L31" s="248">
        <v>0.75</v>
      </c>
      <c r="M31" s="249" t="str">
        <f t="shared" si="29"/>
        <v>#DIV/0!</v>
      </c>
      <c r="N31" s="250" t="str">
        <f t="shared" si="30"/>
        <v/>
      </c>
      <c r="O31" s="251">
        <v>250.0</v>
      </c>
      <c r="P31" s="252">
        <f t="shared" si="31"/>
        <v>-250</v>
      </c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</row>
    <row r="32" hidden="1" outlineLevel="2">
      <c r="A32" s="182">
        <v>46018.0</v>
      </c>
      <c r="B32" s="205">
        <v>0.0</v>
      </c>
      <c r="C32" s="184">
        <v>60.0</v>
      </c>
      <c r="D32" s="185">
        <f t="shared" si="25"/>
        <v>-60</v>
      </c>
      <c r="E32" s="205">
        <v>0.0</v>
      </c>
      <c r="F32" s="184">
        <v>20.0</v>
      </c>
      <c r="G32" s="185">
        <f t="shared" si="26"/>
        <v>-20</v>
      </c>
      <c r="H32" s="214">
        <v>0.0</v>
      </c>
      <c r="I32" s="187">
        <v>5000.0</v>
      </c>
      <c r="J32" s="137">
        <f t="shared" si="27"/>
        <v>-5000</v>
      </c>
      <c r="K32" s="188" t="str">
        <f t="shared" si="28"/>
        <v>#DIV/0!</v>
      </c>
      <c r="L32" s="189">
        <v>0.75</v>
      </c>
      <c r="M32" s="207" t="str">
        <f t="shared" si="29"/>
        <v>#DIV/0!</v>
      </c>
      <c r="N32" s="191" t="str">
        <f t="shared" si="30"/>
        <v/>
      </c>
      <c r="O32" s="192">
        <v>250.0</v>
      </c>
      <c r="P32" s="193">
        <f t="shared" si="31"/>
        <v>-250</v>
      </c>
      <c r="S32" s="94"/>
    </row>
    <row r="33" hidden="1" outlineLevel="2">
      <c r="A33" s="194">
        <v>46019.0</v>
      </c>
      <c r="B33" s="199"/>
      <c r="C33" s="160"/>
      <c r="D33" s="160"/>
      <c r="E33" s="199"/>
      <c r="F33" s="160"/>
      <c r="G33" s="160"/>
      <c r="H33" s="191"/>
      <c r="I33" s="208"/>
      <c r="J33" s="208"/>
      <c r="K33" s="201"/>
      <c r="L33" s="209"/>
      <c r="M33" s="210"/>
      <c r="N33" s="191"/>
      <c r="O33" s="211"/>
      <c r="P33" s="210"/>
      <c r="S33" s="94"/>
    </row>
    <row r="34" hidden="1" outlineLevel="2">
      <c r="A34" s="182">
        <v>46020.0</v>
      </c>
      <c r="B34" s="205">
        <v>0.0</v>
      </c>
      <c r="C34" s="184">
        <v>60.0</v>
      </c>
      <c r="D34" s="185">
        <f t="shared" ref="D34:D36" si="32">B34-C34</f>
        <v>-60</v>
      </c>
      <c r="E34" s="205">
        <v>0.0</v>
      </c>
      <c r="F34" s="184">
        <v>20.0</v>
      </c>
      <c r="G34" s="185">
        <f t="shared" ref="G34:G36" si="33">E34-F34</f>
        <v>-20</v>
      </c>
      <c r="H34" s="214">
        <v>0.0</v>
      </c>
      <c r="I34" s="187">
        <v>5000.0</v>
      </c>
      <c r="J34" s="137">
        <f t="shared" ref="J34:J36" si="34">H34-I34</f>
        <v>-5000</v>
      </c>
      <c r="K34" s="188" t="str">
        <f t="shared" ref="K34:K43" si="35">E34/B34</f>
        <v>#DIV/0!</v>
      </c>
      <c r="L34" s="189">
        <v>0.75</v>
      </c>
      <c r="M34" s="207" t="str">
        <f t="shared" ref="M34:M43" si="36">L34-K34</f>
        <v>#DIV/0!</v>
      </c>
      <c r="N34" s="191" t="str">
        <f t="shared" ref="N34:N36" si="37">IFERROR(H34/E34,"")</f>
        <v/>
      </c>
      <c r="O34" s="192">
        <v>250.0</v>
      </c>
      <c r="P34" s="193">
        <f t="shared" ref="P34:P43" si="38">N34-O34</f>
        <v>-250</v>
      </c>
      <c r="S34" s="94"/>
    </row>
    <row r="35" hidden="1" outlineLevel="2">
      <c r="A35" s="215">
        <v>46021.0</v>
      </c>
      <c r="B35" s="216">
        <v>0.0</v>
      </c>
      <c r="C35" s="217">
        <v>0.0</v>
      </c>
      <c r="D35" s="218">
        <f t="shared" si="32"/>
        <v>0</v>
      </c>
      <c r="E35" s="216">
        <v>0.0</v>
      </c>
      <c r="F35" s="217">
        <v>20.0</v>
      </c>
      <c r="G35" s="218">
        <f t="shared" si="33"/>
        <v>-20</v>
      </c>
      <c r="H35" s="219">
        <v>0.0</v>
      </c>
      <c r="I35" s="219">
        <v>0.0</v>
      </c>
      <c r="J35" s="219">
        <f t="shared" si="34"/>
        <v>0</v>
      </c>
      <c r="K35" s="220" t="str">
        <f t="shared" si="35"/>
        <v>#DIV/0!</v>
      </c>
      <c r="L35" s="221">
        <v>0.75</v>
      </c>
      <c r="M35" s="222" t="str">
        <f t="shared" si="36"/>
        <v>#DIV/0!</v>
      </c>
      <c r="N35" s="223" t="str">
        <f t="shared" si="37"/>
        <v/>
      </c>
      <c r="O35" s="224">
        <v>250.0</v>
      </c>
      <c r="P35" s="225">
        <f t="shared" si="38"/>
        <v>-250</v>
      </c>
      <c r="Q35" s="226"/>
      <c r="R35" s="226"/>
      <c r="S35" s="227"/>
      <c r="T35" s="226"/>
      <c r="U35" s="226"/>
      <c r="V35" s="226"/>
      <c r="W35" s="226"/>
      <c r="X35" s="226"/>
      <c r="Y35" s="226"/>
      <c r="Z35" s="226"/>
      <c r="AA35" s="226"/>
      <c r="AB35" s="226"/>
    </row>
    <row r="36" hidden="1" outlineLevel="2">
      <c r="A36" s="254">
        <v>46022.0</v>
      </c>
      <c r="B36" s="255">
        <v>0.0</v>
      </c>
      <c r="C36" s="256">
        <v>0.0</v>
      </c>
      <c r="D36" s="257">
        <f t="shared" si="32"/>
        <v>0</v>
      </c>
      <c r="E36" s="255">
        <v>0.0</v>
      </c>
      <c r="F36" s="256">
        <v>0.0</v>
      </c>
      <c r="G36" s="257">
        <f t="shared" si="33"/>
        <v>0</v>
      </c>
      <c r="H36" s="258">
        <v>0.0</v>
      </c>
      <c r="I36" s="258">
        <v>0.0</v>
      </c>
      <c r="J36" s="258">
        <f t="shared" si="34"/>
        <v>0</v>
      </c>
      <c r="K36" s="259" t="str">
        <f t="shared" si="35"/>
        <v>#DIV/0!</v>
      </c>
      <c r="L36" s="260"/>
      <c r="M36" s="261" t="str">
        <f t="shared" si="36"/>
        <v>#DIV/0!</v>
      </c>
      <c r="N36" s="262" t="str">
        <f t="shared" si="37"/>
        <v/>
      </c>
      <c r="O36" s="263">
        <v>250.0</v>
      </c>
      <c r="P36" s="264">
        <f t="shared" si="38"/>
        <v>-250</v>
      </c>
      <c r="Q36" s="265"/>
      <c r="R36" s="265"/>
      <c r="S36" s="266"/>
      <c r="T36" s="265"/>
      <c r="U36" s="265"/>
      <c r="V36" s="265"/>
      <c r="W36" s="265"/>
      <c r="X36" s="265"/>
      <c r="Y36" s="265"/>
      <c r="Z36" s="265"/>
      <c r="AA36" s="265"/>
      <c r="AB36" s="265"/>
    </row>
    <row r="37" outlineLevel="1" collapsed="1">
      <c r="A37" s="100" t="s">
        <v>61</v>
      </c>
      <c r="B37" s="100">
        <f>SUM(B38:B67)</f>
        <v>424</v>
      </c>
      <c r="C37" s="100">
        <v>1200.0</v>
      </c>
      <c r="D37" s="100">
        <f t="shared" ref="D37:J37" si="39">SUM(D38:D67)</f>
        <v>-956</v>
      </c>
      <c r="E37" s="100">
        <f t="shared" si="39"/>
        <v>356</v>
      </c>
      <c r="F37" s="100">
        <f t="shared" si="39"/>
        <v>851</v>
      </c>
      <c r="G37" s="100">
        <f t="shared" si="39"/>
        <v>-495</v>
      </c>
      <c r="H37" s="102">
        <f t="shared" si="39"/>
        <v>91532.7</v>
      </c>
      <c r="I37" s="101">
        <f t="shared" si="39"/>
        <v>135000</v>
      </c>
      <c r="J37" s="102">
        <f t="shared" si="39"/>
        <v>-43467.3</v>
      </c>
      <c r="K37" s="181">
        <f t="shared" si="35"/>
        <v>0.8396226415</v>
      </c>
      <c r="L37" s="103">
        <v>0.7</v>
      </c>
      <c r="M37" s="103">
        <f t="shared" si="36"/>
        <v>-0.1396226415</v>
      </c>
      <c r="N37" s="102">
        <f>H37/E37</f>
        <v>257.1143258</v>
      </c>
      <c r="O37" s="104">
        <v>250.0</v>
      </c>
      <c r="P37" s="102">
        <f t="shared" si="38"/>
        <v>7.114325843</v>
      </c>
      <c r="Q37" s="90"/>
      <c r="T37" s="90"/>
      <c r="U37" s="90"/>
      <c r="V37" s="90"/>
      <c r="W37" s="90"/>
      <c r="X37" s="90"/>
      <c r="Y37" s="90"/>
      <c r="Z37" s="90"/>
      <c r="AA37" s="90"/>
      <c r="AB37" s="90"/>
    </row>
    <row r="38" hidden="1" outlineLevel="2">
      <c r="A38" s="182">
        <v>45992.0</v>
      </c>
      <c r="B38" s="183">
        <v>27.0</v>
      </c>
      <c r="C38" s="163">
        <v>60.0</v>
      </c>
      <c r="D38" s="185">
        <f t="shared" ref="D38:D43" si="40">B38-C38</f>
        <v>-33</v>
      </c>
      <c r="E38" s="183">
        <v>17.0</v>
      </c>
      <c r="F38" s="184">
        <v>27.0</v>
      </c>
      <c r="G38" s="185">
        <f t="shared" ref="G38:G43" si="41">E38-F38</f>
        <v>-10</v>
      </c>
      <c r="H38" s="186">
        <v>4968.35</v>
      </c>
      <c r="I38" s="187">
        <v>6750.0</v>
      </c>
      <c r="J38" s="137">
        <f t="shared" ref="J38:J43" si="42">H38-I38</f>
        <v>-1781.65</v>
      </c>
      <c r="K38" s="188">
        <f t="shared" si="35"/>
        <v>0.6296296296</v>
      </c>
      <c r="L38" s="189">
        <v>0.7</v>
      </c>
      <c r="M38" s="190">
        <f t="shared" si="36"/>
        <v>0.07037037037</v>
      </c>
      <c r="N38" s="191">
        <f t="shared" ref="N38:N43" si="43">IFERROR(H38/E38,"")</f>
        <v>292.2558824</v>
      </c>
      <c r="O38" s="192">
        <v>250.0</v>
      </c>
      <c r="P38" s="193">
        <f t="shared" si="38"/>
        <v>42.25588235</v>
      </c>
      <c r="R38" s="267" t="s">
        <v>62</v>
      </c>
    </row>
    <row r="39" hidden="1" outlineLevel="2">
      <c r="A39" s="194">
        <v>45993.0</v>
      </c>
      <c r="B39" s="183">
        <v>26.0</v>
      </c>
      <c r="C39" s="162">
        <v>60.0</v>
      </c>
      <c r="D39" s="195">
        <f t="shared" si="40"/>
        <v>-34</v>
      </c>
      <c r="E39" s="183">
        <v>19.0</v>
      </c>
      <c r="F39" s="184">
        <v>27.0</v>
      </c>
      <c r="G39" s="195">
        <f t="shared" si="41"/>
        <v>-8</v>
      </c>
      <c r="H39" s="186">
        <v>8389.85</v>
      </c>
      <c r="I39" s="187">
        <v>6750.0</v>
      </c>
      <c r="J39" s="135">
        <f t="shared" si="42"/>
        <v>1639.85</v>
      </c>
      <c r="K39" s="188">
        <f t="shared" si="35"/>
        <v>0.7307692308</v>
      </c>
      <c r="L39" s="189">
        <v>0.7</v>
      </c>
      <c r="M39" s="196">
        <f t="shared" si="36"/>
        <v>-0.03076923077</v>
      </c>
      <c r="N39" s="191">
        <f t="shared" si="43"/>
        <v>441.5710526</v>
      </c>
      <c r="O39" s="197">
        <v>250.0</v>
      </c>
      <c r="P39" s="198">
        <f t="shared" si="38"/>
        <v>191.5710526</v>
      </c>
      <c r="R39" s="115" t="s">
        <v>12</v>
      </c>
    </row>
    <row r="40" hidden="1" outlineLevel="2">
      <c r="A40" s="182">
        <v>45994.0</v>
      </c>
      <c r="B40" s="183">
        <v>12.0</v>
      </c>
      <c r="C40" s="163">
        <v>60.0</v>
      </c>
      <c r="D40" s="185">
        <f t="shared" si="40"/>
        <v>-48</v>
      </c>
      <c r="E40" s="183">
        <v>14.0</v>
      </c>
      <c r="F40" s="184">
        <v>27.0</v>
      </c>
      <c r="G40" s="185">
        <f t="shared" si="41"/>
        <v>-13</v>
      </c>
      <c r="H40" s="186">
        <v>3934.29</v>
      </c>
      <c r="I40" s="187">
        <v>6750.0</v>
      </c>
      <c r="J40" s="137">
        <f t="shared" si="42"/>
        <v>-2815.71</v>
      </c>
      <c r="K40" s="188">
        <f t="shared" si="35"/>
        <v>1.166666667</v>
      </c>
      <c r="L40" s="189">
        <v>0.7</v>
      </c>
      <c r="M40" s="190">
        <f t="shared" si="36"/>
        <v>-0.4666666667</v>
      </c>
      <c r="N40" s="191">
        <f t="shared" si="43"/>
        <v>281.0207143</v>
      </c>
      <c r="O40" s="192">
        <v>250.0</v>
      </c>
      <c r="P40" s="193">
        <f t="shared" si="38"/>
        <v>31.02071429</v>
      </c>
      <c r="R40" s="113" t="s">
        <v>8</v>
      </c>
      <c r="S40" s="116">
        <v>135000.0</v>
      </c>
      <c r="T40" s="118">
        <f>S40-S43</f>
        <v>43467.3</v>
      </c>
    </row>
    <row r="41" hidden="1" outlineLevel="2">
      <c r="A41" s="194">
        <v>45995.0</v>
      </c>
      <c r="B41" s="183">
        <v>23.0</v>
      </c>
      <c r="C41" s="162">
        <v>60.0</v>
      </c>
      <c r="D41" s="195">
        <f t="shared" si="40"/>
        <v>-37</v>
      </c>
      <c r="E41" s="183">
        <v>22.0</v>
      </c>
      <c r="F41" s="184">
        <v>27.0</v>
      </c>
      <c r="G41" s="195">
        <f t="shared" si="41"/>
        <v>-5</v>
      </c>
      <c r="H41" s="186">
        <v>4045.78</v>
      </c>
      <c r="I41" s="187">
        <v>6750.0</v>
      </c>
      <c r="J41" s="135">
        <f t="shared" si="42"/>
        <v>-2704.22</v>
      </c>
      <c r="K41" s="188">
        <f t="shared" si="35"/>
        <v>0.9565217391</v>
      </c>
      <c r="L41" s="189">
        <v>0.7</v>
      </c>
      <c r="M41" s="196">
        <f t="shared" si="36"/>
        <v>-0.2565217391</v>
      </c>
      <c r="N41" s="191">
        <f t="shared" si="43"/>
        <v>183.8990909</v>
      </c>
      <c r="O41" s="197">
        <v>250.0</v>
      </c>
      <c r="P41" s="198">
        <f t="shared" si="38"/>
        <v>-66.10090909</v>
      </c>
      <c r="R41" s="113" t="s">
        <v>45</v>
      </c>
      <c r="S41" s="117">
        <f>S40/30</f>
        <v>4500</v>
      </c>
    </row>
    <row r="42" hidden="1" outlineLevel="2">
      <c r="A42" s="182">
        <v>45996.0</v>
      </c>
      <c r="B42" s="183">
        <v>24.0</v>
      </c>
      <c r="C42" s="163">
        <v>60.0</v>
      </c>
      <c r="D42" s="185">
        <f t="shared" si="40"/>
        <v>-36</v>
      </c>
      <c r="E42" s="183">
        <v>20.0</v>
      </c>
      <c r="F42" s="184">
        <v>27.0</v>
      </c>
      <c r="G42" s="185">
        <f t="shared" si="41"/>
        <v>-7</v>
      </c>
      <c r="H42" s="186">
        <v>7181.81</v>
      </c>
      <c r="I42" s="187">
        <v>6750.0</v>
      </c>
      <c r="J42" s="137">
        <f t="shared" si="42"/>
        <v>431.81</v>
      </c>
      <c r="K42" s="188">
        <f t="shared" si="35"/>
        <v>0.8333333333</v>
      </c>
      <c r="L42" s="189">
        <v>0.7</v>
      </c>
      <c r="M42" s="190">
        <f t="shared" si="36"/>
        <v>-0.1333333333</v>
      </c>
      <c r="N42" s="191">
        <f t="shared" si="43"/>
        <v>359.0905</v>
      </c>
      <c r="O42" s="192">
        <v>250.0</v>
      </c>
      <c r="P42" s="193">
        <f t="shared" si="38"/>
        <v>109.0905</v>
      </c>
      <c r="R42" s="113" t="s">
        <v>46</v>
      </c>
      <c r="S42" s="117">
        <f>S40/20</f>
        <v>6750</v>
      </c>
    </row>
    <row r="43" hidden="1" outlineLevel="2">
      <c r="A43" s="194">
        <v>45997.0</v>
      </c>
      <c r="B43" s="183">
        <v>22.0</v>
      </c>
      <c r="C43" s="162">
        <v>60.0</v>
      </c>
      <c r="D43" s="195">
        <f t="shared" si="40"/>
        <v>-38</v>
      </c>
      <c r="E43" s="183">
        <v>11.0</v>
      </c>
      <c r="F43" s="184">
        <v>27.0</v>
      </c>
      <c r="G43" s="195">
        <f t="shared" si="41"/>
        <v>-16</v>
      </c>
      <c r="H43" s="186">
        <v>2104.8</v>
      </c>
      <c r="I43" s="135">
        <v>0.0</v>
      </c>
      <c r="J43" s="135">
        <f t="shared" si="42"/>
        <v>2104.8</v>
      </c>
      <c r="K43" s="188">
        <f t="shared" si="35"/>
        <v>0.5</v>
      </c>
      <c r="L43" s="189">
        <v>0.7</v>
      </c>
      <c r="M43" s="196">
        <f t="shared" si="36"/>
        <v>0.2</v>
      </c>
      <c r="N43" s="191">
        <f t="shared" si="43"/>
        <v>191.3454545</v>
      </c>
      <c r="O43" s="197">
        <v>250.0</v>
      </c>
      <c r="P43" s="198">
        <f t="shared" si="38"/>
        <v>-58.65454545</v>
      </c>
      <c r="R43" s="113" t="s">
        <v>7</v>
      </c>
      <c r="S43" s="117">
        <f>H37</f>
        <v>91532.7</v>
      </c>
    </row>
    <row r="44" hidden="1" outlineLevel="2">
      <c r="A44" s="182">
        <v>45998.0</v>
      </c>
      <c r="B44" s="199"/>
      <c r="C44" s="268"/>
      <c r="D44" s="161"/>
      <c r="E44" s="199"/>
      <c r="F44" s="161"/>
      <c r="G44" s="161"/>
      <c r="H44" s="191"/>
      <c r="I44" s="200"/>
      <c r="J44" s="200"/>
      <c r="K44" s="201"/>
      <c r="L44" s="202"/>
      <c r="M44" s="202"/>
      <c r="N44" s="191"/>
      <c r="O44" s="204"/>
      <c r="P44" s="200"/>
      <c r="R44" s="113" t="s">
        <v>47</v>
      </c>
      <c r="S44" s="119">
        <f>S43/S40</f>
        <v>0.67802</v>
      </c>
    </row>
    <row r="45" hidden="1" outlineLevel="2">
      <c r="A45" s="194">
        <v>45999.0</v>
      </c>
      <c r="B45" s="183">
        <v>27.0</v>
      </c>
      <c r="C45" s="162">
        <v>60.0</v>
      </c>
      <c r="D45" s="195">
        <f t="shared" ref="D45:D50" si="44">B45-C45</f>
        <v>-33</v>
      </c>
      <c r="E45" s="183">
        <v>29.0</v>
      </c>
      <c r="F45" s="184">
        <v>27.0</v>
      </c>
      <c r="G45" s="195">
        <f t="shared" ref="G45:G50" si="45">E45-F45</f>
        <v>2</v>
      </c>
      <c r="H45" s="186">
        <v>6975.95</v>
      </c>
      <c r="I45" s="187">
        <v>6750.0</v>
      </c>
      <c r="J45" s="135">
        <f t="shared" ref="J45:J50" si="46">H45-I45</f>
        <v>225.95</v>
      </c>
      <c r="K45" s="188">
        <f t="shared" ref="K45:K50" si="47">E45/B45</f>
        <v>1.074074074</v>
      </c>
      <c r="L45" s="189">
        <v>0.7</v>
      </c>
      <c r="M45" s="196">
        <f t="shared" ref="M45:M50" si="48">L45-K45</f>
        <v>-0.3740740741</v>
      </c>
      <c r="N45" s="191">
        <f t="shared" ref="N45:N50" si="49">IFERROR(H45/E45,"")</f>
        <v>240.55</v>
      </c>
      <c r="O45" s="197">
        <v>250.0</v>
      </c>
      <c r="P45" s="198">
        <f t="shared" ref="P45:P50" si="50">N45-O45</f>
        <v>-9.45</v>
      </c>
      <c r="R45" s="113" t="s">
        <v>48</v>
      </c>
      <c r="S45" s="120">
        <v>4.0</v>
      </c>
    </row>
    <row r="46" hidden="1" outlineLevel="2">
      <c r="A46" s="182">
        <v>46000.0</v>
      </c>
      <c r="B46" s="183">
        <v>57.0</v>
      </c>
      <c r="C46" s="163">
        <v>60.0</v>
      </c>
      <c r="D46" s="185">
        <f t="shared" si="44"/>
        <v>-3</v>
      </c>
      <c r="E46" s="183">
        <v>26.0</v>
      </c>
      <c r="F46" s="184">
        <v>27.0</v>
      </c>
      <c r="G46" s="185">
        <f t="shared" si="45"/>
        <v>-1</v>
      </c>
      <c r="H46" s="186">
        <v>7762.95</v>
      </c>
      <c r="I46" s="187">
        <v>6750.0</v>
      </c>
      <c r="J46" s="137">
        <f t="shared" si="46"/>
        <v>1012.95</v>
      </c>
      <c r="K46" s="188">
        <f t="shared" si="47"/>
        <v>0.4561403509</v>
      </c>
      <c r="L46" s="189">
        <v>0.7</v>
      </c>
      <c r="M46" s="190">
        <f t="shared" si="48"/>
        <v>0.2438596491</v>
      </c>
      <c r="N46" s="191">
        <f t="shared" si="49"/>
        <v>298.575</v>
      </c>
      <c r="O46" s="192">
        <v>250.0</v>
      </c>
      <c r="P46" s="193">
        <f t="shared" si="50"/>
        <v>48.575</v>
      </c>
      <c r="R46" s="113" t="s">
        <v>49</v>
      </c>
      <c r="S46" s="121">
        <f>(S40-S43)/S45</f>
        <v>10866.825</v>
      </c>
    </row>
    <row r="47" hidden="1" outlineLevel="2">
      <c r="A47" s="194">
        <v>46001.0</v>
      </c>
      <c r="B47" s="183">
        <v>20.0</v>
      </c>
      <c r="C47" s="162">
        <v>60.0</v>
      </c>
      <c r="D47" s="195">
        <f t="shared" si="44"/>
        <v>-40</v>
      </c>
      <c r="E47" s="183">
        <v>25.0</v>
      </c>
      <c r="F47" s="184">
        <v>27.0</v>
      </c>
      <c r="G47" s="195">
        <f t="shared" si="45"/>
        <v>-2</v>
      </c>
      <c r="H47" s="186">
        <v>6544.03</v>
      </c>
      <c r="I47" s="187">
        <v>6750.0</v>
      </c>
      <c r="J47" s="135">
        <f t="shared" si="46"/>
        <v>-205.97</v>
      </c>
      <c r="K47" s="188">
        <f t="shared" si="47"/>
        <v>1.25</v>
      </c>
      <c r="L47" s="189">
        <v>0.7</v>
      </c>
      <c r="M47" s="196">
        <f t="shared" si="48"/>
        <v>-0.55</v>
      </c>
      <c r="N47" s="191">
        <f t="shared" si="49"/>
        <v>261.7612</v>
      </c>
      <c r="O47" s="197">
        <v>250.0</v>
      </c>
      <c r="P47" s="198">
        <f t="shared" si="50"/>
        <v>11.7612</v>
      </c>
      <c r="R47" s="113" t="s">
        <v>50</v>
      </c>
      <c r="S47" s="122">
        <f>N37</f>
        <v>257.1143258</v>
      </c>
    </row>
    <row r="48" hidden="1" outlineLevel="2">
      <c r="A48" s="182">
        <v>46002.0</v>
      </c>
      <c r="B48" s="183">
        <v>34.0</v>
      </c>
      <c r="C48" s="163">
        <v>60.0</v>
      </c>
      <c r="D48" s="185">
        <f t="shared" si="44"/>
        <v>-26</v>
      </c>
      <c r="E48" s="183">
        <v>18.0</v>
      </c>
      <c r="F48" s="184">
        <v>27.0</v>
      </c>
      <c r="G48" s="185">
        <f t="shared" si="45"/>
        <v>-9</v>
      </c>
      <c r="H48" s="186">
        <v>4558.79</v>
      </c>
      <c r="I48" s="187">
        <v>6750.0</v>
      </c>
      <c r="J48" s="137">
        <f t="shared" si="46"/>
        <v>-2191.21</v>
      </c>
      <c r="K48" s="188">
        <f t="shared" si="47"/>
        <v>0.5294117647</v>
      </c>
      <c r="L48" s="189">
        <v>0.7</v>
      </c>
      <c r="M48" s="190">
        <f t="shared" si="48"/>
        <v>0.1705882353</v>
      </c>
      <c r="N48" s="191">
        <f t="shared" si="49"/>
        <v>253.2661111</v>
      </c>
      <c r="O48" s="192">
        <v>250.0</v>
      </c>
      <c r="P48" s="193">
        <f t="shared" si="50"/>
        <v>3.266111111</v>
      </c>
      <c r="R48" s="113" t="s">
        <v>51</v>
      </c>
      <c r="S48" s="128">
        <f>B37</f>
        <v>424</v>
      </c>
    </row>
    <row r="49" hidden="1" outlineLevel="2">
      <c r="A49" s="194">
        <v>46003.0</v>
      </c>
      <c r="B49" s="183">
        <v>32.0</v>
      </c>
      <c r="C49" s="162">
        <v>60.0</v>
      </c>
      <c r="D49" s="195">
        <f t="shared" si="44"/>
        <v>-28</v>
      </c>
      <c r="E49" s="183">
        <v>18.0</v>
      </c>
      <c r="F49" s="184">
        <v>27.0</v>
      </c>
      <c r="G49" s="195">
        <f t="shared" si="45"/>
        <v>-9</v>
      </c>
      <c r="H49" s="186">
        <v>3595.48</v>
      </c>
      <c r="I49" s="187">
        <v>6750.0</v>
      </c>
      <c r="J49" s="135">
        <f t="shared" si="46"/>
        <v>-3154.52</v>
      </c>
      <c r="K49" s="188">
        <f t="shared" si="47"/>
        <v>0.5625</v>
      </c>
      <c r="L49" s="189">
        <v>0.7</v>
      </c>
      <c r="M49" s="196">
        <f t="shared" si="48"/>
        <v>0.1375</v>
      </c>
      <c r="N49" s="191">
        <f t="shared" si="49"/>
        <v>199.7488889</v>
      </c>
      <c r="O49" s="197">
        <v>250.0</v>
      </c>
      <c r="P49" s="198">
        <f t="shared" si="50"/>
        <v>-50.25111111</v>
      </c>
      <c r="R49" s="113" t="s">
        <v>52</v>
      </c>
      <c r="S49" s="128">
        <f>E37</f>
        <v>356</v>
      </c>
    </row>
    <row r="50" hidden="1" outlineLevel="2">
      <c r="A50" s="182">
        <v>46004.0</v>
      </c>
      <c r="B50" s="183">
        <v>9.0</v>
      </c>
      <c r="C50" s="163">
        <v>60.0</v>
      </c>
      <c r="D50" s="185">
        <f t="shared" si="44"/>
        <v>-51</v>
      </c>
      <c r="E50" s="183">
        <v>8.0</v>
      </c>
      <c r="F50" s="184">
        <v>27.0</v>
      </c>
      <c r="G50" s="185">
        <f t="shared" si="45"/>
        <v>-19</v>
      </c>
      <c r="H50" s="186">
        <v>1967.18</v>
      </c>
      <c r="I50" s="137">
        <v>0.0</v>
      </c>
      <c r="J50" s="137">
        <f t="shared" si="46"/>
        <v>1967.18</v>
      </c>
      <c r="K50" s="188">
        <f t="shared" si="47"/>
        <v>0.8888888889</v>
      </c>
      <c r="L50" s="189">
        <v>0.7</v>
      </c>
      <c r="M50" s="190">
        <f t="shared" si="48"/>
        <v>-0.1888888889</v>
      </c>
      <c r="N50" s="191">
        <f t="shared" si="49"/>
        <v>245.8975</v>
      </c>
      <c r="O50" s="192">
        <v>250.0</v>
      </c>
      <c r="P50" s="193">
        <f t="shared" si="50"/>
        <v>-4.1025</v>
      </c>
      <c r="R50" s="113" t="s">
        <v>4</v>
      </c>
      <c r="S50" s="119">
        <f>E37/B37</f>
        <v>0.8396226415</v>
      </c>
    </row>
    <row r="51" hidden="1" outlineLevel="2">
      <c r="A51" s="194">
        <v>46005.0</v>
      </c>
      <c r="B51" s="199"/>
      <c r="C51" s="269"/>
      <c r="D51" s="160"/>
      <c r="E51" s="199"/>
      <c r="F51" s="160"/>
      <c r="G51" s="160"/>
      <c r="H51" s="191"/>
      <c r="I51" s="208"/>
      <c r="J51" s="208"/>
      <c r="K51" s="201"/>
      <c r="L51" s="209"/>
      <c r="M51" s="209"/>
      <c r="N51" s="191"/>
      <c r="O51" s="211"/>
      <c r="P51" s="208"/>
    </row>
    <row r="52" hidden="1" outlineLevel="2">
      <c r="A52" s="182">
        <v>46006.0</v>
      </c>
      <c r="B52" s="183">
        <v>22.0</v>
      </c>
      <c r="C52" s="163">
        <v>60.0</v>
      </c>
      <c r="D52" s="185">
        <f t="shared" ref="D52:D57" si="51">B52-C52</f>
        <v>-38</v>
      </c>
      <c r="E52" s="183">
        <v>22.0</v>
      </c>
      <c r="F52" s="184">
        <v>27.0</v>
      </c>
      <c r="G52" s="185">
        <f t="shared" ref="G52:G57" si="52">E52-F52</f>
        <v>-5</v>
      </c>
      <c r="H52" s="186">
        <v>4383.39</v>
      </c>
      <c r="I52" s="187">
        <v>6750.0</v>
      </c>
      <c r="J52" s="137">
        <f t="shared" ref="J52:J57" si="53">H52-I52</f>
        <v>-2366.61</v>
      </c>
      <c r="K52" s="188">
        <f t="shared" ref="K52:K57" si="54">E52/B52</f>
        <v>1</v>
      </c>
      <c r="L52" s="189">
        <v>0.7</v>
      </c>
      <c r="M52" s="190">
        <f t="shared" ref="M52:M57" si="55">L52-K52</f>
        <v>-0.3</v>
      </c>
      <c r="N52" s="191">
        <f t="shared" ref="N52:N57" si="56">IFERROR(H52/E52,"")</f>
        <v>199.245</v>
      </c>
      <c r="O52" s="192">
        <v>250.0</v>
      </c>
      <c r="P52" s="193">
        <f t="shared" ref="P52:P57" si="57">N52-O52</f>
        <v>-50.755</v>
      </c>
    </row>
    <row r="53" hidden="1" outlineLevel="2">
      <c r="A53" s="194">
        <v>46007.0</v>
      </c>
      <c r="B53" s="183">
        <v>11.0</v>
      </c>
      <c r="C53" s="162">
        <v>60.0</v>
      </c>
      <c r="D53" s="195">
        <f t="shared" si="51"/>
        <v>-49</v>
      </c>
      <c r="E53" s="183">
        <v>22.0</v>
      </c>
      <c r="F53" s="184">
        <v>27.0</v>
      </c>
      <c r="G53" s="195">
        <f t="shared" si="52"/>
        <v>-5</v>
      </c>
      <c r="H53" s="186">
        <v>4695.32</v>
      </c>
      <c r="I53" s="187">
        <v>6750.0</v>
      </c>
      <c r="J53" s="135">
        <f t="shared" si="53"/>
        <v>-2054.68</v>
      </c>
      <c r="K53" s="188">
        <f t="shared" si="54"/>
        <v>2</v>
      </c>
      <c r="L53" s="189">
        <v>0.7</v>
      </c>
      <c r="M53" s="196">
        <f t="shared" si="55"/>
        <v>-1.3</v>
      </c>
      <c r="N53" s="191">
        <f t="shared" si="56"/>
        <v>213.4236364</v>
      </c>
      <c r="O53" s="197">
        <v>250.0</v>
      </c>
      <c r="P53" s="198">
        <f t="shared" si="57"/>
        <v>-36.57636364</v>
      </c>
      <c r="S53" s="94"/>
    </row>
    <row r="54" hidden="1" outlineLevel="2">
      <c r="A54" s="182">
        <v>46008.0</v>
      </c>
      <c r="B54" s="183">
        <v>10.0</v>
      </c>
      <c r="C54" s="163">
        <v>60.0</v>
      </c>
      <c r="D54" s="185">
        <f t="shared" si="51"/>
        <v>-50</v>
      </c>
      <c r="E54" s="183">
        <v>14.0</v>
      </c>
      <c r="F54" s="184">
        <v>27.0</v>
      </c>
      <c r="G54" s="185">
        <f t="shared" si="52"/>
        <v>-13</v>
      </c>
      <c r="H54" s="186">
        <v>3143.81</v>
      </c>
      <c r="I54" s="187">
        <v>6750.0</v>
      </c>
      <c r="J54" s="137">
        <f t="shared" si="53"/>
        <v>-3606.19</v>
      </c>
      <c r="K54" s="188">
        <f t="shared" si="54"/>
        <v>1.4</v>
      </c>
      <c r="L54" s="189">
        <v>0.7</v>
      </c>
      <c r="M54" s="190">
        <f t="shared" si="55"/>
        <v>-0.7</v>
      </c>
      <c r="N54" s="191">
        <f t="shared" si="56"/>
        <v>224.5578571</v>
      </c>
      <c r="O54" s="192">
        <v>250.0</v>
      </c>
      <c r="P54" s="193">
        <f t="shared" si="57"/>
        <v>-25.44214286</v>
      </c>
      <c r="S54" s="94"/>
    </row>
    <row r="55" hidden="1" outlineLevel="2">
      <c r="A55" s="194">
        <v>46009.0</v>
      </c>
      <c r="B55" s="183">
        <v>23.0</v>
      </c>
      <c r="C55" s="162">
        <v>60.0</v>
      </c>
      <c r="D55" s="195">
        <f t="shared" si="51"/>
        <v>-37</v>
      </c>
      <c r="E55" s="183">
        <v>20.0</v>
      </c>
      <c r="F55" s="184">
        <v>27.0</v>
      </c>
      <c r="G55" s="195">
        <f t="shared" si="52"/>
        <v>-7</v>
      </c>
      <c r="H55" s="186">
        <v>5014.49</v>
      </c>
      <c r="I55" s="187">
        <v>6750.0</v>
      </c>
      <c r="J55" s="135">
        <f t="shared" si="53"/>
        <v>-1735.51</v>
      </c>
      <c r="K55" s="188">
        <f t="shared" si="54"/>
        <v>0.8695652174</v>
      </c>
      <c r="L55" s="189">
        <v>0.7</v>
      </c>
      <c r="M55" s="196">
        <f t="shared" si="55"/>
        <v>-0.1695652174</v>
      </c>
      <c r="N55" s="191">
        <f t="shared" si="56"/>
        <v>250.7245</v>
      </c>
      <c r="O55" s="197">
        <v>250.0</v>
      </c>
      <c r="P55" s="198">
        <f t="shared" si="57"/>
        <v>0.7245</v>
      </c>
      <c r="S55" s="94"/>
    </row>
    <row r="56" hidden="1" outlineLevel="2">
      <c r="A56" s="182">
        <v>46010.0</v>
      </c>
      <c r="B56" s="183">
        <v>19.0</v>
      </c>
      <c r="C56" s="163">
        <v>60.0</v>
      </c>
      <c r="D56" s="185">
        <f t="shared" si="51"/>
        <v>-41</v>
      </c>
      <c r="E56" s="183">
        <v>17.0</v>
      </c>
      <c r="F56" s="184">
        <v>27.0</v>
      </c>
      <c r="G56" s="185">
        <f t="shared" si="52"/>
        <v>-10</v>
      </c>
      <c r="H56" s="186">
        <v>4113.3</v>
      </c>
      <c r="I56" s="187">
        <v>6750.0</v>
      </c>
      <c r="J56" s="137">
        <f t="shared" si="53"/>
        <v>-2636.7</v>
      </c>
      <c r="K56" s="188">
        <f t="shared" si="54"/>
        <v>0.8947368421</v>
      </c>
      <c r="L56" s="189">
        <v>0.7</v>
      </c>
      <c r="M56" s="190">
        <f t="shared" si="55"/>
        <v>-0.1947368421</v>
      </c>
      <c r="N56" s="191">
        <f t="shared" si="56"/>
        <v>241.9588235</v>
      </c>
      <c r="O56" s="192">
        <v>250.0</v>
      </c>
      <c r="P56" s="193">
        <f t="shared" si="57"/>
        <v>-8.041176471</v>
      </c>
      <c r="S56" s="94"/>
    </row>
    <row r="57" hidden="1" outlineLevel="2">
      <c r="A57" s="194">
        <v>46011.0</v>
      </c>
      <c r="B57" s="183">
        <v>5.0</v>
      </c>
      <c r="C57" s="162">
        <v>60.0</v>
      </c>
      <c r="D57" s="195">
        <f t="shared" si="51"/>
        <v>-55</v>
      </c>
      <c r="E57" s="183">
        <v>11.0</v>
      </c>
      <c r="F57" s="184">
        <v>27.0</v>
      </c>
      <c r="G57" s="195">
        <f t="shared" si="52"/>
        <v>-16</v>
      </c>
      <c r="H57" s="186">
        <v>2873.04</v>
      </c>
      <c r="I57" s="135">
        <v>0.0</v>
      </c>
      <c r="J57" s="135">
        <f t="shared" si="53"/>
        <v>2873.04</v>
      </c>
      <c r="K57" s="188">
        <f t="shared" si="54"/>
        <v>2.2</v>
      </c>
      <c r="L57" s="189">
        <v>0.7</v>
      </c>
      <c r="M57" s="196">
        <f t="shared" si="55"/>
        <v>-1.5</v>
      </c>
      <c r="N57" s="191">
        <f t="shared" si="56"/>
        <v>261.1854545</v>
      </c>
      <c r="O57" s="197">
        <v>250.0</v>
      </c>
      <c r="P57" s="198">
        <f t="shared" si="57"/>
        <v>11.18545455</v>
      </c>
      <c r="S57" s="94"/>
    </row>
    <row r="58" hidden="1" outlineLevel="2">
      <c r="A58" s="182">
        <v>46012.0</v>
      </c>
      <c r="B58" s="199"/>
      <c r="C58" s="268"/>
      <c r="D58" s="161"/>
      <c r="E58" s="199"/>
      <c r="F58" s="161"/>
      <c r="G58" s="161"/>
      <c r="H58" s="191"/>
      <c r="I58" s="200"/>
      <c r="J58" s="200"/>
      <c r="K58" s="201"/>
      <c r="L58" s="202"/>
      <c r="M58" s="202"/>
      <c r="N58" s="191"/>
      <c r="O58" s="204"/>
      <c r="P58" s="200"/>
      <c r="S58" s="94"/>
    </row>
    <row r="59" hidden="1" outlineLevel="2">
      <c r="A59" s="194">
        <v>46013.0</v>
      </c>
      <c r="B59" s="183">
        <v>21.0</v>
      </c>
      <c r="C59" s="162">
        <v>60.0</v>
      </c>
      <c r="D59" s="195">
        <f t="shared" ref="D59:D64" si="58">B59-C59</f>
        <v>-39</v>
      </c>
      <c r="E59" s="183">
        <v>23.0</v>
      </c>
      <c r="F59" s="212">
        <v>257.0</v>
      </c>
      <c r="G59" s="195">
        <f t="shared" ref="G59:G64" si="59">E59-F59</f>
        <v>-234</v>
      </c>
      <c r="H59" s="186">
        <v>5280.09</v>
      </c>
      <c r="I59" s="213">
        <v>6750.0</v>
      </c>
      <c r="J59" s="135">
        <f t="shared" ref="J59:J64" si="60">H59-I59</f>
        <v>-1469.91</v>
      </c>
      <c r="K59" s="188">
        <f t="shared" ref="K59:K64" si="61">E59/B59</f>
        <v>1.095238095</v>
      </c>
      <c r="L59" s="270">
        <v>0.7</v>
      </c>
      <c r="M59" s="196">
        <f t="shared" ref="M59:M64" si="62">L59-K59</f>
        <v>-0.3952380952</v>
      </c>
      <c r="N59" s="191">
        <f t="shared" ref="N59:N64" si="63">IFERROR(H59/E59,"")</f>
        <v>229.5691304</v>
      </c>
      <c r="O59" s="197">
        <v>250.0</v>
      </c>
      <c r="P59" s="198">
        <f t="shared" ref="P59:P64" si="64">N59-O59</f>
        <v>-20.43086957</v>
      </c>
      <c r="S59" s="94"/>
    </row>
    <row r="60" hidden="1" outlineLevel="2">
      <c r="A60" s="182">
        <v>46014.0</v>
      </c>
      <c r="B60" s="205">
        <v>0.0</v>
      </c>
      <c r="C60" s="163">
        <v>60.0</v>
      </c>
      <c r="D60" s="185">
        <f t="shared" si="58"/>
        <v>-60</v>
      </c>
      <c r="E60" s="205">
        <v>0.0</v>
      </c>
      <c r="F60" s="184">
        <v>27.0</v>
      </c>
      <c r="G60" s="185">
        <f t="shared" si="59"/>
        <v>-27</v>
      </c>
      <c r="H60" s="214">
        <v>0.0</v>
      </c>
      <c r="I60" s="187">
        <v>6750.0</v>
      </c>
      <c r="J60" s="137">
        <f t="shared" si="60"/>
        <v>-6750</v>
      </c>
      <c r="K60" s="188" t="str">
        <f t="shared" si="61"/>
        <v>#DIV/0!</v>
      </c>
      <c r="L60" s="189">
        <v>0.7</v>
      </c>
      <c r="M60" s="190" t="str">
        <f t="shared" si="62"/>
        <v>#DIV/0!</v>
      </c>
      <c r="N60" s="191" t="str">
        <f t="shared" si="63"/>
        <v/>
      </c>
      <c r="O60" s="192">
        <v>250.0</v>
      </c>
      <c r="P60" s="193">
        <f t="shared" si="64"/>
        <v>-250</v>
      </c>
      <c r="S60" s="94"/>
    </row>
    <row r="61" hidden="1" outlineLevel="2">
      <c r="A61" s="215">
        <v>46015.0</v>
      </c>
      <c r="B61" s="216">
        <v>0.0</v>
      </c>
      <c r="C61" s="271">
        <v>0.0</v>
      </c>
      <c r="D61" s="218">
        <f t="shared" si="58"/>
        <v>0</v>
      </c>
      <c r="E61" s="216">
        <v>0.0</v>
      </c>
      <c r="F61" s="217">
        <v>0.0</v>
      </c>
      <c r="G61" s="218">
        <f t="shared" si="59"/>
        <v>0</v>
      </c>
      <c r="H61" s="219">
        <v>0.0</v>
      </c>
      <c r="I61" s="219">
        <v>0.0</v>
      </c>
      <c r="J61" s="219">
        <f t="shared" si="60"/>
        <v>0</v>
      </c>
      <c r="K61" s="220" t="str">
        <f t="shared" si="61"/>
        <v>#DIV/0!</v>
      </c>
      <c r="L61" s="221">
        <v>0.7</v>
      </c>
      <c r="M61" s="272" t="str">
        <f t="shared" si="62"/>
        <v>#DIV/0!</v>
      </c>
      <c r="N61" s="223" t="str">
        <f t="shared" si="63"/>
        <v/>
      </c>
      <c r="O61" s="224">
        <v>250.0</v>
      </c>
      <c r="P61" s="225">
        <f t="shared" si="64"/>
        <v>-250</v>
      </c>
      <c r="Q61" s="226"/>
      <c r="R61" s="226"/>
      <c r="S61" s="227"/>
      <c r="T61" s="226"/>
      <c r="U61" s="226"/>
      <c r="V61" s="226"/>
      <c r="W61" s="226"/>
      <c r="X61" s="226"/>
      <c r="Y61" s="226"/>
      <c r="Z61" s="226"/>
      <c r="AA61" s="226"/>
      <c r="AB61" s="226"/>
    </row>
    <row r="62" hidden="1" outlineLevel="2">
      <c r="A62" s="254">
        <v>46016.0</v>
      </c>
      <c r="B62" s="255">
        <v>0.0</v>
      </c>
      <c r="C62" s="229">
        <v>0.0</v>
      </c>
      <c r="D62" s="257">
        <f t="shared" si="58"/>
        <v>0</v>
      </c>
      <c r="E62" s="255">
        <v>0.0</v>
      </c>
      <c r="F62" s="256">
        <v>0.0</v>
      </c>
      <c r="G62" s="257">
        <f t="shared" si="59"/>
        <v>0</v>
      </c>
      <c r="H62" s="258">
        <v>0.0</v>
      </c>
      <c r="I62" s="258">
        <v>0.0</v>
      </c>
      <c r="J62" s="258">
        <f t="shared" si="60"/>
        <v>0</v>
      </c>
      <c r="K62" s="259" t="str">
        <f t="shared" si="61"/>
        <v>#DIV/0!</v>
      </c>
      <c r="L62" s="273">
        <v>0.7</v>
      </c>
      <c r="M62" s="260" t="str">
        <f t="shared" si="62"/>
        <v>#DIV/0!</v>
      </c>
      <c r="N62" s="262" t="str">
        <f t="shared" si="63"/>
        <v/>
      </c>
      <c r="O62" s="263">
        <v>250.0</v>
      </c>
      <c r="P62" s="264">
        <f t="shared" si="64"/>
        <v>-250</v>
      </c>
      <c r="Q62" s="265"/>
      <c r="R62" s="265"/>
      <c r="S62" s="266"/>
      <c r="T62" s="265"/>
      <c r="U62" s="265"/>
      <c r="V62" s="265"/>
      <c r="W62" s="265"/>
      <c r="X62" s="265"/>
      <c r="Y62" s="265"/>
      <c r="Z62" s="265"/>
      <c r="AA62" s="265"/>
      <c r="AB62" s="265"/>
    </row>
    <row r="63" hidden="1" outlineLevel="2">
      <c r="A63" s="194">
        <v>46017.0</v>
      </c>
      <c r="B63" s="205">
        <v>0.0</v>
      </c>
      <c r="C63" s="162">
        <v>60.0</v>
      </c>
      <c r="D63" s="195">
        <f t="shared" si="58"/>
        <v>-60</v>
      </c>
      <c r="E63" s="205">
        <v>0.0</v>
      </c>
      <c r="F63" s="212">
        <v>27.0</v>
      </c>
      <c r="G63" s="195">
        <f t="shared" si="59"/>
        <v>-27</v>
      </c>
      <c r="H63" s="214">
        <v>0.0</v>
      </c>
      <c r="I63" s="213">
        <v>6750.0</v>
      </c>
      <c r="J63" s="135">
        <f t="shared" si="60"/>
        <v>-6750</v>
      </c>
      <c r="K63" s="188" t="str">
        <f t="shared" si="61"/>
        <v>#DIV/0!</v>
      </c>
      <c r="L63" s="270">
        <v>0.7</v>
      </c>
      <c r="M63" s="196" t="str">
        <f t="shared" si="62"/>
        <v>#DIV/0!</v>
      </c>
      <c r="N63" s="191" t="str">
        <f t="shared" si="63"/>
        <v/>
      </c>
      <c r="O63" s="197">
        <v>250.0</v>
      </c>
      <c r="P63" s="198">
        <f t="shared" si="64"/>
        <v>-250</v>
      </c>
      <c r="S63" s="94"/>
    </row>
    <row r="64" hidden="1" outlineLevel="2">
      <c r="A64" s="182">
        <v>46018.0</v>
      </c>
      <c r="B64" s="205">
        <v>0.0</v>
      </c>
      <c r="C64" s="163">
        <v>60.0</v>
      </c>
      <c r="D64" s="185">
        <f t="shared" si="58"/>
        <v>-60</v>
      </c>
      <c r="E64" s="205">
        <v>0.0</v>
      </c>
      <c r="F64" s="184">
        <v>27.0</v>
      </c>
      <c r="G64" s="185">
        <f t="shared" si="59"/>
        <v>-27</v>
      </c>
      <c r="H64" s="214">
        <v>0.0</v>
      </c>
      <c r="I64" s="187">
        <v>6750.0</v>
      </c>
      <c r="J64" s="137">
        <f t="shared" si="60"/>
        <v>-6750</v>
      </c>
      <c r="K64" s="188" t="str">
        <f t="shared" si="61"/>
        <v>#DIV/0!</v>
      </c>
      <c r="L64" s="189">
        <v>0.7</v>
      </c>
      <c r="M64" s="190" t="str">
        <f t="shared" si="62"/>
        <v>#DIV/0!</v>
      </c>
      <c r="N64" s="191" t="str">
        <f t="shared" si="63"/>
        <v/>
      </c>
      <c r="O64" s="192">
        <v>250.0</v>
      </c>
      <c r="P64" s="193">
        <f t="shared" si="64"/>
        <v>-250</v>
      </c>
      <c r="S64" s="94"/>
    </row>
    <row r="65" hidden="1" outlineLevel="2">
      <c r="A65" s="194">
        <v>46019.0</v>
      </c>
      <c r="B65" s="199"/>
      <c r="C65" s="269"/>
      <c r="D65" s="160"/>
      <c r="E65" s="199"/>
      <c r="F65" s="160"/>
      <c r="G65" s="160"/>
      <c r="H65" s="191"/>
      <c r="I65" s="208"/>
      <c r="J65" s="208"/>
      <c r="K65" s="201"/>
      <c r="L65" s="209"/>
      <c r="M65" s="209"/>
      <c r="N65" s="191"/>
      <c r="O65" s="211"/>
      <c r="P65" s="208"/>
      <c r="S65" s="94"/>
    </row>
    <row r="66" hidden="1" outlineLevel="2">
      <c r="A66" s="182">
        <v>46020.0</v>
      </c>
      <c r="B66" s="205">
        <v>0.0</v>
      </c>
      <c r="C66" s="163">
        <v>60.0</v>
      </c>
      <c r="D66" s="185">
        <f t="shared" ref="D66:D68" si="65">B66-C66</f>
        <v>-60</v>
      </c>
      <c r="E66" s="205">
        <v>0.0</v>
      </c>
      <c r="F66" s="184">
        <v>27.0</v>
      </c>
      <c r="G66" s="185">
        <f t="shared" ref="G66:G68" si="66">E66-F66</f>
        <v>-27</v>
      </c>
      <c r="H66" s="214">
        <v>0.0</v>
      </c>
      <c r="I66" s="187">
        <v>6750.0</v>
      </c>
      <c r="J66" s="137">
        <f t="shared" ref="J66:J68" si="67">H66-I66</f>
        <v>-6750</v>
      </c>
      <c r="K66" s="188" t="str">
        <f t="shared" ref="K66:K75" si="68">E66/B66</f>
        <v>#DIV/0!</v>
      </c>
      <c r="L66" s="189">
        <v>0.7</v>
      </c>
      <c r="M66" s="190" t="str">
        <f t="shared" ref="M66:M75" si="69">L66-K66</f>
        <v>#DIV/0!</v>
      </c>
      <c r="N66" s="191" t="str">
        <f t="shared" ref="N66:N75" si="70">IFERROR(H66/E66,"")</f>
        <v/>
      </c>
      <c r="O66" s="192">
        <v>250.0</v>
      </c>
      <c r="P66" s="193">
        <f t="shared" ref="P66:P75" si="71">N66-O66</f>
        <v>-250</v>
      </c>
      <c r="S66" s="94"/>
    </row>
    <row r="67" hidden="1" outlineLevel="2">
      <c r="A67" s="215">
        <v>46021.0</v>
      </c>
      <c r="B67" s="216">
        <v>0.0</v>
      </c>
      <c r="C67" s="271">
        <v>0.0</v>
      </c>
      <c r="D67" s="218">
        <f t="shared" si="65"/>
        <v>0</v>
      </c>
      <c r="E67" s="216">
        <v>0.0</v>
      </c>
      <c r="F67" s="217">
        <v>0.0</v>
      </c>
      <c r="G67" s="218">
        <f t="shared" si="66"/>
        <v>0</v>
      </c>
      <c r="H67" s="219">
        <v>0.0</v>
      </c>
      <c r="I67" s="219">
        <v>0.0</v>
      </c>
      <c r="J67" s="219">
        <f t="shared" si="67"/>
        <v>0</v>
      </c>
      <c r="K67" s="220" t="str">
        <f t="shared" si="68"/>
        <v>#DIV/0!</v>
      </c>
      <c r="L67" s="221">
        <v>0.7</v>
      </c>
      <c r="M67" s="272" t="str">
        <f t="shared" si="69"/>
        <v>#DIV/0!</v>
      </c>
      <c r="N67" s="223" t="str">
        <f t="shared" si="70"/>
        <v/>
      </c>
      <c r="O67" s="224">
        <v>250.0</v>
      </c>
      <c r="P67" s="225">
        <f t="shared" si="71"/>
        <v>-250</v>
      </c>
      <c r="Q67" s="226"/>
      <c r="R67" s="226"/>
      <c r="S67" s="227"/>
      <c r="T67" s="226"/>
      <c r="U67" s="226"/>
      <c r="V67" s="226"/>
      <c r="W67" s="226"/>
      <c r="X67" s="226"/>
      <c r="Y67" s="226"/>
      <c r="Z67" s="226"/>
      <c r="AA67" s="226"/>
      <c r="AB67" s="226"/>
    </row>
    <row r="68" hidden="1" outlineLevel="2">
      <c r="A68" s="254">
        <v>46022.0</v>
      </c>
      <c r="B68" s="255">
        <v>0.0</v>
      </c>
      <c r="C68" s="229">
        <v>0.0</v>
      </c>
      <c r="D68" s="257">
        <f t="shared" si="65"/>
        <v>0</v>
      </c>
      <c r="E68" s="255">
        <v>0.0</v>
      </c>
      <c r="F68" s="256">
        <v>0.0</v>
      </c>
      <c r="G68" s="257">
        <f t="shared" si="66"/>
        <v>0</v>
      </c>
      <c r="H68" s="258">
        <v>0.0</v>
      </c>
      <c r="I68" s="258">
        <v>0.0</v>
      </c>
      <c r="J68" s="258">
        <f t="shared" si="67"/>
        <v>0</v>
      </c>
      <c r="K68" s="259" t="str">
        <f t="shared" si="68"/>
        <v>#DIV/0!</v>
      </c>
      <c r="L68" s="273">
        <v>0.7</v>
      </c>
      <c r="M68" s="260" t="str">
        <f t="shared" si="69"/>
        <v>#DIV/0!</v>
      </c>
      <c r="N68" s="262" t="str">
        <f t="shared" si="70"/>
        <v/>
      </c>
      <c r="O68" s="263">
        <v>250.0</v>
      </c>
      <c r="P68" s="264">
        <f t="shared" si="71"/>
        <v>-250</v>
      </c>
      <c r="Q68" s="265"/>
      <c r="R68" s="265"/>
      <c r="S68" s="266"/>
      <c r="T68" s="265"/>
      <c r="U68" s="265"/>
      <c r="V68" s="265"/>
      <c r="W68" s="265"/>
      <c r="X68" s="265"/>
      <c r="Y68" s="265"/>
      <c r="Z68" s="265"/>
      <c r="AA68" s="265"/>
      <c r="AB68" s="265"/>
    </row>
    <row r="69" outlineLevel="1" collapsed="1">
      <c r="A69" s="100" t="s">
        <v>63</v>
      </c>
      <c r="B69" s="100">
        <f t="shared" ref="B69:E69" si="72">SUM(B70:B99)</f>
        <v>94</v>
      </c>
      <c r="C69" s="100">
        <f t="shared" si="72"/>
        <v>418</v>
      </c>
      <c r="D69" s="100">
        <f t="shared" si="72"/>
        <v>-324</v>
      </c>
      <c r="E69" s="100">
        <f t="shared" si="72"/>
        <v>85</v>
      </c>
      <c r="F69" s="100">
        <f>SUM(F70:F100)</f>
        <v>207</v>
      </c>
      <c r="G69" s="100"/>
      <c r="H69" s="102">
        <f t="shared" ref="H69:J69" si="73">SUM(H70:H99)</f>
        <v>12418.78</v>
      </c>
      <c r="I69" s="102">
        <f t="shared" si="73"/>
        <v>50000</v>
      </c>
      <c r="J69" s="102">
        <f t="shared" si="73"/>
        <v>-37581.22</v>
      </c>
      <c r="K69" s="181">
        <f t="shared" si="68"/>
        <v>0.9042553191</v>
      </c>
      <c r="L69" s="103">
        <v>0.5</v>
      </c>
      <c r="M69" s="103">
        <f t="shared" si="69"/>
        <v>-0.4042553191</v>
      </c>
      <c r="N69" s="102">
        <f t="shared" si="70"/>
        <v>146.1032941</v>
      </c>
      <c r="O69" s="104">
        <v>250.0</v>
      </c>
      <c r="P69" s="102">
        <f t="shared" si="71"/>
        <v>-103.8967059</v>
      </c>
      <c r="Q69" s="90"/>
      <c r="R69" s="90"/>
      <c r="S69" s="91"/>
      <c r="T69" s="90"/>
      <c r="U69" s="90"/>
      <c r="V69" s="90"/>
      <c r="W69" s="90"/>
      <c r="X69" s="90"/>
      <c r="Y69" s="90"/>
      <c r="Z69" s="90"/>
      <c r="AA69" s="90"/>
      <c r="AB69" s="90"/>
    </row>
    <row r="70" hidden="1" outlineLevel="2">
      <c r="A70" s="182">
        <v>45992.0</v>
      </c>
      <c r="B70" s="183">
        <v>2.0</v>
      </c>
      <c r="C70" s="184">
        <v>15.0</v>
      </c>
      <c r="D70" s="185">
        <f t="shared" ref="D70:D75" si="74">B70-C70</f>
        <v>-13</v>
      </c>
      <c r="E70" s="183">
        <v>1.0</v>
      </c>
      <c r="F70" s="159">
        <v>9.0</v>
      </c>
      <c r="G70" s="185">
        <f t="shared" ref="G70:G75" si="75">E70-F70</f>
        <v>-8</v>
      </c>
      <c r="H70" s="186">
        <v>37.5</v>
      </c>
      <c r="I70" s="187">
        <v>2500.0</v>
      </c>
      <c r="J70" s="137">
        <f t="shared" ref="J70:J75" si="76">H70-I70</f>
        <v>-2462.5</v>
      </c>
      <c r="K70" s="188">
        <f t="shared" si="68"/>
        <v>0.5</v>
      </c>
      <c r="L70" s="189">
        <v>0.5</v>
      </c>
      <c r="M70" s="190">
        <f t="shared" si="69"/>
        <v>0</v>
      </c>
      <c r="N70" s="191">
        <f t="shared" si="70"/>
        <v>37.5</v>
      </c>
      <c r="O70" s="192">
        <v>250.0</v>
      </c>
      <c r="P70" s="193">
        <f t="shared" si="71"/>
        <v>-212.5</v>
      </c>
      <c r="R70" s="115" t="s">
        <v>15</v>
      </c>
    </row>
    <row r="71" hidden="1" outlineLevel="2">
      <c r="A71" s="194">
        <v>45993.0</v>
      </c>
      <c r="B71" s="183">
        <v>2.0</v>
      </c>
      <c r="C71" s="184">
        <v>15.0</v>
      </c>
      <c r="D71" s="195">
        <f t="shared" si="74"/>
        <v>-13</v>
      </c>
      <c r="E71" s="183">
        <v>2.0</v>
      </c>
      <c r="F71" s="158">
        <v>9.0</v>
      </c>
      <c r="G71" s="195">
        <f t="shared" si="75"/>
        <v>-7</v>
      </c>
      <c r="H71" s="186">
        <v>292.4</v>
      </c>
      <c r="I71" s="213">
        <v>2500.0</v>
      </c>
      <c r="J71" s="135">
        <f t="shared" si="76"/>
        <v>-2207.6</v>
      </c>
      <c r="K71" s="188">
        <f t="shared" si="68"/>
        <v>1</v>
      </c>
      <c r="L71" s="189">
        <v>0.5</v>
      </c>
      <c r="M71" s="196">
        <f t="shared" si="69"/>
        <v>-0.5</v>
      </c>
      <c r="N71" s="191">
        <f t="shared" si="70"/>
        <v>146.2</v>
      </c>
      <c r="O71" s="197">
        <v>250.0</v>
      </c>
      <c r="P71" s="198">
        <f t="shared" si="71"/>
        <v>-103.8</v>
      </c>
      <c r="R71" s="113" t="s">
        <v>8</v>
      </c>
      <c r="S71" s="116">
        <v>50000.0</v>
      </c>
      <c r="T71" s="118">
        <f>S71-S74</f>
        <v>37581.22</v>
      </c>
    </row>
    <row r="72" hidden="1" outlineLevel="2">
      <c r="A72" s="182">
        <v>45994.0</v>
      </c>
      <c r="B72" s="183">
        <v>1.0</v>
      </c>
      <c r="C72" s="184">
        <v>15.0</v>
      </c>
      <c r="D72" s="185">
        <f t="shared" si="74"/>
        <v>-14</v>
      </c>
      <c r="E72" s="183">
        <v>1.0</v>
      </c>
      <c r="F72" s="159">
        <v>9.0</v>
      </c>
      <c r="G72" s="185">
        <f t="shared" si="75"/>
        <v>-8</v>
      </c>
      <c r="H72" s="186">
        <v>134.39</v>
      </c>
      <c r="I72" s="213">
        <v>2500.0</v>
      </c>
      <c r="J72" s="137">
        <f t="shared" si="76"/>
        <v>-2365.61</v>
      </c>
      <c r="K72" s="188">
        <f t="shared" si="68"/>
        <v>1</v>
      </c>
      <c r="L72" s="189">
        <v>0.5</v>
      </c>
      <c r="M72" s="190">
        <f t="shared" si="69"/>
        <v>-0.5</v>
      </c>
      <c r="N72" s="191">
        <f t="shared" si="70"/>
        <v>134.39</v>
      </c>
      <c r="O72" s="192">
        <v>250.0</v>
      </c>
      <c r="P72" s="193">
        <f t="shared" si="71"/>
        <v>-115.61</v>
      </c>
      <c r="R72" s="113" t="s">
        <v>45</v>
      </c>
      <c r="S72" s="117">
        <f>S71/30</f>
        <v>1666.666667</v>
      </c>
    </row>
    <row r="73" hidden="1" outlineLevel="2">
      <c r="A73" s="194">
        <v>45995.0</v>
      </c>
      <c r="B73" s="183">
        <v>4.0</v>
      </c>
      <c r="C73" s="184">
        <v>15.0</v>
      </c>
      <c r="D73" s="195">
        <f t="shared" si="74"/>
        <v>-11</v>
      </c>
      <c r="E73" s="183">
        <v>3.0</v>
      </c>
      <c r="F73" s="158">
        <v>9.0</v>
      </c>
      <c r="G73" s="195">
        <f t="shared" si="75"/>
        <v>-6</v>
      </c>
      <c r="H73" s="186">
        <v>713.56</v>
      </c>
      <c r="I73" s="213">
        <v>2500.0</v>
      </c>
      <c r="J73" s="135">
        <f t="shared" si="76"/>
        <v>-1786.44</v>
      </c>
      <c r="K73" s="188">
        <f t="shared" si="68"/>
        <v>0.75</v>
      </c>
      <c r="L73" s="189">
        <v>0.5</v>
      </c>
      <c r="M73" s="196">
        <f t="shared" si="69"/>
        <v>-0.25</v>
      </c>
      <c r="N73" s="191">
        <f t="shared" si="70"/>
        <v>237.8533333</v>
      </c>
      <c r="O73" s="197">
        <v>250.0</v>
      </c>
      <c r="P73" s="198">
        <f t="shared" si="71"/>
        <v>-12.14666667</v>
      </c>
      <c r="R73" s="113" t="s">
        <v>46</v>
      </c>
      <c r="S73" s="117">
        <f>S71/20</f>
        <v>2500</v>
      </c>
    </row>
    <row r="74" hidden="1" outlineLevel="2">
      <c r="A74" s="182">
        <v>45996.0</v>
      </c>
      <c r="B74" s="183">
        <v>9.0</v>
      </c>
      <c r="C74" s="184">
        <v>15.0</v>
      </c>
      <c r="D74" s="185">
        <f t="shared" si="74"/>
        <v>-6</v>
      </c>
      <c r="E74" s="183">
        <v>6.0</v>
      </c>
      <c r="F74" s="159">
        <v>9.0</v>
      </c>
      <c r="G74" s="185">
        <f t="shared" si="75"/>
        <v>-3</v>
      </c>
      <c r="H74" s="186">
        <v>816.61</v>
      </c>
      <c r="I74" s="213">
        <v>2500.0</v>
      </c>
      <c r="J74" s="137">
        <f t="shared" si="76"/>
        <v>-1683.39</v>
      </c>
      <c r="K74" s="188">
        <f t="shared" si="68"/>
        <v>0.6666666667</v>
      </c>
      <c r="L74" s="189">
        <v>0.5</v>
      </c>
      <c r="M74" s="190">
        <f t="shared" si="69"/>
        <v>-0.1666666667</v>
      </c>
      <c r="N74" s="191">
        <f t="shared" si="70"/>
        <v>136.1016667</v>
      </c>
      <c r="O74" s="192">
        <v>250.0</v>
      </c>
      <c r="P74" s="193">
        <f t="shared" si="71"/>
        <v>-113.8983333</v>
      </c>
      <c r="R74" s="113" t="s">
        <v>7</v>
      </c>
      <c r="S74" s="117">
        <f>H69</f>
        <v>12418.78</v>
      </c>
    </row>
    <row r="75" hidden="1" outlineLevel="2">
      <c r="A75" s="194">
        <v>45997.0</v>
      </c>
      <c r="B75" s="183">
        <v>5.0</v>
      </c>
      <c r="C75" s="184">
        <v>15.0</v>
      </c>
      <c r="D75" s="195">
        <f t="shared" si="74"/>
        <v>-10</v>
      </c>
      <c r="E75" s="183">
        <v>5.0</v>
      </c>
      <c r="F75" s="158">
        <v>9.0</v>
      </c>
      <c r="G75" s="195">
        <f t="shared" si="75"/>
        <v>-4</v>
      </c>
      <c r="H75" s="186">
        <v>636.55</v>
      </c>
      <c r="I75" s="135">
        <v>0.0</v>
      </c>
      <c r="J75" s="135">
        <f t="shared" si="76"/>
        <v>636.55</v>
      </c>
      <c r="K75" s="188">
        <f t="shared" si="68"/>
        <v>1</v>
      </c>
      <c r="L75" s="189">
        <v>0.5</v>
      </c>
      <c r="M75" s="196">
        <f t="shared" si="69"/>
        <v>-0.5</v>
      </c>
      <c r="N75" s="191">
        <f t="shared" si="70"/>
        <v>127.31</v>
      </c>
      <c r="O75" s="197">
        <v>250.0</v>
      </c>
      <c r="P75" s="198">
        <f t="shared" si="71"/>
        <v>-122.69</v>
      </c>
      <c r="R75" s="113" t="s">
        <v>47</v>
      </c>
      <c r="S75" s="119">
        <f>S74/S71</f>
        <v>0.2483756</v>
      </c>
    </row>
    <row r="76" hidden="1" outlineLevel="2">
      <c r="A76" s="182">
        <v>45998.0</v>
      </c>
      <c r="B76" s="199"/>
      <c r="C76" s="161"/>
      <c r="D76" s="161"/>
      <c r="E76" s="199"/>
      <c r="F76" s="161"/>
      <c r="G76" s="161"/>
      <c r="H76" s="191"/>
      <c r="I76" s="200"/>
      <c r="J76" s="200"/>
      <c r="K76" s="201"/>
      <c r="L76" s="202"/>
      <c r="M76" s="203"/>
      <c r="N76" s="191"/>
      <c r="O76" s="204"/>
      <c r="P76" s="203"/>
      <c r="R76" s="113" t="s">
        <v>48</v>
      </c>
      <c r="S76" s="120">
        <v>4.0</v>
      </c>
    </row>
    <row r="77" hidden="1" outlineLevel="2">
      <c r="A77" s="194">
        <v>45999.0</v>
      </c>
      <c r="B77" s="183">
        <v>6.0</v>
      </c>
      <c r="C77" s="184">
        <v>15.0</v>
      </c>
      <c r="D77" s="195">
        <f t="shared" ref="D77:D82" si="77">B77-C77</f>
        <v>-9</v>
      </c>
      <c r="E77" s="183">
        <v>6.0</v>
      </c>
      <c r="F77" s="158">
        <v>9.0</v>
      </c>
      <c r="G77" s="195">
        <f t="shared" ref="G77:G82" si="78">E77-F77</f>
        <v>-3</v>
      </c>
      <c r="H77" s="186">
        <v>740.06</v>
      </c>
      <c r="I77" s="187">
        <v>2500.0</v>
      </c>
      <c r="J77" s="135">
        <f t="shared" ref="J77:J82" si="79">H77-I77</f>
        <v>-1759.94</v>
      </c>
      <c r="K77" s="188">
        <f t="shared" ref="K77:K82" si="80">E77/B77</f>
        <v>1</v>
      </c>
      <c r="L77" s="189">
        <v>0.5</v>
      </c>
      <c r="M77" s="196">
        <f t="shared" ref="M77:M82" si="81">L77-K77</f>
        <v>-0.5</v>
      </c>
      <c r="N77" s="191">
        <f t="shared" ref="N77:N82" si="82">IFERROR(H77/E77,"")</f>
        <v>123.3433333</v>
      </c>
      <c r="O77" s="197">
        <v>250.0</v>
      </c>
      <c r="P77" s="198">
        <f t="shared" ref="P77:P82" si="83">N77-O77</f>
        <v>-126.6566667</v>
      </c>
      <c r="R77" s="113" t="s">
        <v>49</v>
      </c>
      <c r="S77" s="121">
        <f>(S71-S74)/S76</f>
        <v>9395.305</v>
      </c>
    </row>
    <row r="78" hidden="1" outlineLevel="2">
      <c r="A78" s="182">
        <v>46000.0</v>
      </c>
      <c r="B78" s="183">
        <v>4.0</v>
      </c>
      <c r="C78" s="184">
        <v>15.0</v>
      </c>
      <c r="D78" s="185">
        <f t="shared" si="77"/>
        <v>-11</v>
      </c>
      <c r="E78" s="183">
        <v>4.0</v>
      </c>
      <c r="F78" s="159">
        <v>9.0</v>
      </c>
      <c r="G78" s="185">
        <f t="shared" si="78"/>
        <v>-5</v>
      </c>
      <c r="H78" s="186">
        <v>885.89</v>
      </c>
      <c r="I78" s="213">
        <v>2500.0</v>
      </c>
      <c r="J78" s="137">
        <f t="shared" si="79"/>
        <v>-1614.11</v>
      </c>
      <c r="K78" s="188">
        <f t="shared" si="80"/>
        <v>1</v>
      </c>
      <c r="L78" s="189">
        <v>0.5</v>
      </c>
      <c r="M78" s="190">
        <f t="shared" si="81"/>
        <v>-0.5</v>
      </c>
      <c r="N78" s="191">
        <f t="shared" si="82"/>
        <v>221.4725</v>
      </c>
      <c r="O78" s="192">
        <v>250.0</v>
      </c>
      <c r="P78" s="193">
        <f t="shared" si="83"/>
        <v>-28.5275</v>
      </c>
      <c r="R78" s="113" t="s">
        <v>50</v>
      </c>
      <c r="S78" s="122">
        <f>N69</f>
        <v>146.1032941</v>
      </c>
    </row>
    <row r="79" hidden="1" outlineLevel="2">
      <c r="A79" s="194">
        <v>46001.0</v>
      </c>
      <c r="B79" s="183">
        <v>14.0</v>
      </c>
      <c r="C79" s="184">
        <v>15.0</v>
      </c>
      <c r="D79" s="195">
        <f t="shared" si="77"/>
        <v>-1</v>
      </c>
      <c r="E79" s="183">
        <v>14.0</v>
      </c>
      <c r="F79" s="158">
        <v>9.0</v>
      </c>
      <c r="G79" s="195">
        <f t="shared" si="78"/>
        <v>5</v>
      </c>
      <c r="H79" s="186">
        <v>1604.11</v>
      </c>
      <c r="I79" s="213">
        <v>2500.0</v>
      </c>
      <c r="J79" s="135">
        <f t="shared" si="79"/>
        <v>-895.89</v>
      </c>
      <c r="K79" s="188">
        <f t="shared" si="80"/>
        <v>1</v>
      </c>
      <c r="L79" s="189">
        <v>0.5</v>
      </c>
      <c r="M79" s="196">
        <f t="shared" si="81"/>
        <v>-0.5</v>
      </c>
      <c r="N79" s="191">
        <f t="shared" si="82"/>
        <v>114.5792857</v>
      </c>
      <c r="O79" s="197">
        <v>250.0</v>
      </c>
      <c r="P79" s="198">
        <f t="shared" si="83"/>
        <v>-135.4207143</v>
      </c>
      <c r="R79" s="113" t="s">
        <v>51</v>
      </c>
      <c r="S79" s="128">
        <f>B69</f>
        <v>94</v>
      </c>
    </row>
    <row r="80" hidden="1" outlineLevel="2">
      <c r="A80" s="182">
        <v>46002.0</v>
      </c>
      <c r="B80" s="183">
        <v>5.0</v>
      </c>
      <c r="C80" s="184">
        <v>15.0</v>
      </c>
      <c r="D80" s="185">
        <f t="shared" si="77"/>
        <v>-10</v>
      </c>
      <c r="E80" s="183">
        <v>5.0</v>
      </c>
      <c r="F80" s="159">
        <v>9.0</v>
      </c>
      <c r="G80" s="185">
        <f t="shared" si="78"/>
        <v>-4</v>
      </c>
      <c r="H80" s="186">
        <v>579.94</v>
      </c>
      <c r="I80" s="213">
        <v>2500.0</v>
      </c>
      <c r="J80" s="137">
        <f t="shared" si="79"/>
        <v>-1920.06</v>
      </c>
      <c r="K80" s="188">
        <f t="shared" si="80"/>
        <v>1</v>
      </c>
      <c r="L80" s="189">
        <v>0.5</v>
      </c>
      <c r="M80" s="190">
        <f t="shared" si="81"/>
        <v>-0.5</v>
      </c>
      <c r="N80" s="191">
        <f t="shared" si="82"/>
        <v>115.988</v>
      </c>
      <c r="O80" s="192">
        <v>250.0</v>
      </c>
      <c r="P80" s="193">
        <f t="shared" si="83"/>
        <v>-134.012</v>
      </c>
      <c r="R80" s="113" t="s">
        <v>52</v>
      </c>
      <c r="S80" s="128">
        <f>E69</f>
        <v>85</v>
      </c>
    </row>
    <row r="81" hidden="1" outlineLevel="2">
      <c r="A81" s="194">
        <v>46003.0</v>
      </c>
      <c r="B81" s="183">
        <v>6.0</v>
      </c>
      <c r="C81" s="184">
        <v>15.0</v>
      </c>
      <c r="D81" s="195">
        <f t="shared" si="77"/>
        <v>-9</v>
      </c>
      <c r="E81" s="183">
        <v>6.0</v>
      </c>
      <c r="F81" s="158">
        <v>9.0</v>
      </c>
      <c r="G81" s="195">
        <f t="shared" si="78"/>
        <v>-3</v>
      </c>
      <c r="H81" s="186">
        <v>569.78</v>
      </c>
      <c r="I81" s="213">
        <v>2500.0</v>
      </c>
      <c r="J81" s="135">
        <f t="shared" si="79"/>
        <v>-1930.22</v>
      </c>
      <c r="K81" s="188">
        <f t="shared" si="80"/>
        <v>1</v>
      </c>
      <c r="L81" s="189">
        <v>0.5</v>
      </c>
      <c r="M81" s="196">
        <f t="shared" si="81"/>
        <v>-0.5</v>
      </c>
      <c r="N81" s="191">
        <f t="shared" si="82"/>
        <v>94.96333333</v>
      </c>
      <c r="O81" s="197">
        <v>250.0</v>
      </c>
      <c r="P81" s="198">
        <f t="shared" si="83"/>
        <v>-155.0366667</v>
      </c>
      <c r="R81" s="113" t="s">
        <v>4</v>
      </c>
      <c r="S81" s="119">
        <f>E69/B69</f>
        <v>0.9042553191</v>
      </c>
    </row>
    <row r="82" hidden="1" outlineLevel="2">
      <c r="A82" s="182">
        <v>46004.0</v>
      </c>
      <c r="B82" s="183">
        <v>2.0</v>
      </c>
      <c r="C82" s="184">
        <v>15.0</v>
      </c>
      <c r="D82" s="185">
        <f t="shared" si="77"/>
        <v>-13</v>
      </c>
      <c r="E82" s="183">
        <v>2.0</v>
      </c>
      <c r="F82" s="159">
        <v>9.0</v>
      </c>
      <c r="G82" s="185">
        <f t="shared" si="78"/>
        <v>-7</v>
      </c>
      <c r="H82" s="186">
        <v>303.36</v>
      </c>
      <c r="I82" s="137">
        <v>0.0</v>
      </c>
      <c r="J82" s="137">
        <f t="shared" si="79"/>
        <v>303.36</v>
      </c>
      <c r="K82" s="188">
        <f t="shared" si="80"/>
        <v>1</v>
      </c>
      <c r="L82" s="189">
        <v>0.5</v>
      </c>
      <c r="M82" s="190">
        <f t="shared" si="81"/>
        <v>-0.5</v>
      </c>
      <c r="N82" s="191">
        <f t="shared" si="82"/>
        <v>151.68</v>
      </c>
      <c r="O82" s="192">
        <v>250.0</v>
      </c>
      <c r="P82" s="193">
        <f t="shared" si="83"/>
        <v>-98.32</v>
      </c>
      <c r="S82" s="94"/>
    </row>
    <row r="83" hidden="1" outlineLevel="2">
      <c r="A83" s="194">
        <v>46005.0</v>
      </c>
      <c r="B83" s="199"/>
      <c r="C83" s="160"/>
      <c r="D83" s="160"/>
      <c r="E83" s="199"/>
      <c r="F83" s="160"/>
      <c r="G83" s="160"/>
      <c r="H83" s="191"/>
      <c r="I83" s="208"/>
      <c r="J83" s="208"/>
      <c r="K83" s="201"/>
      <c r="L83" s="209"/>
      <c r="M83" s="210"/>
      <c r="N83" s="191"/>
      <c r="O83" s="211"/>
      <c r="P83" s="210"/>
      <c r="S83" s="94"/>
    </row>
    <row r="84" hidden="1" outlineLevel="2">
      <c r="A84" s="182">
        <v>46006.0</v>
      </c>
      <c r="B84" s="183">
        <v>5.0</v>
      </c>
      <c r="C84" s="184">
        <v>15.0</v>
      </c>
      <c r="D84" s="185">
        <f t="shared" ref="D84:D89" si="84">B84-C84</f>
        <v>-10</v>
      </c>
      <c r="E84" s="183">
        <v>2.0</v>
      </c>
      <c r="F84" s="159">
        <v>9.0</v>
      </c>
      <c r="G84" s="185">
        <f t="shared" ref="G84:G89" si="85">E84-F84</f>
        <v>-7</v>
      </c>
      <c r="H84" s="186">
        <v>103.46</v>
      </c>
      <c r="I84" s="187">
        <v>2500.0</v>
      </c>
      <c r="J84" s="137">
        <f t="shared" ref="J84:J89" si="86">H84-I84</f>
        <v>-2396.54</v>
      </c>
      <c r="K84" s="188">
        <f t="shared" ref="K84:K89" si="87">E84/B84</f>
        <v>0.4</v>
      </c>
      <c r="L84" s="189">
        <v>0.5</v>
      </c>
      <c r="M84" s="190">
        <f t="shared" ref="M84:M89" si="88">L84-K84</f>
        <v>0.1</v>
      </c>
      <c r="N84" s="191">
        <f t="shared" ref="N84:N89" si="89">IFERROR(H84/E84,"")</f>
        <v>51.73</v>
      </c>
      <c r="O84" s="192">
        <v>250.0</v>
      </c>
      <c r="P84" s="193">
        <f t="shared" ref="P84:P89" si="90">N84-O84</f>
        <v>-198.27</v>
      </c>
      <c r="S84" s="94"/>
    </row>
    <row r="85" hidden="1" outlineLevel="2">
      <c r="A85" s="194">
        <v>46007.0</v>
      </c>
      <c r="B85" s="183">
        <v>3.0</v>
      </c>
      <c r="C85" s="184">
        <v>15.0</v>
      </c>
      <c r="D85" s="195">
        <f t="shared" si="84"/>
        <v>-12</v>
      </c>
      <c r="E85" s="183">
        <v>3.0</v>
      </c>
      <c r="F85" s="158">
        <v>9.0</v>
      </c>
      <c r="G85" s="195">
        <f t="shared" si="85"/>
        <v>-6</v>
      </c>
      <c r="H85" s="186">
        <v>504.25</v>
      </c>
      <c r="I85" s="213">
        <v>2500.0</v>
      </c>
      <c r="J85" s="135">
        <f t="shared" si="86"/>
        <v>-1995.75</v>
      </c>
      <c r="K85" s="188">
        <f t="shared" si="87"/>
        <v>1</v>
      </c>
      <c r="L85" s="189">
        <v>0.5</v>
      </c>
      <c r="M85" s="196">
        <f t="shared" si="88"/>
        <v>-0.5</v>
      </c>
      <c r="N85" s="191">
        <f t="shared" si="89"/>
        <v>168.0833333</v>
      </c>
      <c r="O85" s="197">
        <v>250.0</v>
      </c>
      <c r="P85" s="198">
        <f t="shared" si="90"/>
        <v>-81.91666667</v>
      </c>
      <c r="S85" s="94"/>
    </row>
    <row r="86" hidden="1" outlineLevel="2">
      <c r="A86" s="182">
        <v>46008.0</v>
      </c>
      <c r="B86" s="183">
        <v>6.0</v>
      </c>
      <c r="C86" s="184">
        <v>15.0</v>
      </c>
      <c r="D86" s="185">
        <f t="shared" si="84"/>
        <v>-9</v>
      </c>
      <c r="E86" s="183">
        <v>6.0</v>
      </c>
      <c r="F86" s="159">
        <v>9.0</v>
      </c>
      <c r="G86" s="185">
        <f t="shared" si="85"/>
        <v>-3</v>
      </c>
      <c r="H86" s="186">
        <v>1501.85</v>
      </c>
      <c r="I86" s="213">
        <v>2500.0</v>
      </c>
      <c r="J86" s="137">
        <f t="shared" si="86"/>
        <v>-998.15</v>
      </c>
      <c r="K86" s="188">
        <f t="shared" si="87"/>
        <v>1</v>
      </c>
      <c r="L86" s="189">
        <v>0.5</v>
      </c>
      <c r="M86" s="190">
        <f t="shared" si="88"/>
        <v>-0.5</v>
      </c>
      <c r="N86" s="191">
        <f t="shared" si="89"/>
        <v>250.3083333</v>
      </c>
      <c r="O86" s="192">
        <v>250.0</v>
      </c>
      <c r="P86" s="193">
        <f t="shared" si="90"/>
        <v>0.3083333333</v>
      </c>
      <c r="S86" s="94"/>
    </row>
    <row r="87" hidden="1" outlineLevel="2">
      <c r="A87" s="194">
        <v>46009.0</v>
      </c>
      <c r="B87" s="183">
        <v>8.0</v>
      </c>
      <c r="C87" s="184">
        <v>15.0</v>
      </c>
      <c r="D87" s="195">
        <f t="shared" si="84"/>
        <v>-7</v>
      </c>
      <c r="E87" s="183">
        <v>7.0</v>
      </c>
      <c r="F87" s="158">
        <v>9.0</v>
      </c>
      <c r="G87" s="195">
        <f t="shared" si="85"/>
        <v>-2</v>
      </c>
      <c r="H87" s="186">
        <v>1367.57</v>
      </c>
      <c r="I87" s="213">
        <v>2500.0</v>
      </c>
      <c r="J87" s="135">
        <f t="shared" si="86"/>
        <v>-1132.43</v>
      </c>
      <c r="K87" s="188">
        <f t="shared" si="87"/>
        <v>0.875</v>
      </c>
      <c r="L87" s="189">
        <v>0.5</v>
      </c>
      <c r="M87" s="196">
        <f t="shared" si="88"/>
        <v>-0.375</v>
      </c>
      <c r="N87" s="191">
        <f t="shared" si="89"/>
        <v>195.3671429</v>
      </c>
      <c r="O87" s="197">
        <v>250.0</v>
      </c>
      <c r="P87" s="198">
        <f t="shared" si="90"/>
        <v>-54.63285714</v>
      </c>
      <c r="S87" s="94"/>
    </row>
    <row r="88" hidden="1" outlineLevel="2">
      <c r="A88" s="182">
        <v>46010.0</v>
      </c>
      <c r="B88" s="183">
        <v>5.0</v>
      </c>
      <c r="C88" s="184">
        <v>15.0</v>
      </c>
      <c r="D88" s="185">
        <f t="shared" si="84"/>
        <v>-10</v>
      </c>
      <c r="E88" s="183">
        <v>5.0</v>
      </c>
      <c r="F88" s="159">
        <v>9.0</v>
      </c>
      <c r="G88" s="185">
        <f t="shared" si="85"/>
        <v>-4</v>
      </c>
      <c r="H88" s="186">
        <v>339.35</v>
      </c>
      <c r="I88" s="213">
        <v>2500.0</v>
      </c>
      <c r="J88" s="137">
        <f t="shared" si="86"/>
        <v>-2160.65</v>
      </c>
      <c r="K88" s="188">
        <f t="shared" si="87"/>
        <v>1</v>
      </c>
      <c r="L88" s="189">
        <v>0.5</v>
      </c>
      <c r="M88" s="190">
        <f t="shared" si="88"/>
        <v>-0.5</v>
      </c>
      <c r="N88" s="191">
        <f t="shared" si="89"/>
        <v>67.87</v>
      </c>
      <c r="O88" s="192">
        <v>250.0</v>
      </c>
      <c r="P88" s="193">
        <f t="shared" si="90"/>
        <v>-182.13</v>
      </c>
      <c r="S88" s="94"/>
    </row>
    <row r="89" hidden="1" outlineLevel="2">
      <c r="A89" s="194">
        <v>46011.0</v>
      </c>
      <c r="B89" s="183">
        <v>2.0</v>
      </c>
      <c r="C89" s="184">
        <v>15.0</v>
      </c>
      <c r="D89" s="195">
        <f t="shared" si="84"/>
        <v>-13</v>
      </c>
      <c r="E89" s="183">
        <v>2.0</v>
      </c>
      <c r="F89" s="158">
        <v>9.0</v>
      </c>
      <c r="G89" s="195">
        <f t="shared" si="85"/>
        <v>-7</v>
      </c>
      <c r="H89" s="186">
        <v>303.06</v>
      </c>
      <c r="I89" s="135">
        <v>0.0</v>
      </c>
      <c r="J89" s="135">
        <f t="shared" si="86"/>
        <v>303.06</v>
      </c>
      <c r="K89" s="188">
        <f t="shared" si="87"/>
        <v>1</v>
      </c>
      <c r="L89" s="189">
        <v>0.5</v>
      </c>
      <c r="M89" s="196">
        <f t="shared" si="88"/>
        <v>-0.5</v>
      </c>
      <c r="N89" s="191">
        <f t="shared" si="89"/>
        <v>151.53</v>
      </c>
      <c r="O89" s="197">
        <v>250.0</v>
      </c>
      <c r="P89" s="198">
        <f t="shared" si="90"/>
        <v>-98.47</v>
      </c>
      <c r="S89" s="94"/>
    </row>
    <row r="90" hidden="1" outlineLevel="2">
      <c r="A90" s="182">
        <v>46012.0</v>
      </c>
      <c r="B90" s="199"/>
      <c r="C90" s="161"/>
      <c r="D90" s="161"/>
      <c r="E90" s="199"/>
      <c r="F90" s="161"/>
      <c r="G90" s="161"/>
      <c r="H90" s="191"/>
      <c r="I90" s="200"/>
      <c r="J90" s="200"/>
      <c r="K90" s="201"/>
      <c r="L90" s="202"/>
      <c r="M90" s="203"/>
      <c r="N90" s="191"/>
      <c r="O90" s="204"/>
      <c r="P90" s="203"/>
      <c r="S90" s="94"/>
    </row>
    <row r="91" hidden="1" outlineLevel="2">
      <c r="A91" s="194">
        <v>46013.0</v>
      </c>
      <c r="B91" s="183">
        <v>5.0</v>
      </c>
      <c r="C91" s="184">
        <v>15.0</v>
      </c>
      <c r="D91" s="195">
        <f t="shared" ref="D91:D96" si="91">B91-C91</f>
        <v>-10</v>
      </c>
      <c r="E91" s="183">
        <v>5.0</v>
      </c>
      <c r="F91" s="158">
        <v>9.0</v>
      </c>
      <c r="G91" s="195">
        <f t="shared" ref="G91:G96" si="92">E91-F91</f>
        <v>-4</v>
      </c>
      <c r="H91" s="186">
        <v>985.09</v>
      </c>
      <c r="I91" s="213">
        <v>2500.0</v>
      </c>
      <c r="J91" s="135">
        <f t="shared" ref="J91:J96" si="93">H91-I91</f>
        <v>-1514.91</v>
      </c>
      <c r="K91" s="188">
        <f t="shared" ref="K91:K96" si="94">E91/B91</f>
        <v>1</v>
      </c>
      <c r="L91" s="270">
        <v>0.5</v>
      </c>
      <c r="M91" s="196">
        <f t="shared" ref="M91:M96" si="95">L91-K91</f>
        <v>-0.5</v>
      </c>
      <c r="N91" s="191">
        <f t="shared" ref="N91:N96" si="96">IFERROR(H91/E91,"")</f>
        <v>197.018</v>
      </c>
      <c r="O91" s="197">
        <v>250.0</v>
      </c>
      <c r="P91" s="198">
        <f t="shared" ref="P91:P96" si="97">N91-O91</f>
        <v>-52.982</v>
      </c>
      <c r="S91" s="94"/>
    </row>
    <row r="92" hidden="1" outlineLevel="2">
      <c r="A92" s="182">
        <v>46014.0</v>
      </c>
      <c r="B92" s="205">
        <v>0.0</v>
      </c>
      <c r="C92" s="184">
        <v>15.0</v>
      </c>
      <c r="D92" s="185">
        <f t="shared" si="91"/>
        <v>-15</v>
      </c>
      <c r="E92" s="183">
        <v>0.0</v>
      </c>
      <c r="F92" s="159">
        <v>9.0</v>
      </c>
      <c r="G92" s="185">
        <f t="shared" si="92"/>
        <v>-9</v>
      </c>
      <c r="H92" s="214">
        <v>0.0</v>
      </c>
      <c r="I92" s="187">
        <v>2500.0</v>
      </c>
      <c r="J92" s="137">
        <f t="shared" si="93"/>
        <v>-2500</v>
      </c>
      <c r="K92" s="188" t="str">
        <f t="shared" si="94"/>
        <v>#DIV/0!</v>
      </c>
      <c r="L92" s="189">
        <v>0.5</v>
      </c>
      <c r="M92" s="207" t="str">
        <f t="shared" si="95"/>
        <v>#DIV/0!</v>
      </c>
      <c r="N92" s="191" t="str">
        <f t="shared" si="96"/>
        <v/>
      </c>
      <c r="O92" s="192">
        <v>250.0</v>
      </c>
      <c r="P92" s="193">
        <f t="shared" si="97"/>
        <v>-250</v>
      </c>
      <c r="S92" s="94"/>
    </row>
    <row r="93" hidden="1" outlineLevel="2">
      <c r="A93" s="215">
        <v>46015.0</v>
      </c>
      <c r="B93" s="216">
        <v>0.0</v>
      </c>
      <c r="C93" s="217">
        <v>15.0</v>
      </c>
      <c r="D93" s="218">
        <f t="shared" si="91"/>
        <v>-15</v>
      </c>
      <c r="E93" s="216">
        <v>0.0</v>
      </c>
      <c r="F93" s="217">
        <v>0.0</v>
      </c>
      <c r="G93" s="218">
        <f t="shared" si="92"/>
        <v>0</v>
      </c>
      <c r="H93" s="219">
        <v>0.0</v>
      </c>
      <c r="I93" s="219">
        <v>0.0</v>
      </c>
      <c r="J93" s="219">
        <f t="shared" si="93"/>
        <v>0</v>
      </c>
      <c r="K93" s="220" t="str">
        <f t="shared" si="94"/>
        <v>#DIV/0!</v>
      </c>
      <c r="L93" s="221">
        <v>0.5</v>
      </c>
      <c r="M93" s="222" t="str">
        <f t="shared" si="95"/>
        <v>#DIV/0!</v>
      </c>
      <c r="N93" s="223" t="str">
        <f t="shared" si="96"/>
        <v/>
      </c>
      <c r="O93" s="224">
        <v>250.0</v>
      </c>
      <c r="P93" s="225">
        <f t="shared" si="97"/>
        <v>-250</v>
      </c>
      <c r="Q93" s="226"/>
      <c r="R93" s="226"/>
      <c r="S93" s="227"/>
      <c r="T93" s="226"/>
      <c r="U93" s="226"/>
      <c r="V93" s="226"/>
      <c r="W93" s="226"/>
      <c r="X93" s="226"/>
      <c r="Y93" s="226"/>
      <c r="Z93" s="226"/>
      <c r="AA93" s="226"/>
      <c r="AB93" s="226"/>
    </row>
    <row r="94" hidden="1" outlineLevel="2">
      <c r="A94" s="254">
        <v>46016.0</v>
      </c>
      <c r="B94" s="255">
        <v>0.0</v>
      </c>
      <c r="C94" s="256">
        <v>15.0</v>
      </c>
      <c r="D94" s="257">
        <f t="shared" si="91"/>
        <v>-15</v>
      </c>
      <c r="E94" s="255">
        <v>0.0</v>
      </c>
      <c r="F94" s="256">
        <v>0.0</v>
      </c>
      <c r="G94" s="257">
        <f t="shared" si="92"/>
        <v>0</v>
      </c>
      <c r="H94" s="258">
        <v>0.0</v>
      </c>
      <c r="I94" s="258">
        <v>0.0</v>
      </c>
      <c r="J94" s="258">
        <f t="shared" si="93"/>
        <v>0</v>
      </c>
      <c r="K94" s="259" t="str">
        <f t="shared" si="94"/>
        <v>#DIV/0!</v>
      </c>
      <c r="L94" s="273">
        <v>0.5</v>
      </c>
      <c r="M94" s="261" t="str">
        <f t="shared" si="95"/>
        <v>#DIV/0!</v>
      </c>
      <c r="N94" s="262" t="str">
        <f t="shared" si="96"/>
        <v/>
      </c>
      <c r="O94" s="263">
        <v>250.0</v>
      </c>
      <c r="P94" s="264">
        <f t="shared" si="97"/>
        <v>-250</v>
      </c>
      <c r="Q94" s="265"/>
      <c r="R94" s="265"/>
      <c r="S94" s="266"/>
      <c r="T94" s="265"/>
      <c r="U94" s="265"/>
      <c r="V94" s="265"/>
      <c r="W94" s="265"/>
      <c r="X94" s="265"/>
      <c r="Y94" s="265"/>
      <c r="Z94" s="265"/>
      <c r="AA94" s="265"/>
      <c r="AB94" s="265"/>
    </row>
    <row r="95" hidden="1" outlineLevel="2">
      <c r="A95" s="194">
        <v>46017.0</v>
      </c>
      <c r="B95" s="205">
        <v>0.0</v>
      </c>
      <c r="C95" s="184">
        <v>15.0</v>
      </c>
      <c r="D95" s="195">
        <f t="shared" si="91"/>
        <v>-15</v>
      </c>
      <c r="E95" s="205">
        <v>0.0</v>
      </c>
      <c r="F95" s="158">
        <v>9.0</v>
      </c>
      <c r="G95" s="195">
        <f t="shared" si="92"/>
        <v>-9</v>
      </c>
      <c r="H95" s="214">
        <v>0.0</v>
      </c>
      <c r="I95" s="213">
        <v>2500.0</v>
      </c>
      <c r="J95" s="135">
        <f t="shared" si="93"/>
        <v>-2500</v>
      </c>
      <c r="K95" s="188" t="str">
        <f t="shared" si="94"/>
        <v>#DIV/0!</v>
      </c>
      <c r="L95" s="270">
        <v>0.5</v>
      </c>
      <c r="M95" s="274" t="str">
        <f t="shared" si="95"/>
        <v>#DIV/0!</v>
      </c>
      <c r="N95" s="191" t="str">
        <f t="shared" si="96"/>
        <v/>
      </c>
      <c r="O95" s="197">
        <v>250.0</v>
      </c>
      <c r="P95" s="198">
        <f t="shared" si="97"/>
        <v>-250</v>
      </c>
      <c r="S95" s="94"/>
    </row>
    <row r="96" hidden="1" outlineLevel="2">
      <c r="A96" s="182">
        <v>46018.0</v>
      </c>
      <c r="B96" s="205">
        <v>0.0</v>
      </c>
      <c r="C96" s="184">
        <v>15.0</v>
      </c>
      <c r="D96" s="185">
        <f t="shared" si="91"/>
        <v>-15</v>
      </c>
      <c r="E96" s="205">
        <v>0.0</v>
      </c>
      <c r="F96" s="159">
        <v>9.0</v>
      </c>
      <c r="G96" s="185">
        <f t="shared" si="92"/>
        <v>-9</v>
      </c>
      <c r="H96" s="214">
        <v>0.0</v>
      </c>
      <c r="I96" s="187">
        <v>2500.0</v>
      </c>
      <c r="J96" s="137">
        <f t="shared" si="93"/>
        <v>-2500</v>
      </c>
      <c r="K96" s="188" t="str">
        <f t="shared" si="94"/>
        <v>#DIV/0!</v>
      </c>
      <c r="L96" s="189">
        <v>0.5</v>
      </c>
      <c r="M96" s="207" t="str">
        <f t="shared" si="95"/>
        <v>#DIV/0!</v>
      </c>
      <c r="N96" s="191" t="str">
        <f t="shared" si="96"/>
        <v/>
      </c>
      <c r="O96" s="192">
        <v>250.0</v>
      </c>
      <c r="P96" s="193">
        <f t="shared" si="97"/>
        <v>-250</v>
      </c>
      <c r="S96" s="94"/>
    </row>
    <row r="97" hidden="1" outlineLevel="2">
      <c r="A97" s="194">
        <v>46019.0</v>
      </c>
      <c r="B97" s="199"/>
      <c r="C97" s="160"/>
      <c r="D97" s="160"/>
      <c r="E97" s="199"/>
      <c r="F97" s="160"/>
      <c r="G97" s="160"/>
      <c r="H97" s="191"/>
      <c r="I97" s="208"/>
      <c r="J97" s="208"/>
      <c r="K97" s="201"/>
      <c r="L97" s="209"/>
      <c r="M97" s="210"/>
      <c r="N97" s="191"/>
      <c r="O97" s="211"/>
      <c r="P97" s="210"/>
      <c r="S97" s="94"/>
    </row>
    <row r="98" hidden="1" outlineLevel="2">
      <c r="A98" s="182">
        <v>46020.0</v>
      </c>
      <c r="B98" s="205">
        <v>0.0</v>
      </c>
      <c r="C98" s="159">
        <v>29.0</v>
      </c>
      <c r="D98" s="185">
        <f t="shared" ref="D98:D100" si="98">B98-C98</f>
        <v>-29</v>
      </c>
      <c r="E98" s="205">
        <v>0.0</v>
      </c>
      <c r="F98" s="159">
        <v>9.0</v>
      </c>
      <c r="G98" s="185">
        <f t="shared" ref="G98:G100" si="99">E98-F98</f>
        <v>-9</v>
      </c>
      <c r="H98" s="214">
        <v>0.0</v>
      </c>
      <c r="I98" s="187">
        <v>2500.0</v>
      </c>
      <c r="J98" s="137">
        <f t="shared" ref="J98:J100" si="100">H98-I98</f>
        <v>-2500</v>
      </c>
      <c r="K98" s="188" t="str">
        <f t="shared" ref="K98:K100" si="101">E98/B98</f>
        <v>#DIV/0!</v>
      </c>
      <c r="L98" s="189">
        <v>0.5</v>
      </c>
      <c r="M98" s="207" t="str">
        <f t="shared" ref="M98:M100" si="102">L98-K98</f>
        <v>#DIV/0!</v>
      </c>
      <c r="N98" s="191" t="str">
        <f t="shared" ref="N98:N100" si="103">IFERROR(H98/E98,"")</f>
        <v/>
      </c>
      <c r="O98" s="192">
        <v>250.0</v>
      </c>
      <c r="P98" s="193">
        <f t="shared" ref="P98:P100" si="104">N98-O98</f>
        <v>-250</v>
      </c>
      <c r="S98" s="94"/>
    </row>
    <row r="99" hidden="1" outlineLevel="2">
      <c r="A99" s="215">
        <v>46021.0</v>
      </c>
      <c r="B99" s="216">
        <v>0.0</v>
      </c>
      <c r="C99" s="216">
        <v>29.0</v>
      </c>
      <c r="D99" s="218">
        <f t="shared" si="98"/>
        <v>-29</v>
      </c>
      <c r="E99" s="216">
        <v>0.0</v>
      </c>
      <c r="F99" s="217">
        <v>0.0</v>
      </c>
      <c r="G99" s="218">
        <f t="shared" si="99"/>
        <v>0</v>
      </c>
      <c r="H99" s="219">
        <v>0.0</v>
      </c>
      <c r="I99" s="219">
        <v>0.0</v>
      </c>
      <c r="J99" s="219">
        <f t="shared" si="100"/>
        <v>0</v>
      </c>
      <c r="K99" s="220" t="str">
        <f t="shared" si="101"/>
        <v>#DIV/0!</v>
      </c>
      <c r="L99" s="221">
        <v>0.5</v>
      </c>
      <c r="M99" s="222" t="str">
        <f t="shared" si="102"/>
        <v>#DIV/0!</v>
      </c>
      <c r="N99" s="223" t="str">
        <f t="shared" si="103"/>
        <v/>
      </c>
      <c r="O99" s="224">
        <v>250.0</v>
      </c>
      <c r="P99" s="225">
        <f t="shared" si="104"/>
        <v>-250</v>
      </c>
      <c r="Q99" s="226"/>
      <c r="R99" s="226"/>
      <c r="S99" s="227"/>
      <c r="T99" s="226"/>
      <c r="U99" s="226"/>
      <c r="V99" s="226"/>
      <c r="W99" s="226"/>
      <c r="X99" s="226"/>
      <c r="Y99" s="226"/>
      <c r="Z99" s="226"/>
      <c r="AA99" s="226"/>
      <c r="AB99" s="226"/>
    </row>
    <row r="100" hidden="1" outlineLevel="2">
      <c r="A100" s="254">
        <v>46022.0</v>
      </c>
      <c r="B100" s="255">
        <v>0.0</v>
      </c>
      <c r="C100" s="255">
        <v>29.0</v>
      </c>
      <c r="D100" s="257">
        <f t="shared" si="98"/>
        <v>-29</v>
      </c>
      <c r="E100" s="255">
        <v>0.0</v>
      </c>
      <c r="F100" s="256">
        <v>0.0</v>
      </c>
      <c r="G100" s="257">
        <f t="shared" si="99"/>
        <v>0</v>
      </c>
      <c r="H100" s="258">
        <v>0.0</v>
      </c>
      <c r="I100" s="258">
        <v>0.0</v>
      </c>
      <c r="J100" s="258">
        <f t="shared" si="100"/>
        <v>0</v>
      </c>
      <c r="K100" s="259" t="str">
        <f t="shared" si="101"/>
        <v>#DIV/0!</v>
      </c>
      <c r="L100" s="273">
        <v>0.5</v>
      </c>
      <c r="M100" s="261" t="str">
        <f t="shared" si="102"/>
        <v>#DIV/0!</v>
      </c>
      <c r="N100" s="262" t="str">
        <f t="shared" si="103"/>
        <v/>
      </c>
      <c r="O100" s="263">
        <v>250.0</v>
      </c>
      <c r="P100" s="264">
        <f t="shared" si="104"/>
        <v>-250</v>
      </c>
      <c r="Q100" s="265"/>
      <c r="R100" s="265"/>
      <c r="S100" s="266"/>
      <c r="T100" s="265"/>
      <c r="U100" s="265"/>
      <c r="V100" s="265"/>
      <c r="W100" s="265"/>
      <c r="X100" s="265"/>
      <c r="Y100" s="265"/>
      <c r="Z100" s="265"/>
      <c r="AA100" s="265"/>
      <c r="AB100" s="265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9"/>
      <c r="L101" s="140"/>
      <c r="N101" s="138"/>
      <c r="O101" s="141"/>
      <c r="S101" s="94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9"/>
      <c r="L102" s="140"/>
      <c r="N102" s="138"/>
      <c r="O102" s="141"/>
      <c r="S102" s="94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9"/>
      <c r="L103" s="140"/>
      <c r="N103" s="138"/>
      <c r="O103" s="141"/>
      <c r="S103" s="94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9"/>
      <c r="L104" s="140"/>
      <c r="N104" s="138"/>
      <c r="O104" s="141"/>
      <c r="S104" s="94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9"/>
      <c r="L105" s="140"/>
      <c r="N105" s="138"/>
      <c r="O105" s="141"/>
      <c r="S105" s="94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9"/>
      <c r="L106" s="140"/>
      <c r="N106" s="138"/>
      <c r="O106" s="141"/>
      <c r="S106" s="94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9"/>
      <c r="L107" s="140"/>
      <c r="N107" s="138"/>
      <c r="O107" s="141"/>
      <c r="S107" s="94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9"/>
      <c r="L108" s="140"/>
      <c r="N108" s="138"/>
      <c r="O108" s="141"/>
      <c r="S108" s="94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9"/>
      <c r="L109" s="140"/>
      <c r="N109" s="138"/>
      <c r="O109" s="141"/>
      <c r="S109" s="94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9"/>
      <c r="L110" s="140"/>
      <c r="N110" s="138"/>
      <c r="O110" s="141"/>
      <c r="S110" s="94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9"/>
      <c r="L111" s="140"/>
      <c r="N111" s="138"/>
      <c r="O111" s="141"/>
      <c r="S111" s="94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9"/>
      <c r="L112" s="140"/>
      <c r="N112" s="138"/>
      <c r="O112" s="141"/>
      <c r="S112" s="94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9"/>
      <c r="L113" s="140"/>
      <c r="N113" s="138"/>
      <c r="O113" s="141"/>
      <c r="S113" s="94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9"/>
      <c r="L114" s="140"/>
      <c r="N114" s="138"/>
      <c r="O114" s="141"/>
      <c r="S114" s="94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9"/>
      <c r="L115" s="140"/>
      <c r="N115" s="138"/>
      <c r="O115" s="141"/>
      <c r="S115" s="94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9"/>
      <c r="L116" s="140"/>
      <c r="N116" s="138"/>
      <c r="O116" s="141"/>
      <c r="S116" s="94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9"/>
      <c r="L117" s="140"/>
      <c r="N117" s="138"/>
      <c r="O117" s="141"/>
      <c r="S117" s="94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9"/>
      <c r="L118" s="140"/>
      <c r="N118" s="138"/>
      <c r="O118" s="141"/>
      <c r="S118" s="94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9"/>
      <c r="L119" s="140"/>
      <c r="N119" s="138"/>
      <c r="O119" s="141"/>
      <c r="S119" s="94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9"/>
      <c r="L120" s="140"/>
      <c r="N120" s="138"/>
      <c r="O120" s="141"/>
      <c r="S120" s="94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9"/>
      <c r="L121" s="140"/>
      <c r="N121" s="138"/>
      <c r="O121" s="141"/>
      <c r="S121" s="94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9"/>
      <c r="L122" s="140"/>
      <c r="N122" s="138"/>
      <c r="O122" s="141"/>
      <c r="S122" s="94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9"/>
      <c r="L123" s="140"/>
      <c r="N123" s="138"/>
      <c r="O123" s="141"/>
      <c r="S123" s="94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9"/>
      <c r="L124" s="140"/>
      <c r="N124" s="138"/>
      <c r="O124" s="141"/>
      <c r="S124" s="94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9"/>
      <c r="L125" s="140"/>
      <c r="N125" s="138"/>
      <c r="O125" s="141"/>
      <c r="S125" s="94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9"/>
      <c r="L126" s="140"/>
      <c r="N126" s="138"/>
      <c r="O126" s="141"/>
      <c r="S126" s="94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9"/>
      <c r="L127" s="140"/>
      <c r="N127" s="138"/>
      <c r="O127" s="141"/>
      <c r="S127" s="94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9"/>
      <c r="L128" s="140"/>
      <c r="N128" s="138"/>
      <c r="O128" s="141"/>
      <c r="S128" s="94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9"/>
      <c r="L129" s="140"/>
      <c r="N129" s="138"/>
      <c r="O129" s="141"/>
      <c r="S129" s="94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9"/>
      <c r="L130" s="140"/>
      <c r="N130" s="138"/>
      <c r="O130" s="141"/>
      <c r="S130" s="94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9"/>
      <c r="L131" s="140"/>
      <c r="N131" s="138"/>
      <c r="O131" s="141"/>
      <c r="S131" s="94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9"/>
      <c r="L132" s="140"/>
      <c r="N132" s="138"/>
      <c r="O132" s="141"/>
      <c r="S132" s="94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9"/>
      <c r="L133" s="140"/>
      <c r="N133" s="138"/>
      <c r="O133" s="141"/>
      <c r="S133" s="94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9"/>
      <c r="L134" s="140"/>
      <c r="N134" s="138"/>
      <c r="O134" s="141"/>
      <c r="S134" s="94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9"/>
      <c r="L135" s="140"/>
      <c r="N135" s="138"/>
      <c r="O135" s="141"/>
      <c r="S135" s="94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9"/>
      <c r="L136" s="140"/>
      <c r="N136" s="138"/>
      <c r="O136" s="141"/>
      <c r="S136" s="94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9"/>
      <c r="L137" s="140"/>
      <c r="N137" s="138"/>
      <c r="O137" s="141"/>
      <c r="S137" s="94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9"/>
      <c r="L138" s="140"/>
      <c r="N138" s="138"/>
      <c r="O138" s="141"/>
      <c r="S138" s="94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9"/>
      <c r="L139" s="140"/>
      <c r="N139" s="138"/>
      <c r="O139" s="141"/>
      <c r="S139" s="94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9"/>
      <c r="L140" s="140"/>
      <c r="N140" s="138"/>
      <c r="O140" s="141"/>
      <c r="S140" s="94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9"/>
      <c r="L141" s="140"/>
      <c r="N141" s="138"/>
      <c r="O141" s="141"/>
      <c r="S141" s="94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9"/>
      <c r="L142" s="140"/>
      <c r="N142" s="138"/>
      <c r="O142" s="141"/>
      <c r="S142" s="94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9"/>
      <c r="L143" s="140"/>
      <c r="N143" s="138"/>
      <c r="O143" s="141"/>
      <c r="S143" s="94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9"/>
      <c r="L144" s="140"/>
      <c r="N144" s="138"/>
      <c r="O144" s="141"/>
      <c r="S144" s="94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L145" s="140"/>
      <c r="N145" s="138"/>
      <c r="O145" s="141"/>
      <c r="S145" s="94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9"/>
      <c r="L146" s="140"/>
      <c r="N146" s="138"/>
      <c r="O146" s="141"/>
      <c r="S146" s="94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  <c r="L147" s="140"/>
      <c r="N147" s="138"/>
      <c r="O147" s="141"/>
      <c r="S147" s="94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9"/>
      <c r="L148" s="140"/>
      <c r="N148" s="138"/>
      <c r="O148" s="141"/>
      <c r="S148" s="94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9"/>
      <c r="L149" s="140"/>
      <c r="N149" s="138"/>
      <c r="O149" s="141"/>
      <c r="S149" s="94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9"/>
      <c r="L150" s="140"/>
      <c r="N150" s="138"/>
      <c r="O150" s="141"/>
      <c r="S150" s="94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L151" s="140"/>
      <c r="N151" s="138"/>
      <c r="O151" s="141"/>
      <c r="S151" s="94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9"/>
      <c r="L152" s="140"/>
      <c r="N152" s="138"/>
      <c r="O152" s="141"/>
      <c r="S152" s="94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9"/>
      <c r="L153" s="140"/>
      <c r="N153" s="138"/>
      <c r="O153" s="141"/>
      <c r="S153" s="94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9"/>
      <c r="L154" s="140"/>
      <c r="N154" s="138"/>
      <c r="O154" s="141"/>
      <c r="S154" s="94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9"/>
      <c r="L155" s="140"/>
      <c r="N155" s="138"/>
      <c r="O155" s="141"/>
      <c r="S155" s="94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9"/>
      <c r="L156" s="140"/>
      <c r="N156" s="138"/>
      <c r="O156" s="141"/>
      <c r="S156" s="94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9"/>
      <c r="L157" s="140"/>
      <c r="N157" s="138"/>
      <c r="O157" s="141"/>
      <c r="S157" s="94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9"/>
      <c r="L158" s="140"/>
      <c r="N158" s="138"/>
      <c r="O158" s="141"/>
      <c r="S158" s="94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9"/>
      <c r="L159" s="140"/>
      <c r="N159" s="138"/>
      <c r="O159" s="141"/>
      <c r="S159" s="94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9"/>
      <c r="L160" s="140"/>
      <c r="N160" s="138"/>
      <c r="O160" s="141"/>
      <c r="S160" s="94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9"/>
      <c r="L161" s="140"/>
      <c r="N161" s="138"/>
      <c r="O161" s="141"/>
      <c r="S161" s="94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9"/>
      <c r="L162" s="140"/>
      <c r="N162" s="138"/>
      <c r="O162" s="141"/>
      <c r="S162" s="94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9"/>
      <c r="L163" s="140"/>
      <c r="N163" s="138"/>
      <c r="O163" s="141"/>
      <c r="S163" s="94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9"/>
      <c r="L164" s="140"/>
      <c r="N164" s="138"/>
      <c r="O164" s="141"/>
      <c r="S164" s="94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9"/>
      <c r="L165" s="140"/>
      <c r="N165" s="138"/>
      <c r="O165" s="141"/>
      <c r="S165" s="94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9"/>
      <c r="L166" s="140"/>
      <c r="N166" s="138"/>
      <c r="O166" s="141"/>
      <c r="S166" s="94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9"/>
      <c r="L167" s="140"/>
      <c r="N167" s="138"/>
      <c r="O167" s="141"/>
      <c r="S167" s="94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9"/>
      <c r="L168" s="140"/>
      <c r="N168" s="138"/>
      <c r="O168" s="141"/>
      <c r="S168" s="94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9"/>
      <c r="L169" s="140"/>
      <c r="N169" s="138"/>
      <c r="O169" s="141"/>
      <c r="S169" s="94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9"/>
      <c r="L170" s="140"/>
      <c r="N170" s="138"/>
      <c r="O170" s="141"/>
      <c r="S170" s="94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9"/>
      <c r="L171" s="140"/>
      <c r="N171" s="138"/>
      <c r="O171" s="141"/>
      <c r="S171" s="94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9"/>
      <c r="L172" s="140"/>
      <c r="N172" s="138"/>
      <c r="O172" s="141"/>
      <c r="S172" s="94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9"/>
      <c r="L173" s="140"/>
      <c r="N173" s="138"/>
      <c r="O173" s="141"/>
      <c r="S173" s="94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9"/>
      <c r="L174" s="140"/>
      <c r="N174" s="138"/>
      <c r="O174" s="141"/>
      <c r="S174" s="94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9"/>
      <c r="L175" s="140"/>
      <c r="N175" s="138"/>
      <c r="O175" s="141"/>
      <c r="S175" s="94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9"/>
      <c r="L176" s="140"/>
      <c r="N176" s="138"/>
      <c r="O176" s="141"/>
      <c r="S176" s="94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9"/>
      <c r="L177" s="140"/>
      <c r="N177" s="138"/>
      <c r="O177" s="141"/>
      <c r="S177" s="94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9"/>
      <c r="L178" s="140"/>
      <c r="N178" s="138"/>
      <c r="O178" s="141"/>
      <c r="S178" s="94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9"/>
      <c r="L179" s="140"/>
      <c r="N179" s="138"/>
      <c r="O179" s="141"/>
      <c r="S179" s="94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9"/>
      <c r="L180" s="140"/>
      <c r="N180" s="138"/>
      <c r="O180" s="141"/>
      <c r="S180" s="94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9"/>
      <c r="L181" s="140"/>
      <c r="N181" s="138"/>
      <c r="O181" s="141"/>
      <c r="S181" s="94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L182" s="140"/>
      <c r="N182" s="138"/>
      <c r="O182" s="141"/>
      <c r="S182" s="94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9"/>
      <c r="L183" s="140"/>
      <c r="N183" s="138"/>
      <c r="O183" s="141"/>
      <c r="S183" s="94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9"/>
      <c r="L184" s="140"/>
      <c r="N184" s="138"/>
      <c r="O184" s="141"/>
      <c r="S184" s="94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9"/>
      <c r="L185" s="140"/>
      <c r="N185" s="138"/>
      <c r="O185" s="141"/>
      <c r="S185" s="94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9"/>
      <c r="L186" s="140"/>
      <c r="N186" s="138"/>
      <c r="O186" s="141"/>
      <c r="S186" s="94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9"/>
      <c r="L187" s="140"/>
      <c r="N187" s="138"/>
      <c r="O187" s="141"/>
      <c r="S187" s="94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L188" s="140"/>
      <c r="N188" s="138"/>
      <c r="O188" s="141"/>
      <c r="S188" s="94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9"/>
      <c r="L189" s="140"/>
      <c r="N189" s="138"/>
      <c r="O189" s="141"/>
      <c r="S189" s="94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9"/>
      <c r="L190" s="140"/>
      <c r="N190" s="138"/>
      <c r="O190" s="141"/>
      <c r="S190" s="94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9"/>
      <c r="L191" s="140"/>
      <c r="N191" s="138"/>
      <c r="O191" s="141"/>
      <c r="S191" s="94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9"/>
      <c r="L192" s="140"/>
      <c r="N192" s="138"/>
      <c r="O192" s="141"/>
      <c r="S192" s="94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9"/>
      <c r="L193" s="140"/>
      <c r="N193" s="138"/>
      <c r="O193" s="141"/>
      <c r="S193" s="94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9"/>
      <c r="L194" s="140"/>
      <c r="N194" s="138"/>
      <c r="O194" s="141"/>
      <c r="S194" s="94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9"/>
      <c r="L195" s="140"/>
      <c r="N195" s="138"/>
      <c r="O195" s="141"/>
      <c r="S195" s="94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9"/>
      <c r="L196" s="140"/>
      <c r="N196" s="138"/>
      <c r="O196" s="141"/>
      <c r="S196" s="94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9"/>
      <c r="L197" s="140"/>
      <c r="N197" s="138"/>
      <c r="O197" s="141"/>
      <c r="S197" s="94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9"/>
      <c r="L198" s="140"/>
      <c r="N198" s="138"/>
      <c r="O198" s="141"/>
      <c r="S198" s="94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9"/>
      <c r="L199" s="140"/>
      <c r="N199" s="138"/>
      <c r="O199" s="141"/>
      <c r="S199" s="94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9"/>
      <c r="L200" s="140"/>
      <c r="N200" s="138"/>
      <c r="O200" s="141"/>
      <c r="S200" s="94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9"/>
      <c r="L201" s="140"/>
      <c r="N201" s="138"/>
      <c r="O201" s="141"/>
      <c r="S201" s="94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9"/>
      <c r="L202" s="140"/>
      <c r="N202" s="138"/>
      <c r="O202" s="141"/>
      <c r="S202" s="94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9"/>
      <c r="L203" s="140"/>
      <c r="N203" s="138"/>
      <c r="O203" s="141"/>
      <c r="S203" s="94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9"/>
      <c r="L204" s="140"/>
      <c r="N204" s="138"/>
      <c r="O204" s="141"/>
      <c r="S204" s="94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9"/>
      <c r="L205" s="140"/>
      <c r="N205" s="138"/>
      <c r="O205" s="141"/>
      <c r="S205" s="94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9"/>
      <c r="L206" s="140"/>
      <c r="N206" s="138"/>
      <c r="O206" s="141"/>
      <c r="S206" s="94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9"/>
      <c r="L207" s="140"/>
      <c r="N207" s="138"/>
      <c r="O207" s="141"/>
      <c r="S207" s="94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9"/>
      <c r="L208" s="140"/>
      <c r="N208" s="138"/>
      <c r="O208" s="141"/>
      <c r="S208" s="94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9"/>
      <c r="L209" s="140"/>
      <c r="N209" s="138"/>
      <c r="O209" s="141"/>
      <c r="S209" s="94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9"/>
      <c r="L210" s="140"/>
      <c r="N210" s="138"/>
      <c r="O210" s="141"/>
      <c r="S210" s="94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9"/>
      <c r="L211" s="140"/>
      <c r="N211" s="138"/>
      <c r="O211" s="141"/>
      <c r="S211" s="94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9"/>
      <c r="L212" s="140"/>
      <c r="N212" s="138"/>
      <c r="O212" s="141"/>
      <c r="S212" s="94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9"/>
      <c r="L213" s="140"/>
      <c r="N213" s="138"/>
      <c r="O213" s="141"/>
      <c r="S213" s="94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9"/>
      <c r="L214" s="140"/>
      <c r="N214" s="138"/>
      <c r="O214" s="141"/>
      <c r="S214" s="94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9"/>
      <c r="L215" s="140"/>
      <c r="N215" s="138"/>
      <c r="O215" s="141"/>
      <c r="S215" s="94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9"/>
      <c r="L216" s="140"/>
      <c r="N216" s="138"/>
      <c r="O216" s="141"/>
      <c r="S216" s="94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9"/>
      <c r="L217" s="140"/>
      <c r="N217" s="138"/>
      <c r="O217" s="141"/>
      <c r="S217" s="94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9"/>
      <c r="L218" s="140"/>
      <c r="N218" s="138"/>
      <c r="O218" s="141"/>
      <c r="S218" s="94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L219" s="140"/>
      <c r="N219" s="138"/>
      <c r="O219" s="141"/>
      <c r="S219" s="94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9"/>
      <c r="L220" s="140"/>
      <c r="N220" s="138"/>
      <c r="O220" s="141"/>
      <c r="S220" s="94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9"/>
      <c r="L221" s="140"/>
      <c r="N221" s="138"/>
      <c r="O221" s="141"/>
      <c r="S221" s="94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9"/>
      <c r="L222" s="140"/>
      <c r="N222" s="138"/>
      <c r="O222" s="141"/>
      <c r="S222" s="94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9"/>
      <c r="L223" s="140"/>
      <c r="N223" s="138"/>
      <c r="O223" s="141"/>
      <c r="S223" s="94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9"/>
      <c r="L224" s="140"/>
      <c r="N224" s="138"/>
      <c r="O224" s="141"/>
      <c r="S224" s="94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L225" s="140"/>
      <c r="N225" s="138"/>
      <c r="O225" s="141"/>
      <c r="S225" s="94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L226" s="140"/>
      <c r="N226" s="138"/>
      <c r="O226" s="141"/>
      <c r="S226" s="94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9"/>
      <c r="L227" s="140"/>
      <c r="N227" s="138"/>
      <c r="O227" s="141"/>
      <c r="S227" s="94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9"/>
      <c r="L228" s="140"/>
      <c r="N228" s="138"/>
      <c r="O228" s="141"/>
      <c r="S228" s="94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9"/>
      <c r="L229" s="140"/>
      <c r="N229" s="138"/>
      <c r="O229" s="141"/>
      <c r="S229" s="94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9"/>
      <c r="L230" s="140"/>
      <c r="N230" s="138"/>
      <c r="O230" s="141"/>
      <c r="S230" s="94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9"/>
      <c r="L231" s="140"/>
      <c r="N231" s="138"/>
      <c r="O231" s="141"/>
      <c r="S231" s="94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9"/>
      <c r="L232" s="140"/>
      <c r="N232" s="138"/>
      <c r="O232" s="141"/>
      <c r="S232" s="94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9"/>
      <c r="L233" s="140"/>
      <c r="N233" s="138"/>
      <c r="O233" s="141"/>
      <c r="S233" s="94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9"/>
      <c r="L234" s="140"/>
      <c r="N234" s="138"/>
      <c r="O234" s="141"/>
      <c r="S234" s="94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9"/>
      <c r="L235" s="140"/>
      <c r="N235" s="138"/>
      <c r="O235" s="141"/>
      <c r="S235" s="94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9"/>
      <c r="L236" s="140"/>
      <c r="N236" s="138"/>
      <c r="O236" s="141"/>
      <c r="S236" s="94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9"/>
      <c r="L237" s="140"/>
      <c r="N237" s="138"/>
      <c r="O237" s="141"/>
      <c r="S237" s="94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9"/>
      <c r="L238" s="140"/>
      <c r="N238" s="138"/>
      <c r="O238" s="141"/>
      <c r="S238" s="94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9"/>
      <c r="L239" s="140"/>
      <c r="N239" s="138"/>
      <c r="O239" s="141"/>
      <c r="S239" s="94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9"/>
      <c r="L240" s="140"/>
      <c r="N240" s="138"/>
      <c r="O240" s="141"/>
      <c r="S240" s="94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9"/>
      <c r="L241" s="140"/>
      <c r="N241" s="138"/>
      <c r="O241" s="141"/>
      <c r="S241" s="94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9"/>
      <c r="L242" s="140"/>
      <c r="N242" s="138"/>
      <c r="O242" s="141"/>
      <c r="S242" s="94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9"/>
      <c r="L243" s="140"/>
      <c r="N243" s="138"/>
      <c r="O243" s="141"/>
      <c r="S243" s="94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9"/>
      <c r="L244" s="140"/>
      <c r="N244" s="138"/>
      <c r="O244" s="141"/>
      <c r="S244" s="94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9"/>
      <c r="L245" s="140"/>
      <c r="N245" s="138"/>
      <c r="O245" s="141"/>
      <c r="S245" s="94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9"/>
      <c r="L246" s="140"/>
      <c r="N246" s="138"/>
      <c r="O246" s="141"/>
      <c r="S246" s="94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9"/>
      <c r="L247" s="140"/>
      <c r="N247" s="138"/>
      <c r="O247" s="141"/>
      <c r="S247" s="94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9"/>
      <c r="L248" s="140"/>
      <c r="N248" s="138"/>
      <c r="O248" s="141"/>
      <c r="S248" s="94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9"/>
      <c r="L249" s="140"/>
      <c r="N249" s="138"/>
      <c r="O249" s="141"/>
      <c r="S249" s="94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9"/>
      <c r="L250" s="140"/>
      <c r="N250" s="138"/>
      <c r="O250" s="141"/>
      <c r="S250" s="94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9"/>
      <c r="L251" s="140"/>
      <c r="N251" s="138"/>
      <c r="O251" s="141"/>
      <c r="S251" s="94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9"/>
      <c r="L252" s="140"/>
      <c r="N252" s="138"/>
      <c r="O252" s="141"/>
      <c r="S252" s="94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9"/>
      <c r="L253" s="140"/>
      <c r="N253" s="138"/>
      <c r="O253" s="141"/>
      <c r="S253" s="94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9"/>
      <c r="L254" s="140"/>
      <c r="N254" s="138"/>
      <c r="O254" s="141"/>
      <c r="S254" s="94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9"/>
      <c r="L255" s="140"/>
      <c r="N255" s="138"/>
      <c r="O255" s="141"/>
      <c r="S255" s="94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L256" s="140"/>
      <c r="N256" s="138"/>
      <c r="O256" s="141"/>
      <c r="S256" s="94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9"/>
      <c r="L257" s="140"/>
      <c r="N257" s="138"/>
      <c r="O257" s="141"/>
      <c r="S257" s="94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9"/>
      <c r="L258" s="140"/>
      <c r="N258" s="138"/>
      <c r="O258" s="141"/>
      <c r="S258" s="94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9"/>
      <c r="L259" s="140"/>
      <c r="N259" s="138"/>
      <c r="O259" s="141"/>
      <c r="S259" s="94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9"/>
      <c r="L260" s="140"/>
      <c r="N260" s="138"/>
      <c r="O260" s="141"/>
      <c r="S260" s="94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9"/>
      <c r="L261" s="140"/>
      <c r="N261" s="138"/>
      <c r="O261" s="141"/>
      <c r="S261" s="94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L262" s="140"/>
      <c r="N262" s="138"/>
      <c r="O262" s="141"/>
      <c r="S262" s="94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9"/>
      <c r="L263" s="140"/>
      <c r="N263" s="138"/>
      <c r="O263" s="141"/>
      <c r="S263" s="94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9"/>
      <c r="L264" s="140"/>
      <c r="N264" s="138"/>
      <c r="O264" s="141"/>
      <c r="S264" s="94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9"/>
      <c r="L265" s="140"/>
      <c r="N265" s="138"/>
      <c r="O265" s="141"/>
      <c r="S265" s="94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9"/>
      <c r="L266" s="140"/>
      <c r="N266" s="138"/>
      <c r="O266" s="141"/>
      <c r="S266" s="94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9"/>
      <c r="L267" s="140"/>
      <c r="N267" s="138"/>
      <c r="O267" s="141"/>
      <c r="S267" s="94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9"/>
      <c r="L268" s="140"/>
      <c r="N268" s="138"/>
      <c r="O268" s="141"/>
      <c r="S268" s="94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9"/>
      <c r="L269" s="140"/>
      <c r="N269" s="138"/>
      <c r="O269" s="141"/>
      <c r="S269" s="94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9"/>
      <c r="L270" s="140"/>
      <c r="N270" s="138"/>
      <c r="O270" s="141"/>
      <c r="S270" s="94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9"/>
      <c r="L271" s="140"/>
      <c r="N271" s="138"/>
      <c r="O271" s="141"/>
      <c r="S271" s="94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9"/>
      <c r="L272" s="140"/>
      <c r="N272" s="138"/>
      <c r="O272" s="141"/>
      <c r="S272" s="94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9"/>
      <c r="L273" s="140"/>
      <c r="N273" s="138"/>
      <c r="O273" s="141"/>
      <c r="S273" s="94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9"/>
      <c r="L274" s="140"/>
      <c r="N274" s="138"/>
      <c r="O274" s="141"/>
      <c r="S274" s="94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9"/>
      <c r="L275" s="140"/>
      <c r="N275" s="138"/>
      <c r="O275" s="141"/>
      <c r="S275" s="94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9"/>
      <c r="L276" s="140"/>
      <c r="N276" s="138"/>
      <c r="O276" s="141"/>
      <c r="S276" s="94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9"/>
      <c r="L277" s="140"/>
      <c r="N277" s="138"/>
      <c r="O277" s="141"/>
      <c r="S277" s="94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9"/>
      <c r="L278" s="140"/>
      <c r="N278" s="138"/>
      <c r="O278" s="141"/>
      <c r="S278" s="94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9"/>
      <c r="L279" s="140"/>
      <c r="N279" s="138"/>
      <c r="O279" s="141"/>
      <c r="S279" s="94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9"/>
      <c r="L280" s="140"/>
      <c r="N280" s="138"/>
      <c r="O280" s="141"/>
      <c r="S280" s="94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9"/>
      <c r="L281" s="140"/>
      <c r="N281" s="138"/>
      <c r="O281" s="141"/>
      <c r="S281" s="94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9"/>
      <c r="L282" s="140"/>
      <c r="N282" s="138"/>
      <c r="O282" s="141"/>
      <c r="S282" s="94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9"/>
      <c r="L283" s="140"/>
      <c r="N283" s="138"/>
      <c r="O283" s="141"/>
      <c r="S283" s="94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9"/>
      <c r="L284" s="140"/>
      <c r="N284" s="138"/>
      <c r="O284" s="141"/>
      <c r="S284" s="94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9"/>
      <c r="L285" s="140"/>
      <c r="N285" s="138"/>
      <c r="O285" s="141"/>
      <c r="S285" s="94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9"/>
      <c r="L286" s="140"/>
      <c r="N286" s="138"/>
      <c r="O286" s="141"/>
      <c r="S286" s="94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9"/>
      <c r="L287" s="140"/>
      <c r="N287" s="138"/>
      <c r="O287" s="141"/>
      <c r="S287" s="94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9"/>
      <c r="L288" s="140"/>
      <c r="N288" s="138"/>
      <c r="O288" s="141"/>
      <c r="S288" s="94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9"/>
      <c r="L289" s="140"/>
      <c r="N289" s="138"/>
      <c r="O289" s="141"/>
      <c r="S289" s="94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9"/>
      <c r="L290" s="140"/>
      <c r="N290" s="138"/>
      <c r="O290" s="141"/>
      <c r="S290" s="94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9"/>
      <c r="L291" s="140"/>
      <c r="N291" s="138"/>
      <c r="O291" s="141"/>
      <c r="S291" s="94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9"/>
      <c r="L292" s="140"/>
      <c r="N292" s="138"/>
      <c r="O292" s="141"/>
      <c r="S292" s="94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L293" s="140"/>
      <c r="N293" s="138"/>
      <c r="O293" s="141"/>
      <c r="S293" s="94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9"/>
      <c r="L294" s="140"/>
      <c r="N294" s="138"/>
      <c r="O294" s="141"/>
      <c r="S294" s="94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9"/>
      <c r="L295" s="140"/>
      <c r="N295" s="138"/>
      <c r="O295" s="141"/>
      <c r="S295" s="94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9"/>
      <c r="L296" s="140"/>
      <c r="N296" s="138"/>
      <c r="O296" s="141"/>
      <c r="S296" s="94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9"/>
      <c r="L297" s="140"/>
      <c r="N297" s="138"/>
      <c r="O297" s="141"/>
      <c r="S297" s="94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9"/>
      <c r="L298" s="140"/>
      <c r="N298" s="138"/>
      <c r="O298" s="141"/>
      <c r="S298" s="94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L299" s="140"/>
      <c r="N299" s="138"/>
      <c r="O299" s="141"/>
      <c r="S299" s="94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9"/>
      <c r="L300" s="140"/>
      <c r="N300" s="138"/>
      <c r="O300" s="141"/>
      <c r="S300" s="94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9"/>
      <c r="L301" s="140"/>
      <c r="N301" s="138"/>
      <c r="O301" s="141"/>
      <c r="S301" s="94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9"/>
      <c r="L302" s="140"/>
      <c r="N302" s="138"/>
      <c r="O302" s="141"/>
      <c r="S302" s="94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9"/>
      <c r="L303" s="140"/>
      <c r="N303" s="138"/>
      <c r="O303" s="141"/>
      <c r="S303" s="94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9"/>
      <c r="L304" s="140"/>
      <c r="N304" s="138"/>
      <c r="O304" s="141"/>
      <c r="S304" s="94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9"/>
      <c r="L305" s="140"/>
      <c r="N305" s="138"/>
      <c r="O305" s="141"/>
      <c r="S305" s="94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9"/>
      <c r="L306" s="140"/>
      <c r="N306" s="138"/>
      <c r="O306" s="141"/>
      <c r="S306" s="94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9"/>
      <c r="L307" s="140"/>
      <c r="N307" s="138"/>
      <c r="O307" s="141"/>
      <c r="S307" s="94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9"/>
      <c r="L308" s="140"/>
      <c r="N308" s="138"/>
      <c r="O308" s="141"/>
      <c r="S308" s="94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9"/>
      <c r="L309" s="140"/>
      <c r="N309" s="138"/>
      <c r="O309" s="141"/>
      <c r="S309" s="94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9"/>
      <c r="L310" s="140"/>
      <c r="N310" s="138"/>
      <c r="O310" s="141"/>
      <c r="S310" s="94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9"/>
      <c r="L311" s="140"/>
      <c r="N311" s="138"/>
      <c r="O311" s="141"/>
      <c r="S311" s="94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9"/>
      <c r="L312" s="140"/>
      <c r="N312" s="138"/>
      <c r="O312" s="141"/>
      <c r="S312" s="94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9"/>
      <c r="L313" s="140"/>
      <c r="N313" s="138"/>
      <c r="O313" s="141"/>
      <c r="S313" s="94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9"/>
      <c r="L314" s="140"/>
      <c r="N314" s="138"/>
      <c r="O314" s="141"/>
      <c r="S314" s="94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9"/>
      <c r="L315" s="140"/>
      <c r="N315" s="138"/>
      <c r="O315" s="141"/>
      <c r="S315" s="94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9"/>
      <c r="L316" s="140"/>
      <c r="N316" s="138"/>
      <c r="O316" s="141"/>
      <c r="S316" s="94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9"/>
      <c r="L317" s="140"/>
      <c r="N317" s="138"/>
      <c r="O317" s="141"/>
      <c r="S317" s="94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9"/>
      <c r="L318" s="140"/>
      <c r="N318" s="138"/>
      <c r="O318" s="141"/>
      <c r="S318" s="94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9"/>
      <c r="L319" s="140"/>
      <c r="N319" s="138"/>
      <c r="O319" s="141"/>
      <c r="S319" s="94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9"/>
      <c r="L320" s="140"/>
      <c r="N320" s="138"/>
      <c r="O320" s="141"/>
      <c r="S320" s="94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9"/>
      <c r="L321" s="140"/>
      <c r="N321" s="138"/>
      <c r="O321" s="141"/>
      <c r="S321" s="94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9"/>
      <c r="L322" s="140"/>
      <c r="N322" s="138"/>
      <c r="O322" s="141"/>
      <c r="S322" s="94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9"/>
      <c r="L323" s="140"/>
      <c r="N323" s="138"/>
      <c r="O323" s="141"/>
      <c r="S323" s="94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9"/>
      <c r="L324" s="140"/>
      <c r="N324" s="138"/>
      <c r="O324" s="141"/>
      <c r="S324" s="94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9"/>
      <c r="L325" s="140"/>
      <c r="N325" s="138"/>
      <c r="O325" s="141"/>
      <c r="S325" s="94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9"/>
      <c r="L326" s="140"/>
      <c r="N326" s="138"/>
      <c r="O326" s="141"/>
      <c r="S326" s="94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9"/>
      <c r="L327" s="140"/>
      <c r="N327" s="138"/>
      <c r="O327" s="141"/>
      <c r="S327" s="94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9"/>
      <c r="L328" s="140"/>
      <c r="N328" s="138"/>
      <c r="O328" s="141"/>
      <c r="S328" s="94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9"/>
      <c r="L329" s="140"/>
      <c r="N329" s="138"/>
      <c r="O329" s="141"/>
      <c r="S329" s="94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L330" s="140"/>
      <c r="N330" s="138"/>
      <c r="O330" s="141"/>
      <c r="S330" s="94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9"/>
      <c r="L331" s="140"/>
      <c r="N331" s="138"/>
      <c r="O331" s="141"/>
      <c r="S331" s="94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9"/>
      <c r="L332" s="140"/>
      <c r="N332" s="138"/>
      <c r="O332" s="141"/>
      <c r="S332" s="94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9"/>
      <c r="L333" s="140"/>
      <c r="N333" s="138"/>
      <c r="O333" s="141"/>
      <c r="S333" s="94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9"/>
      <c r="L334" s="140"/>
      <c r="N334" s="138"/>
      <c r="O334" s="141"/>
      <c r="S334" s="94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9"/>
      <c r="L335" s="140"/>
      <c r="N335" s="138"/>
      <c r="O335" s="141"/>
      <c r="S335" s="94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L336" s="140"/>
      <c r="N336" s="138"/>
      <c r="O336" s="141"/>
      <c r="S336" s="94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9"/>
      <c r="L337" s="140"/>
      <c r="N337" s="138"/>
      <c r="O337" s="141"/>
      <c r="S337" s="94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9"/>
      <c r="L338" s="140"/>
      <c r="N338" s="138"/>
      <c r="O338" s="141"/>
      <c r="S338" s="94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9"/>
      <c r="L339" s="140"/>
      <c r="N339" s="138"/>
      <c r="O339" s="141"/>
      <c r="S339" s="94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9"/>
      <c r="L340" s="140"/>
      <c r="N340" s="138"/>
      <c r="O340" s="141"/>
      <c r="S340" s="94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9"/>
      <c r="L341" s="140"/>
      <c r="N341" s="138"/>
      <c r="O341" s="141"/>
      <c r="S341" s="94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9"/>
      <c r="L342" s="140"/>
      <c r="N342" s="138"/>
      <c r="O342" s="141"/>
      <c r="S342" s="94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9"/>
      <c r="L343" s="140"/>
      <c r="N343" s="138"/>
      <c r="O343" s="141"/>
      <c r="S343" s="94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9"/>
      <c r="L344" s="140"/>
      <c r="N344" s="138"/>
      <c r="O344" s="141"/>
      <c r="S344" s="94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9"/>
      <c r="L345" s="140"/>
      <c r="N345" s="138"/>
      <c r="O345" s="141"/>
      <c r="S345" s="94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9"/>
      <c r="L346" s="140"/>
      <c r="N346" s="138"/>
      <c r="O346" s="141"/>
      <c r="S346" s="94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9"/>
      <c r="L347" s="140"/>
      <c r="N347" s="138"/>
      <c r="O347" s="141"/>
      <c r="S347" s="94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9"/>
      <c r="L348" s="140"/>
      <c r="N348" s="138"/>
      <c r="O348" s="141"/>
      <c r="S348" s="94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9"/>
      <c r="L349" s="140"/>
      <c r="N349" s="138"/>
      <c r="O349" s="141"/>
      <c r="S349" s="94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9"/>
      <c r="L350" s="140"/>
      <c r="N350" s="138"/>
      <c r="O350" s="141"/>
      <c r="S350" s="94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9"/>
      <c r="L351" s="140"/>
      <c r="N351" s="138"/>
      <c r="O351" s="141"/>
      <c r="S351" s="94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9"/>
      <c r="L352" s="140"/>
      <c r="N352" s="138"/>
      <c r="O352" s="141"/>
      <c r="S352" s="94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9"/>
      <c r="L353" s="140"/>
      <c r="N353" s="138"/>
      <c r="O353" s="141"/>
      <c r="S353" s="94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9"/>
      <c r="L354" s="140"/>
      <c r="N354" s="138"/>
      <c r="O354" s="141"/>
      <c r="S354" s="94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9"/>
      <c r="L355" s="140"/>
      <c r="N355" s="138"/>
      <c r="O355" s="141"/>
      <c r="S355" s="94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9"/>
      <c r="L356" s="140"/>
      <c r="N356" s="138"/>
      <c r="O356" s="141"/>
      <c r="S356" s="94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9"/>
      <c r="L357" s="140"/>
      <c r="N357" s="138"/>
      <c r="O357" s="141"/>
      <c r="S357" s="94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9"/>
      <c r="L358" s="140"/>
      <c r="N358" s="138"/>
      <c r="O358" s="141"/>
      <c r="S358" s="94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9"/>
      <c r="L359" s="140"/>
      <c r="N359" s="138"/>
      <c r="O359" s="141"/>
      <c r="S359" s="94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9"/>
      <c r="L360" s="140"/>
      <c r="N360" s="138"/>
      <c r="O360" s="141"/>
      <c r="S360" s="94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9"/>
      <c r="L361" s="140"/>
      <c r="N361" s="138"/>
      <c r="O361" s="141"/>
      <c r="S361" s="94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9"/>
      <c r="L362" s="140"/>
      <c r="N362" s="138"/>
      <c r="O362" s="141"/>
      <c r="S362" s="94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9"/>
      <c r="L363" s="140"/>
      <c r="N363" s="138"/>
      <c r="O363" s="141"/>
      <c r="S363" s="94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9"/>
      <c r="L364" s="140"/>
      <c r="N364" s="138"/>
      <c r="O364" s="141"/>
      <c r="S364" s="94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9"/>
      <c r="L365" s="140"/>
      <c r="N365" s="138"/>
      <c r="O365" s="141"/>
      <c r="S365" s="94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9"/>
      <c r="L366" s="140"/>
      <c r="N366" s="138"/>
      <c r="O366" s="141"/>
      <c r="S366" s="94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L367" s="140"/>
      <c r="N367" s="138"/>
      <c r="O367" s="141"/>
      <c r="S367" s="94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9"/>
      <c r="L368" s="140"/>
      <c r="N368" s="138"/>
      <c r="O368" s="141"/>
      <c r="S368" s="94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9"/>
      <c r="L369" s="140"/>
      <c r="N369" s="138"/>
      <c r="O369" s="141"/>
      <c r="S369" s="94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9"/>
      <c r="L370" s="140"/>
      <c r="N370" s="138"/>
      <c r="O370" s="141"/>
      <c r="S370" s="94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9"/>
      <c r="L371" s="140"/>
      <c r="N371" s="138"/>
      <c r="O371" s="141"/>
      <c r="S371" s="94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9"/>
      <c r="L372" s="140"/>
      <c r="N372" s="138"/>
      <c r="O372" s="141"/>
      <c r="S372" s="94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L373" s="140"/>
      <c r="N373" s="138"/>
      <c r="O373" s="141"/>
      <c r="S373" s="94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9"/>
      <c r="L374" s="140"/>
      <c r="N374" s="138"/>
      <c r="O374" s="141"/>
      <c r="S374" s="94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9"/>
      <c r="L375" s="140"/>
      <c r="N375" s="138"/>
      <c r="O375" s="141"/>
      <c r="S375" s="94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9"/>
      <c r="L376" s="140"/>
      <c r="N376" s="138"/>
      <c r="O376" s="141"/>
      <c r="S376" s="94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9"/>
      <c r="L377" s="140"/>
      <c r="N377" s="138"/>
      <c r="O377" s="141"/>
      <c r="S377" s="94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9"/>
      <c r="L378" s="140"/>
      <c r="N378" s="138"/>
      <c r="O378" s="141"/>
      <c r="S378" s="94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9"/>
      <c r="L379" s="140"/>
      <c r="N379" s="138"/>
      <c r="O379" s="141"/>
      <c r="S379" s="94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9"/>
      <c r="L380" s="140"/>
      <c r="N380" s="138"/>
      <c r="O380" s="141"/>
      <c r="S380" s="94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9"/>
      <c r="L381" s="140"/>
      <c r="N381" s="138"/>
      <c r="O381" s="141"/>
      <c r="S381" s="94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9"/>
      <c r="L382" s="140"/>
      <c r="N382" s="138"/>
      <c r="O382" s="141"/>
      <c r="S382" s="94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9"/>
      <c r="L383" s="140"/>
      <c r="N383" s="138"/>
      <c r="O383" s="141"/>
      <c r="S383" s="94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9"/>
      <c r="L384" s="140"/>
      <c r="N384" s="138"/>
      <c r="O384" s="141"/>
      <c r="S384" s="94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9"/>
      <c r="L385" s="140"/>
      <c r="N385" s="138"/>
      <c r="O385" s="141"/>
      <c r="S385" s="94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9"/>
      <c r="L386" s="140"/>
      <c r="N386" s="138"/>
      <c r="O386" s="141"/>
      <c r="S386" s="94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9"/>
      <c r="L387" s="140"/>
      <c r="N387" s="138"/>
      <c r="O387" s="141"/>
      <c r="S387" s="94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9"/>
      <c r="L388" s="140"/>
      <c r="N388" s="138"/>
      <c r="O388" s="141"/>
      <c r="S388" s="94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9"/>
      <c r="L389" s="140"/>
      <c r="N389" s="138"/>
      <c r="O389" s="141"/>
      <c r="S389" s="94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9"/>
      <c r="L390" s="140"/>
      <c r="N390" s="138"/>
      <c r="O390" s="141"/>
      <c r="S390" s="94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9"/>
      <c r="L391" s="140"/>
      <c r="N391" s="138"/>
      <c r="O391" s="141"/>
      <c r="S391" s="94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9"/>
      <c r="L392" s="140"/>
      <c r="N392" s="138"/>
      <c r="O392" s="141"/>
      <c r="S392" s="94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9"/>
      <c r="L393" s="140"/>
      <c r="N393" s="138"/>
      <c r="O393" s="141"/>
      <c r="S393" s="94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9"/>
      <c r="L394" s="140"/>
      <c r="N394" s="138"/>
      <c r="O394" s="141"/>
      <c r="S394" s="94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9"/>
      <c r="L395" s="140"/>
      <c r="N395" s="138"/>
      <c r="O395" s="141"/>
      <c r="S395" s="94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9"/>
      <c r="L396" s="140"/>
      <c r="N396" s="138"/>
      <c r="O396" s="141"/>
      <c r="S396" s="94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9"/>
      <c r="L397" s="140"/>
      <c r="N397" s="138"/>
      <c r="O397" s="141"/>
      <c r="S397" s="94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9"/>
      <c r="L398" s="140"/>
      <c r="N398" s="138"/>
      <c r="O398" s="141"/>
      <c r="S398" s="94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9"/>
      <c r="L399" s="140"/>
      <c r="N399" s="138"/>
      <c r="O399" s="141"/>
      <c r="S399" s="94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9"/>
      <c r="L400" s="140"/>
      <c r="N400" s="138"/>
      <c r="O400" s="141"/>
      <c r="S400" s="94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9"/>
      <c r="L401" s="140"/>
      <c r="N401" s="138"/>
      <c r="O401" s="141"/>
      <c r="S401" s="94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9"/>
      <c r="L402" s="140"/>
      <c r="N402" s="138"/>
      <c r="O402" s="141"/>
      <c r="S402" s="94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9"/>
      <c r="L403" s="140"/>
      <c r="N403" s="138"/>
      <c r="O403" s="141"/>
      <c r="S403" s="94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L404" s="140"/>
      <c r="N404" s="138"/>
      <c r="O404" s="141"/>
      <c r="S404" s="94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9"/>
      <c r="L405" s="140"/>
      <c r="N405" s="138"/>
      <c r="O405" s="141"/>
      <c r="S405" s="94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9"/>
      <c r="L406" s="140"/>
      <c r="N406" s="138"/>
      <c r="O406" s="141"/>
      <c r="S406" s="94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9"/>
      <c r="L407" s="140"/>
      <c r="N407" s="138"/>
      <c r="O407" s="141"/>
      <c r="S407" s="94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9"/>
      <c r="L408" s="140"/>
      <c r="N408" s="138"/>
      <c r="O408" s="141"/>
      <c r="S408" s="94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9"/>
      <c r="L409" s="140"/>
      <c r="N409" s="138"/>
      <c r="O409" s="141"/>
      <c r="S409" s="94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L410" s="140"/>
      <c r="N410" s="138"/>
      <c r="O410" s="141"/>
      <c r="S410" s="94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9"/>
      <c r="L411" s="140"/>
      <c r="N411" s="138"/>
      <c r="O411" s="141"/>
      <c r="S411" s="94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9"/>
      <c r="L412" s="140"/>
      <c r="N412" s="138"/>
      <c r="O412" s="141"/>
      <c r="S412" s="94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9"/>
      <c r="L413" s="140"/>
      <c r="N413" s="138"/>
      <c r="O413" s="141"/>
      <c r="S413" s="94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9"/>
      <c r="L414" s="140"/>
      <c r="N414" s="138"/>
      <c r="O414" s="141"/>
      <c r="S414" s="94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9"/>
      <c r="L415" s="140"/>
      <c r="N415" s="138"/>
      <c r="O415" s="141"/>
      <c r="S415" s="94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9"/>
      <c r="L416" s="140"/>
      <c r="N416" s="138"/>
      <c r="O416" s="141"/>
      <c r="S416" s="94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9"/>
      <c r="L417" s="140"/>
      <c r="N417" s="138"/>
      <c r="O417" s="141"/>
      <c r="S417" s="94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9"/>
      <c r="L418" s="140"/>
      <c r="N418" s="138"/>
      <c r="O418" s="141"/>
      <c r="S418" s="94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9"/>
      <c r="L419" s="140"/>
      <c r="N419" s="138"/>
      <c r="O419" s="141"/>
      <c r="S419" s="94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9"/>
      <c r="L420" s="140"/>
      <c r="N420" s="138"/>
      <c r="O420" s="141"/>
      <c r="S420" s="94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9"/>
      <c r="L421" s="140"/>
      <c r="N421" s="138"/>
      <c r="O421" s="141"/>
      <c r="S421" s="94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9"/>
      <c r="L422" s="140"/>
      <c r="N422" s="138"/>
      <c r="O422" s="141"/>
      <c r="S422" s="94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9"/>
      <c r="L423" s="140"/>
      <c r="N423" s="138"/>
      <c r="O423" s="141"/>
      <c r="S423" s="94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9"/>
      <c r="L424" s="140"/>
      <c r="N424" s="138"/>
      <c r="O424" s="141"/>
      <c r="S424" s="94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9"/>
      <c r="L425" s="140"/>
      <c r="N425" s="138"/>
      <c r="O425" s="141"/>
      <c r="S425" s="94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9"/>
      <c r="L426" s="140"/>
      <c r="N426" s="138"/>
      <c r="O426" s="141"/>
      <c r="S426" s="94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9"/>
      <c r="L427" s="140"/>
      <c r="N427" s="138"/>
      <c r="O427" s="141"/>
      <c r="S427" s="94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9"/>
      <c r="L428" s="140"/>
      <c r="N428" s="138"/>
      <c r="O428" s="141"/>
      <c r="S428" s="94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9"/>
      <c r="L429" s="140"/>
      <c r="N429" s="138"/>
      <c r="O429" s="141"/>
      <c r="S429" s="94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9"/>
      <c r="L430" s="140"/>
      <c r="N430" s="138"/>
      <c r="O430" s="141"/>
      <c r="S430" s="94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9"/>
      <c r="L431" s="140"/>
      <c r="N431" s="138"/>
      <c r="O431" s="141"/>
      <c r="S431" s="94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9"/>
      <c r="L432" s="140"/>
      <c r="N432" s="138"/>
      <c r="O432" s="141"/>
      <c r="S432" s="94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9"/>
      <c r="L433" s="140"/>
      <c r="N433" s="138"/>
      <c r="O433" s="141"/>
      <c r="S433" s="94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9"/>
      <c r="L434" s="140"/>
      <c r="N434" s="138"/>
      <c r="O434" s="141"/>
      <c r="S434" s="94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9"/>
      <c r="L435" s="140"/>
      <c r="N435" s="138"/>
      <c r="O435" s="141"/>
      <c r="S435" s="94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9"/>
      <c r="L436" s="140"/>
      <c r="N436" s="138"/>
      <c r="O436" s="141"/>
      <c r="S436" s="94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9"/>
      <c r="L437" s="140"/>
      <c r="N437" s="138"/>
      <c r="O437" s="141"/>
      <c r="S437" s="94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9"/>
      <c r="L438" s="140"/>
      <c r="N438" s="138"/>
      <c r="O438" s="141"/>
      <c r="S438" s="94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9"/>
      <c r="L439" s="140"/>
      <c r="N439" s="138"/>
      <c r="O439" s="141"/>
      <c r="S439" s="94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9"/>
      <c r="L440" s="140"/>
      <c r="N440" s="138"/>
      <c r="O440" s="141"/>
      <c r="S440" s="94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L441" s="140"/>
      <c r="N441" s="138"/>
      <c r="O441" s="141"/>
      <c r="S441" s="94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9"/>
      <c r="L442" s="140"/>
      <c r="N442" s="138"/>
      <c r="O442" s="141"/>
      <c r="S442" s="94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9"/>
      <c r="L443" s="140"/>
      <c r="N443" s="138"/>
      <c r="O443" s="141"/>
      <c r="S443" s="94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9"/>
      <c r="L444" s="140"/>
      <c r="N444" s="138"/>
      <c r="O444" s="141"/>
      <c r="S444" s="94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9"/>
      <c r="L445" s="140"/>
      <c r="N445" s="138"/>
      <c r="O445" s="141"/>
      <c r="S445" s="94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9"/>
      <c r="L446" s="140"/>
      <c r="N446" s="138"/>
      <c r="O446" s="141"/>
      <c r="S446" s="94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L447" s="140"/>
      <c r="N447" s="138"/>
      <c r="O447" s="141"/>
      <c r="S447" s="94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9"/>
      <c r="L448" s="140"/>
      <c r="N448" s="138"/>
      <c r="O448" s="141"/>
      <c r="S448" s="94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9"/>
      <c r="L449" s="140"/>
      <c r="N449" s="138"/>
      <c r="O449" s="141"/>
      <c r="S449" s="94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9"/>
      <c r="L450" s="140"/>
      <c r="N450" s="138"/>
      <c r="O450" s="141"/>
      <c r="S450" s="94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9"/>
      <c r="L451" s="140"/>
      <c r="N451" s="138"/>
      <c r="O451" s="141"/>
      <c r="S451" s="94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9"/>
      <c r="L452" s="140"/>
      <c r="N452" s="138"/>
      <c r="O452" s="141"/>
      <c r="S452" s="94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9"/>
      <c r="L453" s="140"/>
      <c r="N453" s="138"/>
      <c r="O453" s="141"/>
      <c r="S453" s="94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9"/>
      <c r="L454" s="140"/>
      <c r="N454" s="138"/>
      <c r="O454" s="141"/>
      <c r="S454" s="94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9"/>
      <c r="L455" s="140"/>
      <c r="N455" s="138"/>
      <c r="O455" s="141"/>
      <c r="S455" s="94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9"/>
      <c r="L456" s="140"/>
      <c r="N456" s="138"/>
      <c r="O456" s="141"/>
      <c r="S456" s="94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9"/>
      <c r="L457" s="140"/>
      <c r="N457" s="138"/>
      <c r="O457" s="141"/>
      <c r="S457" s="94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9"/>
      <c r="L458" s="140"/>
      <c r="N458" s="138"/>
      <c r="O458" s="141"/>
      <c r="S458" s="94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9"/>
      <c r="L459" s="140"/>
      <c r="N459" s="138"/>
      <c r="O459" s="141"/>
      <c r="S459" s="94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9"/>
      <c r="L460" s="140"/>
      <c r="N460" s="138"/>
      <c r="O460" s="141"/>
      <c r="S460" s="94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9"/>
      <c r="L461" s="140"/>
      <c r="N461" s="138"/>
      <c r="O461" s="141"/>
      <c r="S461" s="94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9"/>
      <c r="L462" s="140"/>
      <c r="N462" s="138"/>
      <c r="O462" s="141"/>
      <c r="S462" s="94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9"/>
      <c r="L463" s="140"/>
      <c r="N463" s="138"/>
      <c r="O463" s="141"/>
      <c r="S463" s="94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9"/>
      <c r="L464" s="140"/>
      <c r="N464" s="138"/>
      <c r="O464" s="141"/>
      <c r="S464" s="94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9"/>
      <c r="L465" s="140"/>
      <c r="N465" s="138"/>
      <c r="O465" s="141"/>
      <c r="S465" s="94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9"/>
      <c r="L466" s="140"/>
      <c r="N466" s="138"/>
      <c r="O466" s="141"/>
      <c r="S466" s="94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9"/>
      <c r="L467" s="140"/>
      <c r="N467" s="138"/>
      <c r="O467" s="141"/>
      <c r="S467" s="94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9"/>
      <c r="L468" s="140"/>
      <c r="N468" s="138"/>
      <c r="O468" s="141"/>
      <c r="S468" s="94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9"/>
      <c r="L469" s="140"/>
      <c r="N469" s="138"/>
      <c r="O469" s="141"/>
      <c r="S469" s="94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9"/>
      <c r="L470" s="140"/>
      <c r="N470" s="138"/>
      <c r="O470" s="141"/>
      <c r="S470" s="94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9"/>
      <c r="L471" s="140"/>
      <c r="N471" s="138"/>
      <c r="O471" s="141"/>
      <c r="S471" s="94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9"/>
      <c r="L472" s="140"/>
      <c r="N472" s="138"/>
      <c r="O472" s="141"/>
      <c r="S472" s="94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9"/>
      <c r="L473" s="140"/>
      <c r="N473" s="138"/>
      <c r="O473" s="141"/>
      <c r="S473" s="94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9"/>
      <c r="L474" s="140"/>
      <c r="N474" s="138"/>
      <c r="O474" s="141"/>
      <c r="S474" s="94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9"/>
      <c r="L475" s="140"/>
      <c r="N475" s="138"/>
      <c r="O475" s="141"/>
      <c r="S475" s="94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9"/>
      <c r="L476" s="140"/>
      <c r="N476" s="138"/>
      <c r="O476" s="141"/>
      <c r="S476" s="94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9"/>
      <c r="L477" s="140"/>
      <c r="N477" s="138"/>
      <c r="O477" s="141"/>
      <c r="S477" s="94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L478" s="140"/>
      <c r="N478" s="138"/>
      <c r="O478" s="141"/>
      <c r="S478" s="94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9"/>
      <c r="L479" s="140"/>
      <c r="N479" s="138"/>
      <c r="O479" s="141"/>
      <c r="S479" s="94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9"/>
      <c r="L480" s="140"/>
      <c r="N480" s="138"/>
      <c r="O480" s="141"/>
      <c r="S480" s="94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9"/>
      <c r="L481" s="140"/>
      <c r="N481" s="138"/>
      <c r="O481" s="141"/>
      <c r="S481" s="94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9"/>
      <c r="L482" s="140"/>
      <c r="N482" s="138"/>
      <c r="O482" s="141"/>
      <c r="S482" s="94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9"/>
      <c r="L483" s="140"/>
      <c r="N483" s="138"/>
      <c r="O483" s="141"/>
      <c r="S483" s="94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L484" s="140"/>
      <c r="N484" s="138"/>
      <c r="O484" s="141"/>
      <c r="S484" s="94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9"/>
      <c r="L485" s="140"/>
      <c r="N485" s="138"/>
      <c r="O485" s="141"/>
      <c r="S485" s="94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9"/>
      <c r="L486" s="140"/>
      <c r="N486" s="138"/>
      <c r="O486" s="141"/>
      <c r="S486" s="94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9"/>
      <c r="L487" s="140"/>
      <c r="N487" s="138"/>
      <c r="O487" s="141"/>
      <c r="S487" s="94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9"/>
      <c r="L488" s="140"/>
      <c r="N488" s="138"/>
      <c r="O488" s="141"/>
      <c r="S488" s="94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9"/>
      <c r="L489" s="140"/>
      <c r="N489" s="138"/>
      <c r="O489" s="141"/>
      <c r="S489" s="94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9"/>
      <c r="L490" s="140"/>
      <c r="N490" s="138"/>
      <c r="O490" s="141"/>
      <c r="S490" s="94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9"/>
      <c r="L491" s="140"/>
      <c r="N491" s="138"/>
      <c r="O491" s="141"/>
      <c r="S491" s="94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9"/>
      <c r="L492" s="140"/>
      <c r="N492" s="138"/>
      <c r="O492" s="141"/>
      <c r="S492" s="94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9"/>
      <c r="L493" s="140"/>
      <c r="N493" s="138"/>
      <c r="O493" s="141"/>
      <c r="S493" s="94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9"/>
      <c r="L494" s="140"/>
      <c r="N494" s="138"/>
      <c r="O494" s="141"/>
      <c r="S494" s="94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9"/>
      <c r="L495" s="140"/>
      <c r="N495" s="138"/>
      <c r="O495" s="141"/>
      <c r="S495" s="94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9"/>
      <c r="L496" s="140"/>
      <c r="N496" s="138"/>
      <c r="O496" s="141"/>
      <c r="S496" s="94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9"/>
      <c r="L497" s="140"/>
      <c r="N497" s="138"/>
      <c r="O497" s="141"/>
      <c r="S497" s="94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9"/>
      <c r="L498" s="140"/>
      <c r="N498" s="138"/>
      <c r="O498" s="141"/>
      <c r="S498" s="94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9"/>
      <c r="L499" s="140"/>
      <c r="N499" s="138"/>
      <c r="O499" s="141"/>
      <c r="S499" s="94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9"/>
      <c r="L500" s="140"/>
      <c r="N500" s="138"/>
      <c r="O500" s="141"/>
      <c r="S500" s="94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9"/>
      <c r="L501" s="140"/>
      <c r="N501" s="138"/>
      <c r="O501" s="141"/>
      <c r="S501" s="94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9"/>
      <c r="L502" s="140"/>
      <c r="N502" s="138"/>
      <c r="O502" s="141"/>
      <c r="S502" s="94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9"/>
      <c r="L503" s="140"/>
      <c r="N503" s="138"/>
      <c r="O503" s="141"/>
      <c r="S503" s="94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9"/>
      <c r="L504" s="140"/>
      <c r="N504" s="138"/>
      <c r="O504" s="141"/>
      <c r="S504" s="94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9"/>
      <c r="L505" s="140"/>
      <c r="N505" s="138"/>
      <c r="O505" s="141"/>
      <c r="S505" s="94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9"/>
      <c r="L506" s="140"/>
      <c r="N506" s="138"/>
      <c r="O506" s="141"/>
      <c r="S506" s="94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9"/>
      <c r="L507" s="140"/>
      <c r="N507" s="138"/>
      <c r="O507" s="141"/>
      <c r="S507" s="94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9"/>
      <c r="L508" s="140"/>
      <c r="N508" s="138"/>
      <c r="O508" s="141"/>
      <c r="S508" s="94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9"/>
      <c r="L509" s="140"/>
      <c r="N509" s="138"/>
      <c r="O509" s="141"/>
      <c r="S509" s="94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9"/>
      <c r="L510" s="140"/>
      <c r="N510" s="138"/>
      <c r="O510" s="141"/>
      <c r="S510" s="94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9"/>
      <c r="L511" s="140"/>
      <c r="N511" s="138"/>
      <c r="O511" s="141"/>
      <c r="S511" s="94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9"/>
      <c r="L512" s="140"/>
      <c r="N512" s="138"/>
      <c r="O512" s="141"/>
      <c r="S512" s="94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9"/>
      <c r="L513" s="140"/>
      <c r="N513" s="138"/>
      <c r="O513" s="141"/>
      <c r="S513" s="94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9"/>
      <c r="L514" s="140"/>
      <c r="N514" s="138"/>
      <c r="O514" s="141"/>
      <c r="S514" s="94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L515" s="140"/>
      <c r="N515" s="138"/>
      <c r="O515" s="141"/>
      <c r="S515" s="94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9"/>
      <c r="L516" s="140"/>
      <c r="N516" s="138"/>
      <c r="O516" s="141"/>
      <c r="S516" s="94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9"/>
      <c r="L517" s="140"/>
      <c r="N517" s="138"/>
      <c r="O517" s="141"/>
      <c r="S517" s="94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9"/>
      <c r="L518" s="140"/>
      <c r="N518" s="138"/>
      <c r="O518" s="141"/>
      <c r="S518" s="94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9"/>
      <c r="L519" s="140"/>
      <c r="N519" s="138"/>
      <c r="O519" s="141"/>
      <c r="S519" s="94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9"/>
      <c r="L520" s="140"/>
      <c r="N520" s="138"/>
      <c r="O520" s="141"/>
      <c r="S520" s="94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L521" s="140"/>
      <c r="N521" s="138"/>
      <c r="O521" s="141"/>
      <c r="S521" s="94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9"/>
      <c r="L522" s="140"/>
      <c r="N522" s="138"/>
      <c r="O522" s="141"/>
      <c r="S522" s="94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9"/>
      <c r="L523" s="140"/>
      <c r="N523" s="138"/>
      <c r="O523" s="141"/>
      <c r="S523" s="94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9"/>
      <c r="L524" s="140"/>
      <c r="N524" s="138"/>
      <c r="O524" s="141"/>
      <c r="S524" s="94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9"/>
      <c r="L525" s="140"/>
      <c r="N525" s="138"/>
      <c r="O525" s="141"/>
      <c r="S525" s="94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9"/>
      <c r="L526" s="140"/>
      <c r="N526" s="138"/>
      <c r="O526" s="141"/>
      <c r="S526" s="94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9"/>
      <c r="L527" s="140"/>
      <c r="N527" s="138"/>
      <c r="O527" s="141"/>
      <c r="S527" s="94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9"/>
      <c r="L528" s="140"/>
      <c r="N528" s="138"/>
      <c r="O528" s="141"/>
      <c r="S528" s="94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9"/>
      <c r="L529" s="140"/>
      <c r="N529" s="138"/>
      <c r="O529" s="141"/>
      <c r="S529" s="94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9"/>
      <c r="L530" s="140"/>
      <c r="N530" s="138"/>
      <c r="O530" s="141"/>
      <c r="S530" s="94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9"/>
      <c r="L531" s="140"/>
      <c r="N531" s="138"/>
      <c r="O531" s="141"/>
      <c r="S531" s="94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9"/>
      <c r="L532" s="140"/>
      <c r="N532" s="138"/>
      <c r="O532" s="141"/>
      <c r="S532" s="94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9"/>
      <c r="L533" s="140"/>
      <c r="N533" s="138"/>
      <c r="O533" s="141"/>
      <c r="S533" s="94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9"/>
      <c r="L534" s="140"/>
      <c r="N534" s="138"/>
      <c r="O534" s="141"/>
      <c r="S534" s="94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9"/>
      <c r="L535" s="140"/>
      <c r="N535" s="138"/>
      <c r="O535" s="141"/>
      <c r="S535" s="94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9"/>
      <c r="L536" s="140"/>
      <c r="N536" s="138"/>
      <c r="O536" s="141"/>
      <c r="S536" s="94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9"/>
      <c r="L537" s="140"/>
      <c r="N537" s="138"/>
      <c r="O537" s="141"/>
      <c r="S537" s="94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9"/>
      <c r="L538" s="140"/>
      <c r="N538" s="138"/>
      <c r="O538" s="141"/>
      <c r="S538" s="94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9"/>
      <c r="L539" s="140"/>
      <c r="N539" s="138"/>
      <c r="O539" s="141"/>
      <c r="S539" s="94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9"/>
      <c r="L540" s="140"/>
      <c r="N540" s="138"/>
      <c r="O540" s="141"/>
      <c r="S540" s="94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9"/>
      <c r="L541" s="140"/>
      <c r="N541" s="138"/>
      <c r="O541" s="141"/>
      <c r="S541" s="94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9"/>
      <c r="L542" s="140"/>
      <c r="N542" s="138"/>
      <c r="O542" s="141"/>
      <c r="S542" s="94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9"/>
      <c r="L543" s="140"/>
      <c r="N543" s="138"/>
      <c r="O543" s="141"/>
      <c r="S543" s="94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9"/>
      <c r="L544" s="140"/>
      <c r="N544" s="138"/>
      <c r="O544" s="141"/>
      <c r="S544" s="94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9"/>
      <c r="L545" s="140"/>
      <c r="N545" s="138"/>
      <c r="O545" s="141"/>
      <c r="S545" s="94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9"/>
      <c r="L546" s="140"/>
      <c r="N546" s="138"/>
      <c r="O546" s="141"/>
      <c r="S546" s="94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9"/>
      <c r="L547" s="140"/>
      <c r="N547" s="138"/>
      <c r="O547" s="141"/>
      <c r="S547" s="94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9"/>
      <c r="L548" s="140"/>
      <c r="N548" s="138"/>
      <c r="O548" s="141"/>
      <c r="S548" s="94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9"/>
      <c r="L549" s="140"/>
      <c r="N549" s="138"/>
      <c r="O549" s="141"/>
      <c r="S549" s="94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9"/>
      <c r="L550" s="140"/>
      <c r="N550" s="138"/>
      <c r="O550" s="141"/>
      <c r="S550" s="94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9"/>
      <c r="L551" s="140"/>
      <c r="N551" s="138"/>
      <c r="O551" s="141"/>
      <c r="S551" s="94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L552" s="140"/>
      <c r="N552" s="138"/>
      <c r="O552" s="141"/>
      <c r="S552" s="94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9"/>
      <c r="L553" s="140"/>
      <c r="N553" s="138"/>
      <c r="O553" s="141"/>
      <c r="S553" s="94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9"/>
      <c r="L554" s="140"/>
      <c r="N554" s="138"/>
      <c r="O554" s="141"/>
      <c r="S554" s="94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9"/>
      <c r="L555" s="140"/>
      <c r="N555" s="138"/>
      <c r="O555" s="141"/>
      <c r="S555" s="94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9"/>
      <c r="L556" s="140"/>
      <c r="N556" s="138"/>
      <c r="O556" s="141"/>
      <c r="S556" s="94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9"/>
      <c r="L557" s="140"/>
      <c r="N557" s="138"/>
      <c r="O557" s="141"/>
      <c r="S557" s="94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L558" s="140"/>
      <c r="N558" s="138"/>
      <c r="O558" s="141"/>
      <c r="S558" s="94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9"/>
      <c r="L559" s="140"/>
      <c r="N559" s="138"/>
      <c r="O559" s="141"/>
      <c r="S559" s="94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9"/>
      <c r="L560" s="140"/>
      <c r="N560" s="138"/>
      <c r="O560" s="141"/>
      <c r="S560" s="94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9"/>
      <c r="L561" s="140"/>
      <c r="N561" s="138"/>
      <c r="O561" s="141"/>
      <c r="S561" s="94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9"/>
      <c r="L562" s="140"/>
      <c r="N562" s="138"/>
      <c r="O562" s="141"/>
      <c r="S562" s="94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9"/>
      <c r="L563" s="140"/>
      <c r="N563" s="138"/>
      <c r="O563" s="141"/>
      <c r="S563" s="94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9"/>
      <c r="L564" s="140"/>
      <c r="N564" s="138"/>
      <c r="O564" s="141"/>
      <c r="S564" s="94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9"/>
      <c r="L565" s="140"/>
      <c r="N565" s="138"/>
      <c r="O565" s="141"/>
      <c r="S565" s="94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9"/>
      <c r="L566" s="140"/>
      <c r="N566" s="138"/>
      <c r="O566" s="141"/>
      <c r="S566" s="94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9"/>
      <c r="L567" s="140"/>
      <c r="N567" s="138"/>
      <c r="O567" s="141"/>
      <c r="S567" s="94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9"/>
      <c r="L568" s="140"/>
      <c r="N568" s="138"/>
      <c r="O568" s="141"/>
      <c r="S568" s="94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9"/>
      <c r="L569" s="140"/>
      <c r="N569" s="138"/>
      <c r="O569" s="141"/>
      <c r="S569" s="94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9"/>
      <c r="L570" s="140"/>
      <c r="N570" s="138"/>
      <c r="O570" s="141"/>
      <c r="S570" s="94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9"/>
      <c r="L571" s="140"/>
      <c r="N571" s="138"/>
      <c r="O571" s="141"/>
      <c r="S571" s="94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9"/>
      <c r="L572" s="140"/>
      <c r="N572" s="138"/>
      <c r="O572" s="141"/>
      <c r="S572" s="94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9"/>
      <c r="L573" s="140"/>
      <c r="N573" s="138"/>
      <c r="O573" s="141"/>
      <c r="S573" s="94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9"/>
      <c r="L574" s="140"/>
      <c r="N574" s="138"/>
      <c r="O574" s="141"/>
      <c r="S574" s="94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9"/>
      <c r="L575" s="140"/>
      <c r="N575" s="138"/>
      <c r="O575" s="141"/>
      <c r="S575" s="94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9"/>
      <c r="L576" s="140"/>
      <c r="N576" s="138"/>
      <c r="O576" s="141"/>
      <c r="S576" s="94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9"/>
      <c r="L577" s="140"/>
      <c r="N577" s="138"/>
      <c r="O577" s="141"/>
      <c r="S577" s="94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9"/>
      <c r="L578" s="140"/>
      <c r="N578" s="138"/>
      <c r="O578" s="141"/>
      <c r="S578" s="94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9"/>
      <c r="L579" s="140"/>
      <c r="N579" s="138"/>
      <c r="O579" s="141"/>
      <c r="S579" s="94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9"/>
      <c r="L580" s="140"/>
      <c r="N580" s="138"/>
      <c r="O580" s="141"/>
      <c r="S580" s="94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9"/>
      <c r="L581" s="140"/>
      <c r="N581" s="138"/>
      <c r="O581" s="141"/>
      <c r="S581" s="94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9"/>
      <c r="L582" s="140"/>
      <c r="N582" s="138"/>
      <c r="O582" s="141"/>
      <c r="S582" s="94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9"/>
      <c r="L583" s="140"/>
      <c r="N583" s="138"/>
      <c r="O583" s="141"/>
      <c r="S583" s="94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9"/>
      <c r="L584" s="140"/>
      <c r="N584" s="138"/>
      <c r="O584" s="141"/>
      <c r="S584" s="94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9"/>
      <c r="L585" s="140"/>
      <c r="N585" s="138"/>
      <c r="O585" s="141"/>
      <c r="S585" s="94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9"/>
      <c r="L586" s="140"/>
      <c r="N586" s="138"/>
      <c r="O586" s="141"/>
      <c r="S586" s="94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9"/>
      <c r="L587" s="140"/>
      <c r="N587" s="138"/>
      <c r="O587" s="141"/>
      <c r="S587" s="94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9"/>
      <c r="L588" s="140"/>
      <c r="N588" s="138"/>
      <c r="O588" s="141"/>
      <c r="S588" s="94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L589" s="140"/>
      <c r="N589" s="138"/>
      <c r="O589" s="141"/>
      <c r="S589" s="94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9"/>
      <c r="L590" s="140"/>
      <c r="N590" s="138"/>
      <c r="O590" s="141"/>
      <c r="S590" s="94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9"/>
      <c r="L591" s="140"/>
      <c r="N591" s="138"/>
      <c r="O591" s="141"/>
      <c r="S591" s="94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9"/>
      <c r="L592" s="140"/>
      <c r="N592" s="138"/>
      <c r="O592" s="141"/>
      <c r="S592" s="94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9"/>
      <c r="L593" s="140"/>
      <c r="N593" s="138"/>
      <c r="O593" s="141"/>
      <c r="S593" s="94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9"/>
      <c r="L594" s="140"/>
      <c r="N594" s="138"/>
      <c r="O594" s="141"/>
      <c r="S594" s="94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L595" s="140"/>
      <c r="N595" s="138"/>
      <c r="O595" s="141"/>
      <c r="S595" s="94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9"/>
      <c r="L596" s="140"/>
      <c r="N596" s="138"/>
      <c r="O596" s="141"/>
      <c r="S596" s="94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9"/>
      <c r="L597" s="140"/>
      <c r="N597" s="138"/>
      <c r="O597" s="141"/>
      <c r="S597" s="94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9"/>
      <c r="L598" s="140"/>
      <c r="N598" s="138"/>
      <c r="O598" s="141"/>
      <c r="S598" s="94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9"/>
      <c r="L599" s="140"/>
      <c r="N599" s="138"/>
      <c r="O599" s="141"/>
      <c r="S599" s="94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9"/>
      <c r="L600" s="140"/>
      <c r="N600" s="138"/>
      <c r="O600" s="141"/>
      <c r="S600" s="94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9"/>
      <c r="L601" s="140"/>
      <c r="N601" s="138"/>
      <c r="O601" s="141"/>
      <c r="S601" s="94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9"/>
      <c r="L602" s="140"/>
      <c r="N602" s="138"/>
      <c r="O602" s="141"/>
      <c r="S602" s="94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9"/>
      <c r="L603" s="140"/>
      <c r="N603" s="138"/>
      <c r="O603" s="141"/>
      <c r="S603" s="94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9"/>
      <c r="L604" s="140"/>
      <c r="N604" s="138"/>
      <c r="O604" s="141"/>
      <c r="S604" s="94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9"/>
      <c r="L605" s="140"/>
      <c r="N605" s="138"/>
      <c r="O605" s="141"/>
      <c r="S605" s="94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9"/>
      <c r="L606" s="140"/>
      <c r="N606" s="138"/>
      <c r="O606" s="141"/>
      <c r="S606" s="94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9"/>
      <c r="L607" s="140"/>
      <c r="N607" s="138"/>
      <c r="O607" s="141"/>
      <c r="S607" s="94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9"/>
      <c r="L608" s="140"/>
      <c r="N608" s="138"/>
      <c r="O608" s="141"/>
      <c r="S608" s="94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9"/>
      <c r="L609" s="140"/>
      <c r="N609" s="138"/>
      <c r="O609" s="141"/>
      <c r="S609" s="94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9"/>
      <c r="L610" s="140"/>
      <c r="N610" s="138"/>
      <c r="O610" s="141"/>
      <c r="S610" s="94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9"/>
      <c r="L611" s="140"/>
      <c r="N611" s="138"/>
      <c r="O611" s="141"/>
      <c r="S611" s="94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9"/>
      <c r="L612" s="140"/>
      <c r="N612" s="138"/>
      <c r="O612" s="141"/>
      <c r="S612" s="94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9"/>
      <c r="L613" s="140"/>
      <c r="N613" s="138"/>
      <c r="O613" s="141"/>
      <c r="S613" s="94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9"/>
      <c r="L614" s="140"/>
      <c r="N614" s="138"/>
      <c r="O614" s="141"/>
      <c r="S614" s="94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9"/>
      <c r="L615" s="140"/>
      <c r="N615" s="138"/>
      <c r="O615" s="141"/>
      <c r="S615" s="94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9"/>
      <c r="L616" s="140"/>
      <c r="N616" s="138"/>
      <c r="O616" s="141"/>
      <c r="S616" s="94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9"/>
      <c r="L617" s="140"/>
      <c r="N617" s="138"/>
      <c r="O617" s="141"/>
      <c r="S617" s="94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9"/>
      <c r="L618" s="140"/>
      <c r="N618" s="138"/>
      <c r="O618" s="141"/>
      <c r="S618" s="94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9"/>
      <c r="L619" s="140"/>
      <c r="N619" s="138"/>
      <c r="O619" s="141"/>
      <c r="S619" s="94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9"/>
      <c r="L620" s="140"/>
      <c r="N620" s="138"/>
      <c r="O620" s="141"/>
      <c r="S620" s="94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9"/>
      <c r="L621" s="140"/>
      <c r="N621" s="138"/>
      <c r="O621" s="141"/>
      <c r="S621" s="94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9"/>
      <c r="L622" s="140"/>
      <c r="N622" s="138"/>
      <c r="O622" s="141"/>
      <c r="S622" s="94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9"/>
      <c r="L623" s="140"/>
      <c r="N623" s="138"/>
      <c r="O623" s="141"/>
      <c r="S623" s="94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9"/>
      <c r="L624" s="140"/>
      <c r="N624" s="138"/>
      <c r="O624" s="141"/>
      <c r="S624" s="94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9"/>
      <c r="L625" s="140"/>
      <c r="N625" s="138"/>
      <c r="O625" s="141"/>
      <c r="S625" s="94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L626" s="140"/>
      <c r="N626" s="138"/>
      <c r="O626" s="141"/>
      <c r="S626" s="94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9"/>
      <c r="L627" s="140"/>
      <c r="N627" s="138"/>
      <c r="O627" s="141"/>
      <c r="S627" s="94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9"/>
      <c r="L628" s="140"/>
      <c r="N628" s="138"/>
      <c r="O628" s="141"/>
      <c r="S628" s="94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9"/>
      <c r="L629" s="140"/>
      <c r="N629" s="138"/>
      <c r="O629" s="141"/>
      <c r="S629" s="94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9"/>
      <c r="L630" s="140"/>
      <c r="N630" s="138"/>
      <c r="O630" s="141"/>
      <c r="S630" s="94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9"/>
      <c r="L631" s="140"/>
      <c r="N631" s="138"/>
      <c r="O631" s="141"/>
      <c r="S631" s="94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L632" s="140"/>
      <c r="N632" s="138"/>
      <c r="O632" s="141"/>
      <c r="S632" s="94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9"/>
      <c r="L633" s="140"/>
      <c r="N633" s="138"/>
      <c r="O633" s="141"/>
      <c r="S633" s="94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9"/>
      <c r="L634" s="140"/>
      <c r="N634" s="138"/>
      <c r="O634" s="141"/>
      <c r="S634" s="94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9"/>
      <c r="L635" s="140"/>
      <c r="N635" s="138"/>
      <c r="O635" s="141"/>
      <c r="S635" s="94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9"/>
      <c r="L636" s="140"/>
      <c r="N636" s="138"/>
      <c r="O636" s="141"/>
      <c r="S636" s="94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9"/>
      <c r="L637" s="140"/>
      <c r="N637" s="138"/>
      <c r="O637" s="141"/>
      <c r="S637" s="94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9"/>
      <c r="L638" s="140"/>
      <c r="N638" s="138"/>
      <c r="O638" s="141"/>
      <c r="S638" s="94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9"/>
      <c r="L639" s="140"/>
      <c r="N639" s="138"/>
      <c r="O639" s="141"/>
      <c r="S639" s="94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9"/>
      <c r="L640" s="140"/>
      <c r="N640" s="138"/>
      <c r="O640" s="141"/>
      <c r="S640" s="94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9"/>
      <c r="L641" s="140"/>
      <c r="N641" s="138"/>
      <c r="O641" s="141"/>
      <c r="S641" s="94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9"/>
      <c r="L642" s="140"/>
      <c r="N642" s="138"/>
      <c r="O642" s="141"/>
      <c r="S642" s="94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9"/>
      <c r="L643" s="140"/>
      <c r="N643" s="138"/>
      <c r="O643" s="141"/>
      <c r="S643" s="94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9"/>
      <c r="L644" s="140"/>
      <c r="N644" s="138"/>
      <c r="O644" s="141"/>
      <c r="S644" s="94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9"/>
      <c r="L645" s="140"/>
      <c r="N645" s="138"/>
      <c r="O645" s="141"/>
      <c r="S645" s="94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9"/>
      <c r="L646" s="140"/>
      <c r="N646" s="138"/>
      <c r="O646" s="141"/>
      <c r="S646" s="94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9"/>
      <c r="L647" s="140"/>
      <c r="N647" s="138"/>
      <c r="O647" s="141"/>
      <c r="S647" s="94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9"/>
      <c r="L648" s="140"/>
      <c r="N648" s="138"/>
      <c r="O648" s="141"/>
      <c r="S648" s="94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9"/>
      <c r="L649" s="140"/>
      <c r="N649" s="138"/>
      <c r="O649" s="141"/>
      <c r="S649" s="94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9"/>
      <c r="L650" s="140"/>
      <c r="N650" s="138"/>
      <c r="O650" s="141"/>
      <c r="S650" s="94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9"/>
      <c r="L651" s="140"/>
      <c r="N651" s="138"/>
      <c r="O651" s="141"/>
      <c r="S651" s="94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9"/>
      <c r="L652" s="140"/>
      <c r="N652" s="138"/>
      <c r="O652" s="141"/>
      <c r="S652" s="94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9"/>
      <c r="L653" s="140"/>
      <c r="N653" s="138"/>
      <c r="O653" s="141"/>
      <c r="S653" s="94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9"/>
      <c r="L654" s="140"/>
      <c r="N654" s="138"/>
      <c r="O654" s="141"/>
      <c r="S654" s="94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9"/>
      <c r="L655" s="140"/>
      <c r="N655" s="138"/>
      <c r="O655" s="141"/>
      <c r="S655" s="94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9"/>
      <c r="L656" s="140"/>
      <c r="N656" s="138"/>
      <c r="O656" s="141"/>
      <c r="S656" s="94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9"/>
      <c r="L657" s="140"/>
      <c r="N657" s="138"/>
      <c r="O657" s="141"/>
      <c r="S657" s="94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9"/>
      <c r="L658" s="140"/>
      <c r="N658" s="138"/>
      <c r="O658" s="141"/>
      <c r="S658" s="94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9"/>
      <c r="L659" s="140"/>
      <c r="N659" s="138"/>
      <c r="O659" s="141"/>
      <c r="S659" s="94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9"/>
      <c r="L660" s="140"/>
      <c r="N660" s="138"/>
      <c r="O660" s="141"/>
      <c r="S660" s="94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9"/>
      <c r="L661" s="140"/>
      <c r="N661" s="138"/>
      <c r="O661" s="141"/>
      <c r="S661" s="94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9"/>
      <c r="L662" s="140"/>
      <c r="N662" s="138"/>
      <c r="O662" s="141"/>
      <c r="S662" s="94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L663" s="140"/>
      <c r="N663" s="138"/>
      <c r="O663" s="141"/>
      <c r="S663" s="94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9"/>
      <c r="L664" s="140"/>
      <c r="N664" s="138"/>
      <c r="O664" s="141"/>
      <c r="S664" s="94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9"/>
      <c r="L665" s="140"/>
      <c r="N665" s="138"/>
      <c r="O665" s="141"/>
      <c r="S665" s="94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9"/>
      <c r="L666" s="140"/>
      <c r="N666" s="138"/>
      <c r="O666" s="141"/>
      <c r="S666" s="94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9"/>
      <c r="L667" s="140"/>
      <c r="N667" s="138"/>
      <c r="O667" s="141"/>
      <c r="S667" s="94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9"/>
      <c r="L668" s="140"/>
      <c r="N668" s="138"/>
      <c r="O668" s="141"/>
      <c r="S668" s="94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L669" s="140"/>
      <c r="N669" s="138"/>
      <c r="O669" s="141"/>
      <c r="S669" s="94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9"/>
      <c r="L670" s="140"/>
      <c r="N670" s="138"/>
      <c r="O670" s="141"/>
      <c r="S670" s="94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9"/>
      <c r="L671" s="140"/>
      <c r="N671" s="138"/>
      <c r="O671" s="141"/>
      <c r="S671" s="94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9"/>
      <c r="L672" s="140"/>
      <c r="N672" s="138"/>
      <c r="O672" s="141"/>
      <c r="S672" s="94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9"/>
      <c r="L673" s="140"/>
      <c r="N673" s="138"/>
      <c r="O673" s="141"/>
      <c r="S673" s="94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9"/>
      <c r="L674" s="140"/>
      <c r="N674" s="138"/>
      <c r="O674" s="141"/>
      <c r="S674" s="94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9"/>
      <c r="L675" s="140"/>
      <c r="N675" s="138"/>
      <c r="O675" s="141"/>
      <c r="S675" s="94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9"/>
      <c r="L676" s="140"/>
      <c r="N676" s="138"/>
      <c r="O676" s="141"/>
      <c r="S676" s="94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9"/>
      <c r="L677" s="140"/>
      <c r="N677" s="138"/>
      <c r="O677" s="141"/>
      <c r="S677" s="94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9"/>
      <c r="L678" s="140"/>
      <c r="N678" s="138"/>
      <c r="O678" s="141"/>
      <c r="S678" s="94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9"/>
      <c r="L679" s="140"/>
      <c r="N679" s="138"/>
      <c r="O679" s="141"/>
      <c r="S679" s="94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9"/>
      <c r="L680" s="140"/>
      <c r="N680" s="138"/>
      <c r="O680" s="141"/>
      <c r="S680" s="94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9"/>
      <c r="L681" s="140"/>
      <c r="N681" s="138"/>
      <c r="O681" s="141"/>
      <c r="S681" s="94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9"/>
      <c r="L682" s="140"/>
      <c r="N682" s="138"/>
      <c r="O682" s="141"/>
      <c r="S682" s="94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9"/>
      <c r="L683" s="140"/>
      <c r="N683" s="138"/>
      <c r="O683" s="141"/>
      <c r="S683" s="94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9"/>
      <c r="L684" s="140"/>
      <c r="N684" s="138"/>
      <c r="O684" s="141"/>
      <c r="S684" s="94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9"/>
      <c r="L685" s="140"/>
      <c r="N685" s="138"/>
      <c r="O685" s="141"/>
      <c r="S685" s="94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9"/>
      <c r="L686" s="140"/>
      <c r="N686" s="138"/>
      <c r="O686" s="141"/>
      <c r="S686" s="94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9"/>
      <c r="L687" s="140"/>
      <c r="N687" s="138"/>
      <c r="O687" s="141"/>
      <c r="S687" s="94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9"/>
      <c r="L688" s="140"/>
      <c r="N688" s="138"/>
      <c r="O688" s="141"/>
      <c r="S688" s="94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9"/>
      <c r="L689" s="140"/>
      <c r="N689" s="138"/>
      <c r="O689" s="141"/>
      <c r="S689" s="94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9"/>
      <c r="L690" s="140"/>
      <c r="N690" s="138"/>
      <c r="O690" s="141"/>
      <c r="S690" s="94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9"/>
      <c r="L691" s="140"/>
      <c r="N691" s="138"/>
      <c r="O691" s="141"/>
      <c r="S691" s="94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9"/>
      <c r="L692" s="140"/>
      <c r="N692" s="138"/>
      <c r="O692" s="141"/>
      <c r="S692" s="94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9"/>
      <c r="L693" s="140"/>
      <c r="N693" s="138"/>
      <c r="O693" s="141"/>
      <c r="S693" s="94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9"/>
      <c r="L694" s="140"/>
      <c r="N694" s="138"/>
      <c r="O694" s="141"/>
      <c r="S694" s="94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9"/>
      <c r="L695" s="140"/>
      <c r="N695" s="138"/>
      <c r="O695" s="141"/>
      <c r="S695" s="94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9"/>
      <c r="L696" s="140"/>
      <c r="N696" s="138"/>
      <c r="O696" s="141"/>
      <c r="S696" s="94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9"/>
      <c r="L697" s="140"/>
      <c r="N697" s="138"/>
      <c r="O697" s="141"/>
      <c r="S697" s="94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9"/>
      <c r="L698" s="140"/>
      <c r="N698" s="138"/>
      <c r="O698" s="141"/>
      <c r="S698" s="94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9"/>
      <c r="L699" s="140"/>
      <c r="N699" s="138"/>
      <c r="O699" s="141"/>
      <c r="S699" s="94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L700" s="140"/>
      <c r="N700" s="138"/>
      <c r="O700" s="141"/>
      <c r="S700" s="94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9"/>
      <c r="L701" s="140"/>
      <c r="N701" s="138"/>
      <c r="O701" s="141"/>
      <c r="S701" s="94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9"/>
      <c r="L702" s="140"/>
      <c r="N702" s="138"/>
      <c r="O702" s="141"/>
      <c r="S702" s="94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9"/>
      <c r="L703" s="140"/>
      <c r="N703" s="138"/>
      <c r="O703" s="141"/>
      <c r="S703" s="94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9"/>
      <c r="L704" s="140"/>
      <c r="N704" s="138"/>
      <c r="O704" s="141"/>
      <c r="S704" s="94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9"/>
      <c r="L705" s="140"/>
      <c r="N705" s="138"/>
      <c r="O705" s="141"/>
      <c r="S705" s="94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L706" s="140"/>
      <c r="N706" s="138"/>
      <c r="O706" s="141"/>
      <c r="S706" s="94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9"/>
      <c r="L707" s="140"/>
      <c r="N707" s="138"/>
      <c r="O707" s="141"/>
      <c r="S707" s="94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9"/>
      <c r="L708" s="140"/>
      <c r="N708" s="138"/>
      <c r="O708" s="141"/>
      <c r="S708" s="94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9"/>
      <c r="L709" s="140"/>
      <c r="N709" s="138"/>
      <c r="O709" s="141"/>
      <c r="S709" s="94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9"/>
      <c r="L710" s="140"/>
      <c r="N710" s="138"/>
      <c r="O710" s="141"/>
      <c r="S710" s="94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9"/>
      <c r="L711" s="140"/>
      <c r="N711" s="138"/>
      <c r="O711" s="141"/>
      <c r="S711" s="94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9"/>
      <c r="L712" s="140"/>
      <c r="N712" s="138"/>
      <c r="O712" s="141"/>
      <c r="S712" s="94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9"/>
      <c r="L713" s="140"/>
      <c r="N713" s="138"/>
      <c r="O713" s="141"/>
      <c r="S713" s="94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9"/>
      <c r="L714" s="140"/>
      <c r="N714" s="138"/>
      <c r="O714" s="141"/>
      <c r="S714" s="94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9"/>
      <c r="L715" s="140"/>
      <c r="N715" s="138"/>
      <c r="O715" s="141"/>
      <c r="S715" s="94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9"/>
      <c r="L716" s="140"/>
      <c r="N716" s="138"/>
      <c r="O716" s="141"/>
      <c r="S716" s="94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9"/>
      <c r="L717" s="140"/>
      <c r="N717" s="138"/>
      <c r="O717" s="141"/>
      <c r="S717" s="94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9"/>
      <c r="L718" s="140"/>
      <c r="N718" s="138"/>
      <c r="O718" s="141"/>
      <c r="S718" s="94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9"/>
      <c r="L719" s="140"/>
      <c r="N719" s="138"/>
      <c r="O719" s="141"/>
      <c r="S719" s="94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9"/>
      <c r="L720" s="140"/>
      <c r="N720" s="138"/>
      <c r="O720" s="141"/>
      <c r="S720" s="94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9"/>
      <c r="L721" s="140"/>
      <c r="N721" s="138"/>
      <c r="O721" s="141"/>
      <c r="S721" s="94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9"/>
      <c r="L722" s="140"/>
      <c r="N722" s="138"/>
      <c r="O722" s="141"/>
      <c r="S722" s="94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9"/>
      <c r="L723" s="140"/>
      <c r="N723" s="138"/>
      <c r="O723" s="141"/>
      <c r="S723" s="94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9"/>
      <c r="L724" s="140"/>
      <c r="N724" s="138"/>
      <c r="O724" s="141"/>
      <c r="S724" s="94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9"/>
      <c r="L725" s="140"/>
      <c r="N725" s="138"/>
      <c r="O725" s="141"/>
      <c r="S725" s="94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9"/>
      <c r="L726" s="140"/>
      <c r="N726" s="138"/>
      <c r="O726" s="141"/>
      <c r="S726" s="94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9"/>
      <c r="L727" s="140"/>
      <c r="N727" s="138"/>
      <c r="O727" s="141"/>
      <c r="S727" s="94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9"/>
      <c r="L728" s="140"/>
      <c r="N728" s="138"/>
      <c r="O728" s="141"/>
      <c r="S728" s="94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9"/>
      <c r="L729" s="140"/>
      <c r="N729" s="138"/>
      <c r="O729" s="141"/>
      <c r="S729" s="94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9"/>
      <c r="L730" s="140"/>
      <c r="N730" s="138"/>
      <c r="O730" s="141"/>
      <c r="S730" s="94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9"/>
      <c r="L731" s="140"/>
      <c r="N731" s="138"/>
      <c r="O731" s="141"/>
      <c r="S731" s="94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9"/>
      <c r="L732" s="140"/>
      <c r="N732" s="138"/>
      <c r="O732" s="141"/>
      <c r="S732" s="94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9"/>
      <c r="L733" s="140"/>
      <c r="N733" s="138"/>
      <c r="O733" s="141"/>
      <c r="S733" s="94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9"/>
      <c r="L734" s="140"/>
      <c r="N734" s="138"/>
      <c r="O734" s="141"/>
      <c r="S734" s="94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9"/>
      <c r="L735" s="140"/>
      <c r="N735" s="138"/>
      <c r="O735" s="141"/>
      <c r="S735" s="94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9"/>
      <c r="L736" s="140"/>
      <c r="N736" s="138"/>
      <c r="O736" s="141"/>
      <c r="S736" s="94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L737" s="140"/>
      <c r="N737" s="138"/>
      <c r="O737" s="141"/>
      <c r="S737" s="94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9"/>
      <c r="L738" s="140"/>
      <c r="N738" s="138"/>
      <c r="O738" s="141"/>
      <c r="S738" s="94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9"/>
      <c r="L739" s="140"/>
      <c r="N739" s="138"/>
      <c r="O739" s="141"/>
      <c r="S739" s="94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9"/>
      <c r="L740" s="140"/>
      <c r="N740" s="138"/>
      <c r="O740" s="141"/>
      <c r="S740" s="94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9"/>
      <c r="L741" s="140"/>
      <c r="N741" s="138"/>
      <c r="O741" s="141"/>
      <c r="S741" s="94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9"/>
      <c r="L742" s="140"/>
      <c r="N742" s="138"/>
      <c r="O742" s="141"/>
      <c r="S742" s="94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L743" s="140"/>
      <c r="N743" s="138"/>
      <c r="O743" s="141"/>
      <c r="S743" s="94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9"/>
      <c r="L744" s="140"/>
      <c r="N744" s="138"/>
      <c r="O744" s="141"/>
      <c r="S744" s="94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9"/>
      <c r="L745" s="140"/>
      <c r="N745" s="138"/>
      <c r="O745" s="141"/>
      <c r="S745" s="94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9"/>
      <c r="L746" s="140"/>
      <c r="N746" s="138"/>
      <c r="O746" s="141"/>
      <c r="S746" s="94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9"/>
      <c r="L747" s="140"/>
      <c r="N747" s="138"/>
      <c r="O747" s="141"/>
      <c r="S747" s="94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9"/>
      <c r="L748" s="140"/>
      <c r="N748" s="138"/>
      <c r="O748" s="141"/>
      <c r="S748" s="94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9"/>
      <c r="L749" s="140"/>
      <c r="N749" s="138"/>
      <c r="O749" s="141"/>
      <c r="S749" s="94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9"/>
      <c r="L750" s="140"/>
      <c r="N750" s="138"/>
      <c r="O750" s="141"/>
      <c r="S750" s="94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9"/>
      <c r="L751" s="140"/>
      <c r="N751" s="138"/>
      <c r="O751" s="141"/>
      <c r="S751" s="94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9"/>
      <c r="L752" s="140"/>
      <c r="N752" s="138"/>
      <c r="O752" s="141"/>
      <c r="S752" s="94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9"/>
      <c r="L753" s="140"/>
      <c r="N753" s="138"/>
      <c r="O753" s="141"/>
      <c r="S753" s="94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9"/>
      <c r="L754" s="140"/>
      <c r="N754" s="138"/>
      <c r="O754" s="141"/>
      <c r="S754" s="94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9"/>
      <c r="L755" s="140"/>
      <c r="N755" s="138"/>
      <c r="O755" s="141"/>
      <c r="S755" s="94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9"/>
      <c r="L756" s="140"/>
      <c r="N756" s="138"/>
      <c r="O756" s="141"/>
      <c r="S756" s="94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9"/>
      <c r="L757" s="140"/>
      <c r="N757" s="138"/>
      <c r="O757" s="141"/>
      <c r="S757" s="94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9"/>
      <c r="L758" s="140"/>
      <c r="N758" s="138"/>
      <c r="O758" s="141"/>
      <c r="S758" s="94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9"/>
      <c r="L759" s="140"/>
      <c r="N759" s="138"/>
      <c r="O759" s="141"/>
      <c r="S759" s="94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9"/>
      <c r="L760" s="140"/>
      <c r="N760" s="138"/>
      <c r="O760" s="141"/>
      <c r="S760" s="94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9"/>
      <c r="L761" s="140"/>
      <c r="N761" s="138"/>
      <c r="O761" s="141"/>
      <c r="S761" s="94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9"/>
      <c r="L762" s="140"/>
      <c r="N762" s="138"/>
      <c r="O762" s="141"/>
      <c r="S762" s="94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9"/>
      <c r="L763" s="140"/>
      <c r="N763" s="138"/>
      <c r="O763" s="141"/>
      <c r="S763" s="94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9"/>
      <c r="L764" s="140"/>
      <c r="N764" s="138"/>
      <c r="O764" s="141"/>
      <c r="S764" s="94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9"/>
      <c r="L765" s="140"/>
      <c r="N765" s="138"/>
      <c r="O765" s="141"/>
      <c r="S765" s="94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9"/>
      <c r="L766" s="140"/>
      <c r="N766" s="138"/>
      <c r="O766" s="141"/>
      <c r="S766" s="94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9"/>
      <c r="L767" s="140"/>
      <c r="N767" s="138"/>
      <c r="O767" s="141"/>
      <c r="S767" s="94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9"/>
      <c r="L768" s="140"/>
      <c r="N768" s="138"/>
      <c r="O768" s="141"/>
      <c r="S768" s="94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9"/>
      <c r="L769" s="140"/>
      <c r="N769" s="138"/>
      <c r="O769" s="141"/>
      <c r="S769" s="94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9"/>
      <c r="L770" s="140"/>
      <c r="N770" s="138"/>
      <c r="O770" s="141"/>
      <c r="S770" s="94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9"/>
      <c r="L771" s="140"/>
      <c r="N771" s="138"/>
      <c r="O771" s="141"/>
      <c r="S771" s="94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9"/>
      <c r="L772" s="140"/>
      <c r="N772" s="138"/>
      <c r="O772" s="141"/>
      <c r="S772" s="94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9"/>
      <c r="L773" s="140"/>
      <c r="N773" s="138"/>
      <c r="O773" s="141"/>
      <c r="S773" s="94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L774" s="140"/>
      <c r="N774" s="138"/>
      <c r="O774" s="141"/>
      <c r="S774" s="94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9"/>
      <c r="L775" s="140"/>
      <c r="N775" s="138"/>
      <c r="O775" s="141"/>
      <c r="S775" s="94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9"/>
      <c r="L776" s="140"/>
      <c r="N776" s="138"/>
      <c r="O776" s="141"/>
      <c r="S776" s="94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9"/>
      <c r="L777" s="140"/>
      <c r="N777" s="138"/>
      <c r="O777" s="141"/>
      <c r="S777" s="94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9"/>
      <c r="L778" s="140"/>
      <c r="N778" s="138"/>
      <c r="O778" s="141"/>
      <c r="S778" s="94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9"/>
      <c r="L779" s="140"/>
      <c r="N779" s="138"/>
      <c r="O779" s="141"/>
      <c r="S779" s="94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L780" s="140"/>
      <c r="N780" s="138"/>
      <c r="O780" s="141"/>
      <c r="S780" s="94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9"/>
      <c r="L781" s="140"/>
      <c r="N781" s="138"/>
      <c r="O781" s="141"/>
      <c r="S781" s="94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9"/>
      <c r="L782" s="140"/>
      <c r="N782" s="138"/>
      <c r="O782" s="141"/>
      <c r="S782" s="94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9"/>
      <c r="L783" s="140"/>
      <c r="N783" s="138"/>
      <c r="O783" s="141"/>
      <c r="S783" s="94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9"/>
      <c r="L784" s="140"/>
      <c r="N784" s="138"/>
      <c r="O784" s="141"/>
      <c r="S784" s="94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9"/>
      <c r="L785" s="140"/>
      <c r="N785" s="138"/>
      <c r="O785" s="141"/>
      <c r="S785" s="94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9"/>
      <c r="L786" s="140"/>
      <c r="N786" s="138"/>
      <c r="O786" s="141"/>
      <c r="S786" s="94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9"/>
      <c r="L787" s="140"/>
      <c r="N787" s="138"/>
      <c r="O787" s="141"/>
      <c r="S787" s="94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9"/>
      <c r="L788" s="140"/>
      <c r="N788" s="138"/>
      <c r="O788" s="141"/>
      <c r="S788" s="94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9"/>
      <c r="L789" s="140"/>
      <c r="N789" s="138"/>
      <c r="O789" s="141"/>
      <c r="S789" s="94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9"/>
      <c r="L790" s="140"/>
      <c r="N790" s="138"/>
      <c r="O790" s="141"/>
      <c r="S790" s="94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9"/>
      <c r="L791" s="140"/>
      <c r="N791" s="138"/>
      <c r="O791" s="141"/>
      <c r="S791" s="94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9"/>
      <c r="L792" s="140"/>
      <c r="N792" s="138"/>
      <c r="O792" s="141"/>
      <c r="S792" s="94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9"/>
      <c r="L793" s="140"/>
      <c r="N793" s="138"/>
      <c r="O793" s="141"/>
      <c r="S793" s="94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9"/>
      <c r="L794" s="140"/>
      <c r="N794" s="138"/>
      <c r="O794" s="141"/>
      <c r="S794" s="94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9"/>
      <c r="L795" s="140"/>
      <c r="N795" s="138"/>
      <c r="O795" s="141"/>
      <c r="S795" s="94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9"/>
      <c r="L796" s="140"/>
      <c r="N796" s="138"/>
      <c r="O796" s="141"/>
      <c r="S796" s="94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9"/>
      <c r="L797" s="140"/>
      <c r="N797" s="138"/>
      <c r="O797" s="141"/>
      <c r="S797" s="94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9"/>
      <c r="L798" s="140"/>
      <c r="N798" s="138"/>
      <c r="O798" s="141"/>
      <c r="S798" s="94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9"/>
      <c r="L799" s="140"/>
      <c r="N799" s="138"/>
      <c r="O799" s="141"/>
      <c r="S799" s="94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9"/>
      <c r="L800" s="140"/>
      <c r="N800" s="138"/>
      <c r="O800" s="141"/>
      <c r="S800" s="94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9"/>
      <c r="L801" s="140"/>
      <c r="N801" s="138"/>
      <c r="O801" s="141"/>
      <c r="S801" s="94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9"/>
      <c r="L802" s="140"/>
      <c r="N802" s="138"/>
      <c r="O802" s="141"/>
      <c r="S802" s="94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9"/>
      <c r="L803" s="140"/>
      <c r="N803" s="138"/>
      <c r="O803" s="141"/>
      <c r="S803" s="94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9"/>
      <c r="L804" s="140"/>
      <c r="N804" s="138"/>
      <c r="O804" s="141"/>
      <c r="S804" s="94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9"/>
      <c r="L805" s="140"/>
      <c r="N805" s="138"/>
      <c r="O805" s="141"/>
      <c r="S805" s="94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9"/>
      <c r="L806" s="140"/>
      <c r="N806" s="138"/>
      <c r="O806" s="141"/>
      <c r="S806" s="94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9"/>
      <c r="L807" s="140"/>
      <c r="N807" s="138"/>
      <c r="O807" s="141"/>
      <c r="S807" s="94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9"/>
      <c r="L808" s="140"/>
      <c r="N808" s="138"/>
      <c r="O808" s="141"/>
      <c r="S808" s="94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9"/>
      <c r="L809" s="140"/>
      <c r="N809" s="138"/>
      <c r="O809" s="141"/>
      <c r="S809" s="94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9"/>
      <c r="L810" s="140"/>
      <c r="N810" s="138"/>
      <c r="O810" s="141"/>
      <c r="S810" s="94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L811" s="140"/>
      <c r="N811" s="138"/>
      <c r="O811" s="141"/>
      <c r="S811" s="94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9"/>
      <c r="L812" s="140"/>
      <c r="N812" s="138"/>
      <c r="O812" s="141"/>
      <c r="S812" s="94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9"/>
      <c r="L813" s="140"/>
      <c r="N813" s="138"/>
      <c r="O813" s="141"/>
      <c r="S813" s="94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9"/>
      <c r="L814" s="140"/>
      <c r="N814" s="138"/>
      <c r="O814" s="141"/>
      <c r="S814" s="94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9"/>
      <c r="L815" s="140"/>
      <c r="N815" s="138"/>
      <c r="O815" s="141"/>
      <c r="S815" s="94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9"/>
      <c r="L816" s="140"/>
      <c r="N816" s="138"/>
      <c r="O816" s="141"/>
      <c r="S816" s="94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L817" s="140"/>
      <c r="N817" s="138"/>
      <c r="O817" s="141"/>
      <c r="S817" s="94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9"/>
      <c r="L818" s="140"/>
      <c r="N818" s="138"/>
      <c r="O818" s="141"/>
      <c r="S818" s="94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9"/>
      <c r="L819" s="140"/>
      <c r="N819" s="138"/>
      <c r="O819" s="141"/>
      <c r="S819" s="94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9"/>
      <c r="L820" s="140"/>
      <c r="N820" s="138"/>
      <c r="O820" s="141"/>
      <c r="S820" s="94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9"/>
      <c r="L821" s="140"/>
      <c r="N821" s="138"/>
      <c r="O821" s="141"/>
      <c r="S821" s="94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9"/>
      <c r="L822" s="140"/>
      <c r="N822" s="138"/>
      <c r="O822" s="141"/>
      <c r="S822" s="94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9"/>
      <c r="L823" s="140"/>
      <c r="N823" s="138"/>
      <c r="O823" s="141"/>
      <c r="S823" s="94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9"/>
      <c r="L824" s="140"/>
      <c r="N824" s="138"/>
      <c r="O824" s="141"/>
      <c r="S824" s="94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9"/>
      <c r="L825" s="140"/>
      <c r="N825" s="138"/>
      <c r="O825" s="141"/>
      <c r="S825" s="94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9"/>
      <c r="L826" s="140"/>
      <c r="N826" s="138"/>
      <c r="O826" s="141"/>
      <c r="S826" s="94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9"/>
      <c r="L827" s="140"/>
      <c r="N827" s="138"/>
      <c r="O827" s="141"/>
      <c r="S827" s="94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9"/>
      <c r="L828" s="140"/>
      <c r="N828" s="138"/>
      <c r="O828" s="141"/>
      <c r="S828" s="94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9"/>
      <c r="L829" s="140"/>
      <c r="N829" s="138"/>
      <c r="O829" s="141"/>
      <c r="S829" s="94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9"/>
      <c r="L830" s="140"/>
      <c r="N830" s="138"/>
      <c r="O830" s="141"/>
      <c r="S830" s="94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9"/>
      <c r="L831" s="140"/>
      <c r="N831" s="138"/>
      <c r="O831" s="141"/>
      <c r="S831" s="94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9"/>
      <c r="L832" s="140"/>
      <c r="N832" s="138"/>
      <c r="O832" s="141"/>
      <c r="S832" s="94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9"/>
      <c r="L833" s="140"/>
      <c r="N833" s="138"/>
      <c r="O833" s="141"/>
      <c r="S833" s="94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9"/>
      <c r="L834" s="140"/>
      <c r="N834" s="138"/>
      <c r="O834" s="141"/>
      <c r="S834" s="94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9"/>
      <c r="L835" s="140"/>
      <c r="N835" s="138"/>
      <c r="O835" s="141"/>
      <c r="S835" s="94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9"/>
      <c r="L836" s="140"/>
      <c r="N836" s="138"/>
      <c r="O836" s="141"/>
      <c r="S836" s="94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9"/>
      <c r="L837" s="140"/>
      <c r="N837" s="138"/>
      <c r="O837" s="141"/>
      <c r="S837" s="94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9"/>
      <c r="L838" s="140"/>
      <c r="N838" s="138"/>
      <c r="O838" s="141"/>
      <c r="S838" s="94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9"/>
      <c r="L839" s="140"/>
      <c r="N839" s="138"/>
      <c r="O839" s="141"/>
      <c r="S839" s="94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9"/>
      <c r="L840" s="140"/>
      <c r="N840" s="138"/>
      <c r="O840" s="141"/>
      <c r="S840" s="94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9"/>
      <c r="L841" s="140"/>
      <c r="N841" s="138"/>
      <c r="O841" s="141"/>
      <c r="S841" s="94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9"/>
      <c r="L842" s="140"/>
      <c r="N842" s="138"/>
      <c r="O842" s="141"/>
      <c r="S842" s="94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9"/>
      <c r="L843" s="140"/>
      <c r="N843" s="138"/>
      <c r="O843" s="141"/>
      <c r="S843" s="94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9"/>
      <c r="L844" s="140"/>
      <c r="N844" s="138"/>
      <c r="O844" s="141"/>
      <c r="S844" s="94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9"/>
      <c r="L845" s="140"/>
      <c r="N845" s="138"/>
      <c r="O845" s="141"/>
      <c r="S845" s="94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9"/>
      <c r="L846" s="140"/>
      <c r="N846" s="138"/>
      <c r="O846" s="141"/>
      <c r="S846" s="94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9"/>
      <c r="L847" s="140"/>
      <c r="N847" s="138"/>
      <c r="O847" s="141"/>
      <c r="S847" s="94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9"/>
      <c r="L848" s="140"/>
      <c r="N848" s="138"/>
      <c r="O848" s="141"/>
      <c r="S848" s="94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9"/>
      <c r="L849" s="140"/>
      <c r="N849" s="138"/>
      <c r="O849" s="141"/>
      <c r="S849" s="94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9"/>
      <c r="L850" s="140"/>
      <c r="N850" s="138"/>
      <c r="O850" s="141"/>
      <c r="S850" s="94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9"/>
      <c r="L851" s="140"/>
      <c r="N851" s="138"/>
      <c r="O851" s="141"/>
      <c r="S851" s="94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9"/>
      <c r="L852" s="140"/>
      <c r="N852" s="138"/>
      <c r="O852" s="141"/>
      <c r="S852" s="94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9"/>
      <c r="L853" s="140"/>
      <c r="N853" s="138"/>
      <c r="O853" s="141"/>
      <c r="S853" s="94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9"/>
      <c r="L854" s="140"/>
      <c r="N854" s="138"/>
      <c r="O854" s="141"/>
      <c r="S854" s="94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9"/>
      <c r="L855" s="140"/>
      <c r="N855" s="138"/>
      <c r="O855" s="141"/>
      <c r="S855" s="94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9"/>
      <c r="L856" s="140"/>
      <c r="N856" s="138"/>
      <c r="O856" s="141"/>
      <c r="S856" s="94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9"/>
      <c r="L857" s="140"/>
      <c r="N857" s="138"/>
      <c r="O857" s="141"/>
      <c r="S857" s="94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9"/>
      <c r="L858" s="140"/>
      <c r="N858" s="138"/>
      <c r="O858" s="141"/>
      <c r="S858" s="94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9"/>
      <c r="L859" s="140"/>
      <c r="N859" s="138"/>
      <c r="O859" s="141"/>
      <c r="S859" s="94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9"/>
      <c r="L860" s="140"/>
      <c r="N860" s="138"/>
      <c r="O860" s="141"/>
      <c r="S860" s="94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9"/>
      <c r="L861" s="140"/>
      <c r="N861" s="138"/>
      <c r="O861" s="141"/>
      <c r="S861" s="94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9"/>
      <c r="L862" s="140"/>
      <c r="N862" s="138"/>
      <c r="O862" s="141"/>
      <c r="S862" s="94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9"/>
      <c r="L863" s="140"/>
      <c r="N863" s="138"/>
      <c r="O863" s="141"/>
      <c r="S863" s="94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9"/>
      <c r="L864" s="140"/>
      <c r="N864" s="138"/>
      <c r="O864" s="141"/>
      <c r="S864" s="94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9"/>
      <c r="L865" s="140"/>
      <c r="N865" s="138"/>
      <c r="O865" s="141"/>
      <c r="S865" s="94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9"/>
      <c r="L866" s="140"/>
      <c r="N866" s="138"/>
      <c r="O866" s="141"/>
      <c r="S866" s="94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9"/>
      <c r="L867" s="140"/>
      <c r="N867" s="138"/>
      <c r="O867" s="141"/>
      <c r="S867" s="94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9"/>
      <c r="L868" s="140"/>
      <c r="N868" s="138"/>
      <c r="O868" s="141"/>
      <c r="S868" s="94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9"/>
      <c r="L869" s="140"/>
      <c r="N869" s="138"/>
      <c r="O869" s="141"/>
      <c r="S869" s="94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9"/>
      <c r="L870" s="140"/>
      <c r="N870" s="138"/>
      <c r="O870" s="141"/>
      <c r="S870" s="94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9"/>
      <c r="L871" s="140"/>
      <c r="N871" s="138"/>
      <c r="O871" s="141"/>
      <c r="S871" s="94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9"/>
      <c r="L872" s="140"/>
      <c r="N872" s="138"/>
      <c r="O872" s="141"/>
      <c r="S872" s="94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9"/>
      <c r="L873" s="140"/>
      <c r="N873" s="138"/>
      <c r="O873" s="141"/>
      <c r="S873" s="94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9"/>
      <c r="L874" s="140"/>
      <c r="N874" s="138"/>
      <c r="O874" s="141"/>
      <c r="S874" s="94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9"/>
      <c r="L875" s="140"/>
      <c r="N875" s="138"/>
      <c r="O875" s="141"/>
      <c r="S875" s="94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9"/>
      <c r="L876" s="140"/>
      <c r="N876" s="138"/>
      <c r="O876" s="141"/>
      <c r="S876" s="94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9"/>
      <c r="L877" s="140"/>
      <c r="N877" s="138"/>
      <c r="O877" s="141"/>
      <c r="S877" s="94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9"/>
      <c r="L878" s="140"/>
      <c r="N878" s="138"/>
      <c r="O878" s="141"/>
      <c r="S878" s="94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9"/>
      <c r="L879" s="140"/>
      <c r="N879" s="138"/>
      <c r="O879" s="141"/>
      <c r="S879" s="94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9"/>
      <c r="L880" s="140"/>
      <c r="N880" s="138"/>
      <c r="O880" s="141"/>
      <c r="S880" s="94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9"/>
      <c r="L881" s="140"/>
      <c r="N881" s="138"/>
      <c r="O881" s="141"/>
      <c r="S881" s="94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9"/>
      <c r="L882" s="140"/>
      <c r="N882" s="138"/>
      <c r="O882" s="141"/>
      <c r="S882" s="94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9"/>
      <c r="L883" s="140"/>
      <c r="N883" s="138"/>
      <c r="O883" s="141"/>
      <c r="S883" s="94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9"/>
      <c r="L884" s="140"/>
      <c r="N884" s="138"/>
      <c r="O884" s="141"/>
      <c r="S884" s="94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9"/>
      <c r="L885" s="140"/>
      <c r="N885" s="138"/>
      <c r="O885" s="141"/>
      <c r="S885" s="94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9"/>
      <c r="L886" s="140"/>
      <c r="N886" s="138"/>
      <c r="O886" s="141"/>
      <c r="S886" s="94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9"/>
      <c r="L887" s="140"/>
      <c r="N887" s="138"/>
      <c r="O887" s="141"/>
      <c r="S887" s="94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9"/>
      <c r="L888" s="140"/>
      <c r="N888" s="138"/>
      <c r="O888" s="141"/>
      <c r="S888" s="94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9"/>
      <c r="L889" s="140"/>
      <c r="N889" s="138"/>
      <c r="O889" s="141"/>
      <c r="S889" s="94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9"/>
      <c r="L890" s="140"/>
      <c r="N890" s="138"/>
      <c r="O890" s="141"/>
      <c r="S890" s="94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9"/>
      <c r="L891" s="140"/>
      <c r="N891" s="138"/>
      <c r="O891" s="141"/>
      <c r="S891" s="94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9"/>
      <c r="L892" s="140"/>
      <c r="N892" s="138"/>
      <c r="O892" s="141"/>
      <c r="S892" s="94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9"/>
      <c r="L893" s="140"/>
      <c r="N893" s="138"/>
      <c r="O893" s="141"/>
      <c r="S893" s="94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9"/>
      <c r="L894" s="140"/>
      <c r="N894" s="138"/>
      <c r="O894" s="141"/>
      <c r="S894" s="94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9"/>
      <c r="L895" s="140"/>
      <c r="N895" s="138"/>
      <c r="O895" s="141"/>
      <c r="S895" s="94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9"/>
      <c r="L896" s="140"/>
      <c r="N896" s="138"/>
      <c r="O896" s="141"/>
      <c r="S896" s="94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9"/>
      <c r="L897" s="140"/>
      <c r="N897" s="138"/>
      <c r="O897" s="141"/>
      <c r="S897" s="94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9"/>
      <c r="L898" s="140"/>
      <c r="N898" s="138"/>
      <c r="O898" s="141"/>
      <c r="S898" s="94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9"/>
      <c r="L899" s="140"/>
      <c r="N899" s="138"/>
      <c r="O899" s="141"/>
      <c r="S899" s="94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9"/>
      <c r="L900" s="140"/>
      <c r="N900" s="138"/>
      <c r="O900" s="141"/>
      <c r="S900" s="94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9"/>
      <c r="L901" s="140"/>
      <c r="N901" s="138"/>
      <c r="O901" s="141"/>
      <c r="S901" s="94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9"/>
      <c r="L902" s="140"/>
      <c r="N902" s="138"/>
      <c r="O902" s="141"/>
      <c r="S902" s="94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9"/>
      <c r="L903" s="140"/>
      <c r="N903" s="138"/>
      <c r="O903" s="141"/>
      <c r="S903" s="94"/>
    </row>
  </sheetData>
  <mergeCells count="10">
    <mergeCell ref="R38:S38"/>
    <mergeCell ref="R39:S39"/>
    <mergeCell ref="R70:S70"/>
    <mergeCell ref="B1:D1"/>
    <mergeCell ref="E1:G1"/>
    <mergeCell ref="H1:J1"/>
    <mergeCell ref="K1:M1"/>
    <mergeCell ref="N1:P1"/>
    <mergeCell ref="R6:S6"/>
    <mergeCell ref="R7:S7"/>
  </mergeCells>
  <conditionalFormatting sqref="J3:J100">
    <cfRule type="cellIs" dxfId="5" priority="1" operator="lessThan">
      <formula>I3:I67</formula>
    </cfRule>
  </conditionalFormatting>
  <conditionalFormatting sqref="J3:J100">
    <cfRule type="cellIs" dxfId="11" priority="2" operator="greaterThan">
      <formula>I4:I67</formula>
    </cfRule>
  </conditionalFormatting>
  <conditionalFormatting sqref="D3:D100 G6:G36 G38:G68 G70:G100">
    <cfRule type="cellIs" dxfId="12" priority="3" operator="equal">
      <formula>0</formula>
    </cfRule>
  </conditionalFormatting>
  <conditionalFormatting sqref="D3:D100">
    <cfRule type="cellIs" dxfId="5" priority="4" operator="lessThan">
      <formula>0</formula>
    </cfRule>
  </conditionalFormatting>
  <conditionalFormatting sqref="D3:D100">
    <cfRule type="cellIs" dxfId="4" priority="5" operator="greaterThanOrEqual">
      <formula>0</formula>
    </cfRule>
  </conditionalFormatting>
  <conditionalFormatting sqref="J18">
    <cfRule type="notContainsBlanks" dxfId="7" priority="6">
      <formula>LEN(TRIM(J18))&gt;0</formula>
    </cfRule>
  </conditionalFormatting>
  <conditionalFormatting sqref="P2:P903">
    <cfRule type="cellIs" dxfId="4" priority="7" operator="greaterThan">
      <formula>0</formula>
    </cfRule>
  </conditionalFormatting>
  <conditionalFormatting sqref="P2:P903">
    <cfRule type="cellIs" dxfId="5" priority="8" operator="lessThan">
      <formula>0</formula>
    </cfRule>
  </conditionalFormatting>
  <conditionalFormatting sqref="M4">
    <cfRule type="notContainsBlanks" dxfId="4" priority="9">
      <formula>LEN(TRIM(M4))&gt;0</formula>
    </cfRule>
  </conditionalFormatting>
  <conditionalFormatting sqref="M4">
    <cfRule type="cellIs" dxfId="13" priority="10" operator="lessThan">
      <formula>"50%"</formula>
    </cfRule>
  </conditionalFormatting>
  <conditionalFormatting sqref="M5:M37">
    <cfRule type="cellIs" dxfId="8" priority="11" operator="greaterThan">
      <formula>"50%"</formula>
    </cfRule>
  </conditionalFormatting>
  <conditionalFormatting sqref="M5:M37">
    <cfRule type="cellIs" dxfId="5" priority="12" operator="lessThan">
      <formula>"50%"</formula>
    </cfRule>
  </conditionalFormatting>
  <conditionalFormatting sqref="M69">
    <cfRule type="cellIs" dxfId="8" priority="13" operator="greaterThan">
      <formula>"50%"</formula>
    </cfRule>
  </conditionalFormatting>
  <conditionalFormatting sqref="M69">
    <cfRule type="cellIs" dxfId="5" priority="14" operator="lessThan">
      <formula>"50%"</formula>
    </cfRule>
  </conditionalFormatting>
  <conditionalFormatting sqref="G4:G69">
    <cfRule type="cellIs" dxfId="8" priority="15" operator="greaterThan">
      <formula>0</formula>
    </cfRule>
  </conditionalFormatting>
  <conditionalFormatting sqref="G4:G69">
    <cfRule type="cellIs" dxfId="5" priority="16" operator="lessThan">
      <formula>0</formula>
    </cfRule>
  </conditionalFormatting>
  <conditionalFormatting sqref="M70:M101">
    <cfRule type="cellIs" dxfId="8" priority="17" operator="greaterThan">
      <formula>0</formula>
    </cfRule>
  </conditionalFormatting>
  <conditionalFormatting sqref="M70:M101">
    <cfRule type="cellIs" dxfId="5" priority="18" operator="lessThan">
      <formula>0</formula>
    </cfRule>
  </conditionalFormatting>
  <conditionalFormatting sqref="M38:M68">
    <cfRule type="cellIs" dxfId="8" priority="19" operator="greaterThan">
      <formula>0</formula>
    </cfRule>
  </conditionalFormatting>
  <conditionalFormatting sqref="M38:M68">
    <cfRule type="cellIs" dxfId="5" priority="20" operator="lessThanOrEqual">
      <formula>0</formula>
    </cfRule>
  </conditionalFormatting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275" t="s">
        <v>64</v>
      </c>
      <c r="B1" s="276" t="s">
        <v>65</v>
      </c>
      <c r="C1" s="277"/>
      <c r="D1" s="277"/>
      <c r="E1" s="276" t="s">
        <v>66</v>
      </c>
      <c r="F1" s="277"/>
      <c r="G1" s="277"/>
      <c r="H1" s="276" t="s">
        <v>67</v>
      </c>
      <c r="I1" s="277"/>
      <c r="J1" s="277"/>
      <c r="K1" s="276" t="s">
        <v>68</v>
      </c>
      <c r="L1" s="277"/>
      <c r="M1" s="277"/>
      <c r="N1" s="276" t="s">
        <v>69</v>
      </c>
      <c r="O1" s="277"/>
      <c r="P1" s="277"/>
      <c r="Q1" s="276" t="s">
        <v>70</v>
      </c>
      <c r="R1" s="277"/>
      <c r="S1" s="277"/>
    </row>
    <row r="2">
      <c r="A2" s="278" t="s">
        <v>71</v>
      </c>
      <c r="B2" s="279" t="s">
        <v>8</v>
      </c>
      <c r="C2" s="280" t="s">
        <v>72</v>
      </c>
      <c r="D2" s="281" t="s">
        <v>9</v>
      </c>
      <c r="E2" s="279" t="s">
        <v>8</v>
      </c>
      <c r="F2" s="280" t="s">
        <v>72</v>
      </c>
      <c r="G2" s="281" t="s">
        <v>9</v>
      </c>
      <c r="H2" s="279" t="s">
        <v>8</v>
      </c>
      <c r="I2" s="280" t="s">
        <v>72</v>
      </c>
      <c r="J2" s="281" t="s">
        <v>9</v>
      </c>
      <c r="K2" s="279" t="s">
        <v>8</v>
      </c>
      <c r="L2" s="280" t="s">
        <v>72</v>
      </c>
      <c r="M2" s="281" t="s">
        <v>9</v>
      </c>
      <c r="N2" s="279" t="s">
        <v>8</v>
      </c>
      <c r="O2" s="280" t="s">
        <v>72</v>
      </c>
      <c r="P2" s="281" t="s">
        <v>9</v>
      </c>
      <c r="Q2" s="279" t="s">
        <v>8</v>
      </c>
      <c r="R2" s="282" t="s">
        <v>72</v>
      </c>
      <c r="S2" s="281" t="s">
        <v>9</v>
      </c>
    </row>
    <row r="3" hidden="1">
      <c r="A3" s="283"/>
      <c r="B3" s="284"/>
      <c r="C3" s="285" t="s">
        <v>73</v>
      </c>
      <c r="D3" s="286"/>
      <c r="E3" s="284"/>
      <c r="F3" s="284"/>
      <c r="G3" s="286"/>
      <c r="H3" s="284"/>
      <c r="I3" s="284"/>
      <c r="J3" s="286"/>
      <c r="K3" s="284"/>
      <c r="L3" s="284"/>
      <c r="M3" s="286"/>
      <c r="N3" s="284"/>
      <c r="O3" s="284"/>
      <c r="P3" s="286"/>
      <c r="Q3" s="284"/>
      <c r="R3" s="287"/>
      <c r="S3" s="286"/>
    </row>
    <row r="4" hidden="1">
      <c r="A4" s="288">
        <v>45993.0</v>
      </c>
      <c r="B4" s="289">
        <f>SUM(B5:B12)</f>
        <v>5189.73</v>
      </c>
      <c r="C4" s="290">
        <f>SUM(C5:C11)</f>
        <v>1956.99</v>
      </c>
      <c r="D4" s="291">
        <f t="shared" ref="D4:D11" si="1">C4-B4</f>
        <v>-3232.74</v>
      </c>
      <c r="E4" s="292">
        <f t="shared" ref="E4:E11" si="2">B4*2</f>
        <v>10379.46</v>
      </c>
      <c r="F4" s="290">
        <f>SUM(F5:F11)</f>
        <v>5702.36</v>
      </c>
      <c r="G4" s="291">
        <f t="shared" ref="G4:G11" si="3">F4-E4</f>
        <v>-4677.1</v>
      </c>
      <c r="H4" s="292">
        <f t="shared" ref="H4:H11" si="4">B4*3</f>
        <v>15569.19</v>
      </c>
      <c r="I4" s="290">
        <f>SUM(I5:I11)</f>
        <v>7235.59</v>
      </c>
      <c r="J4" s="291">
        <f>I4-H4</f>
        <v>-8333.6</v>
      </c>
      <c r="K4" s="292">
        <f t="shared" ref="K4:K11" si="5">B4*4</f>
        <v>20758.92</v>
      </c>
      <c r="L4" s="290">
        <f>SUM(L5:L11)</f>
        <v>8658.51</v>
      </c>
      <c r="M4" s="291">
        <f t="shared" ref="M4:M11" si="6">L4-K4</f>
        <v>-12100.41</v>
      </c>
      <c r="N4" s="292">
        <f t="shared" ref="N4:N11" si="7">B4*5</f>
        <v>25948.65</v>
      </c>
      <c r="O4" s="290">
        <f>SUM(O5:O11)</f>
        <v>12984.5</v>
      </c>
      <c r="P4" s="291">
        <f t="shared" ref="P4:P11" si="8">O4-N4</f>
        <v>-12964.15</v>
      </c>
      <c r="Q4" s="292">
        <f t="shared" ref="Q4:Q11" si="9">N4</f>
        <v>25948.65</v>
      </c>
      <c r="R4" s="293">
        <f>SUM(R5:R11)</f>
        <v>0</v>
      </c>
      <c r="S4" s="294">
        <f t="shared" ref="S4:S11" si="10">Q4-R4</f>
        <v>25948.65</v>
      </c>
    </row>
    <row r="5" hidden="1">
      <c r="A5" s="295" t="s">
        <v>60</v>
      </c>
      <c r="B5" s="296">
        <v>917.58</v>
      </c>
      <c r="C5" s="297">
        <v>0.0</v>
      </c>
      <c r="D5" s="298">
        <f t="shared" si="1"/>
        <v>-917.58</v>
      </c>
      <c r="E5" s="299">
        <f t="shared" si="2"/>
        <v>1835.16</v>
      </c>
      <c r="F5" s="297">
        <v>1454.09</v>
      </c>
      <c r="G5" s="298">
        <f t="shared" si="3"/>
        <v>-381.07</v>
      </c>
      <c r="H5" s="299">
        <f t="shared" si="4"/>
        <v>2752.74</v>
      </c>
      <c r="I5" s="297">
        <v>1604.32</v>
      </c>
      <c r="J5" s="298">
        <f t="shared" ref="J5:J11" si="11">H5-I5</f>
        <v>1148.42</v>
      </c>
      <c r="K5" s="299">
        <f t="shared" si="5"/>
        <v>3670.32</v>
      </c>
      <c r="L5" s="297">
        <v>1604.32</v>
      </c>
      <c r="M5" s="298">
        <f t="shared" si="6"/>
        <v>-2066</v>
      </c>
      <c r="N5" s="299">
        <f t="shared" si="7"/>
        <v>4587.9</v>
      </c>
      <c r="O5" s="297">
        <v>4140.15</v>
      </c>
      <c r="P5" s="298">
        <f t="shared" si="8"/>
        <v>-447.75</v>
      </c>
      <c r="Q5" s="299">
        <f t="shared" si="9"/>
        <v>4587.9</v>
      </c>
      <c r="R5" s="297">
        <v>0.0</v>
      </c>
      <c r="S5" s="300">
        <f t="shared" si="10"/>
        <v>4587.9</v>
      </c>
    </row>
    <row r="6" hidden="1">
      <c r="A6" s="301" t="s">
        <v>62</v>
      </c>
      <c r="B6" s="296">
        <v>1351.58</v>
      </c>
      <c r="C6" s="297">
        <v>1250.0</v>
      </c>
      <c r="D6" s="298">
        <f t="shared" si="1"/>
        <v>-101.58</v>
      </c>
      <c r="E6" s="299">
        <f t="shared" si="2"/>
        <v>2703.16</v>
      </c>
      <c r="F6" s="297">
        <v>2045.48</v>
      </c>
      <c r="G6" s="298">
        <f t="shared" si="3"/>
        <v>-657.68</v>
      </c>
      <c r="H6" s="299">
        <f t="shared" si="4"/>
        <v>4054.74</v>
      </c>
      <c r="I6" s="297">
        <v>3078.48</v>
      </c>
      <c r="J6" s="298">
        <f t="shared" si="11"/>
        <v>976.26</v>
      </c>
      <c r="K6" s="299">
        <f t="shared" si="5"/>
        <v>5406.32</v>
      </c>
      <c r="L6" s="297">
        <v>3236.4</v>
      </c>
      <c r="M6" s="298">
        <f t="shared" si="6"/>
        <v>-2169.92</v>
      </c>
      <c r="N6" s="299">
        <f t="shared" si="7"/>
        <v>6757.9</v>
      </c>
      <c r="O6" s="297">
        <v>3934.29</v>
      </c>
      <c r="P6" s="298">
        <f t="shared" si="8"/>
        <v>-2823.61</v>
      </c>
      <c r="Q6" s="299">
        <f t="shared" si="9"/>
        <v>6757.9</v>
      </c>
      <c r="R6" s="297">
        <v>0.0</v>
      </c>
      <c r="S6" s="300">
        <f t="shared" si="10"/>
        <v>6757.9</v>
      </c>
    </row>
    <row r="7" hidden="1">
      <c r="A7" s="301" t="s">
        <v>44</v>
      </c>
      <c r="B7" s="296">
        <v>757.07</v>
      </c>
      <c r="C7" s="297">
        <v>281.99</v>
      </c>
      <c r="D7" s="298">
        <f t="shared" si="1"/>
        <v>-475.08</v>
      </c>
      <c r="E7" s="299">
        <f t="shared" si="2"/>
        <v>1514.14</v>
      </c>
      <c r="F7" s="297">
        <v>416.99</v>
      </c>
      <c r="G7" s="298">
        <f t="shared" si="3"/>
        <v>-1097.15</v>
      </c>
      <c r="H7" s="299">
        <f t="shared" si="4"/>
        <v>2271.21</v>
      </c>
      <c r="I7" s="297">
        <v>416.99</v>
      </c>
      <c r="J7" s="298">
        <f t="shared" si="11"/>
        <v>1854.22</v>
      </c>
      <c r="K7" s="299">
        <f t="shared" si="5"/>
        <v>3028.28</v>
      </c>
      <c r="L7" s="297">
        <v>1291.99</v>
      </c>
      <c r="M7" s="298">
        <f t="shared" si="6"/>
        <v>-1736.29</v>
      </c>
      <c r="N7" s="299">
        <f t="shared" si="7"/>
        <v>3785.35</v>
      </c>
      <c r="O7" s="297">
        <v>2051.6</v>
      </c>
      <c r="P7" s="298">
        <f t="shared" si="8"/>
        <v>-1733.75</v>
      </c>
      <c r="Q7" s="299">
        <f t="shared" si="9"/>
        <v>3785.35</v>
      </c>
      <c r="R7" s="297">
        <v>0.0</v>
      </c>
      <c r="S7" s="300">
        <f t="shared" si="10"/>
        <v>3785.35</v>
      </c>
    </row>
    <row r="8" hidden="1">
      <c r="A8" s="301" t="s">
        <v>74</v>
      </c>
      <c r="B8" s="296">
        <v>551.89</v>
      </c>
      <c r="C8" s="297">
        <v>0.0</v>
      </c>
      <c r="D8" s="298">
        <f t="shared" si="1"/>
        <v>-551.89</v>
      </c>
      <c r="E8" s="299">
        <f t="shared" si="2"/>
        <v>1103.78</v>
      </c>
      <c r="F8" s="297">
        <v>0.0</v>
      </c>
      <c r="G8" s="298">
        <f t="shared" si="3"/>
        <v>-1103.78</v>
      </c>
      <c r="H8" s="299">
        <f t="shared" si="4"/>
        <v>1655.67</v>
      </c>
      <c r="I8" s="297">
        <v>0.0</v>
      </c>
      <c r="J8" s="298">
        <f t="shared" si="11"/>
        <v>1655.67</v>
      </c>
      <c r="K8" s="299">
        <f t="shared" si="5"/>
        <v>2207.56</v>
      </c>
      <c r="L8" s="297">
        <v>0.0</v>
      </c>
      <c r="M8" s="298">
        <f t="shared" si="6"/>
        <v>-2207.56</v>
      </c>
      <c r="N8" s="299">
        <f t="shared" si="7"/>
        <v>2759.45</v>
      </c>
      <c r="O8" s="297">
        <v>0.0</v>
      </c>
      <c r="P8" s="298">
        <f t="shared" si="8"/>
        <v>-2759.45</v>
      </c>
      <c r="Q8" s="299">
        <f t="shared" si="9"/>
        <v>2759.45</v>
      </c>
      <c r="R8" s="297">
        <v>0.0</v>
      </c>
      <c r="S8" s="300">
        <f t="shared" si="10"/>
        <v>2759.45</v>
      </c>
    </row>
    <row r="9" hidden="1">
      <c r="A9" s="301" t="s">
        <v>54</v>
      </c>
      <c r="B9" s="296">
        <v>633.74</v>
      </c>
      <c r="C9" s="297">
        <v>425.0</v>
      </c>
      <c r="D9" s="298">
        <f t="shared" si="1"/>
        <v>-208.74</v>
      </c>
      <c r="E9" s="299">
        <f t="shared" si="2"/>
        <v>1267.48</v>
      </c>
      <c r="F9" s="297">
        <v>1680.86</v>
      </c>
      <c r="G9" s="298">
        <f t="shared" si="3"/>
        <v>413.38</v>
      </c>
      <c r="H9" s="299">
        <f t="shared" si="4"/>
        <v>1901.22</v>
      </c>
      <c r="I9" s="297">
        <v>2030.86</v>
      </c>
      <c r="J9" s="298">
        <f t="shared" si="11"/>
        <v>-129.64</v>
      </c>
      <c r="K9" s="299">
        <f t="shared" si="5"/>
        <v>2534.96</v>
      </c>
      <c r="L9" s="297">
        <v>2030.86</v>
      </c>
      <c r="M9" s="298">
        <f t="shared" si="6"/>
        <v>-504.1</v>
      </c>
      <c r="N9" s="299">
        <f t="shared" si="7"/>
        <v>3168.7</v>
      </c>
      <c r="O9" s="297">
        <v>2159.59</v>
      </c>
      <c r="P9" s="298">
        <f t="shared" si="8"/>
        <v>-1009.11</v>
      </c>
      <c r="Q9" s="299">
        <f t="shared" si="9"/>
        <v>3168.7</v>
      </c>
      <c r="R9" s="297">
        <v>0.0</v>
      </c>
      <c r="S9" s="300">
        <f t="shared" si="10"/>
        <v>3168.7</v>
      </c>
    </row>
    <row r="10" hidden="1">
      <c r="A10" s="302" t="s">
        <v>58</v>
      </c>
      <c r="B10" s="303">
        <v>489.28</v>
      </c>
      <c r="C10" s="304">
        <v>0.0</v>
      </c>
      <c r="D10" s="305">
        <f t="shared" si="1"/>
        <v>-489.28</v>
      </c>
      <c r="E10" s="306">
        <f t="shared" si="2"/>
        <v>978.56</v>
      </c>
      <c r="F10" s="304">
        <v>49.94</v>
      </c>
      <c r="G10" s="305">
        <f t="shared" si="3"/>
        <v>-928.62</v>
      </c>
      <c r="H10" s="306">
        <f t="shared" si="4"/>
        <v>1467.84</v>
      </c>
      <c r="I10" s="304">
        <v>49.94</v>
      </c>
      <c r="J10" s="305">
        <f t="shared" si="11"/>
        <v>1417.9</v>
      </c>
      <c r="K10" s="306">
        <f t="shared" si="5"/>
        <v>1957.12</v>
      </c>
      <c r="L10" s="304">
        <v>439.94</v>
      </c>
      <c r="M10" s="305">
        <f t="shared" si="6"/>
        <v>-1517.18</v>
      </c>
      <c r="N10" s="306">
        <f t="shared" si="7"/>
        <v>2446.4</v>
      </c>
      <c r="O10" s="304">
        <v>439.94</v>
      </c>
      <c r="P10" s="305">
        <f t="shared" si="8"/>
        <v>-2006.46</v>
      </c>
      <c r="Q10" s="306">
        <f t="shared" si="9"/>
        <v>2446.4</v>
      </c>
      <c r="R10" s="304">
        <v>0.0</v>
      </c>
      <c r="S10" s="307">
        <f t="shared" si="10"/>
        <v>2446.4</v>
      </c>
    </row>
    <row r="11" hidden="1">
      <c r="A11" s="308" t="s">
        <v>75</v>
      </c>
      <c r="B11" s="309">
        <v>488.59</v>
      </c>
      <c r="C11" s="310">
        <v>0.0</v>
      </c>
      <c r="D11" s="311">
        <f t="shared" si="1"/>
        <v>-488.59</v>
      </c>
      <c r="E11" s="312">
        <f t="shared" si="2"/>
        <v>977.18</v>
      </c>
      <c r="F11" s="310">
        <v>55.0</v>
      </c>
      <c r="G11" s="311">
        <f t="shared" si="3"/>
        <v>-922.18</v>
      </c>
      <c r="H11" s="312">
        <f t="shared" si="4"/>
        <v>1465.77</v>
      </c>
      <c r="I11" s="310">
        <v>55.0</v>
      </c>
      <c r="J11" s="311">
        <f t="shared" si="11"/>
        <v>1410.77</v>
      </c>
      <c r="K11" s="312">
        <f t="shared" si="5"/>
        <v>1954.36</v>
      </c>
      <c r="L11" s="310">
        <v>55.0</v>
      </c>
      <c r="M11" s="311">
        <f t="shared" si="6"/>
        <v>-1899.36</v>
      </c>
      <c r="N11" s="312">
        <f t="shared" si="7"/>
        <v>2442.95</v>
      </c>
      <c r="O11" s="310">
        <v>258.93</v>
      </c>
      <c r="P11" s="311">
        <f t="shared" si="8"/>
        <v>-2184.02</v>
      </c>
      <c r="Q11" s="312">
        <f t="shared" si="9"/>
        <v>2442.95</v>
      </c>
      <c r="R11" s="310">
        <v>0.0</v>
      </c>
      <c r="S11" s="313">
        <f t="shared" si="10"/>
        <v>2442.95</v>
      </c>
    </row>
    <row r="12" hidden="1">
      <c r="A12" s="283"/>
      <c r="B12" s="284"/>
      <c r="C12" s="285" t="s">
        <v>73</v>
      </c>
      <c r="D12" s="286"/>
      <c r="E12" s="284"/>
      <c r="F12" s="284"/>
      <c r="G12" s="314"/>
      <c r="H12" s="315"/>
      <c r="I12" s="316"/>
      <c r="J12" s="317"/>
      <c r="K12" s="284"/>
      <c r="L12" s="284"/>
      <c r="M12" s="286"/>
      <c r="N12" s="284"/>
      <c r="O12" s="284"/>
      <c r="P12" s="286"/>
      <c r="Q12" s="284"/>
      <c r="R12" s="287"/>
      <c r="S12" s="286"/>
    </row>
    <row r="13" hidden="1">
      <c r="A13" s="288">
        <v>45995.0</v>
      </c>
      <c r="B13" s="289">
        <f>SUM(B14:B21)</f>
        <v>5404.92</v>
      </c>
      <c r="C13" s="290">
        <f>SUM(C14:C20)</f>
        <v>3370.36</v>
      </c>
      <c r="D13" s="291">
        <f t="shared" ref="D13:D20" si="12">C13-B13</f>
        <v>-2034.56</v>
      </c>
      <c r="E13" s="292">
        <f t="shared" ref="E13:E20" si="13">B13*2</f>
        <v>10809.84</v>
      </c>
      <c r="F13" s="290">
        <f>SUM(F14:F20)</f>
        <v>5646.3</v>
      </c>
      <c r="G13" s="291">
        <f t="shared" ref="G13:G20" si="14">F13-E13</f>
        <v>-5163.54</v>
      </c>
      <c r="H13" s="292">
        <f t="shared" ref="H13:H20" si="15">B13*3</f>
        <v>16214.76</v>
      </c>
      <c r="I13" s="290">
        <f>SUM(I14:I20)</f>
        <v>6589.47</v>
      </c>
      <c r="J13" s="291">
        <f t="shared" ref="J13:J20" si="16">I13-H13</f>
        <v>-9625.29</v>
      </c>
      <c r="K13" s="292">
        <f t="shared" ref="K13:K20" si="17">B13*4</f>
        <v>21619.68</v>
      </c>
      <c r="L13" s="290">
        <f>SUM(L14:L20)</f>
        <v>9253.25</v>
      </c>
      <c r="M13" s="291">
        <f t="shared" ref="M13:M20" si="18">L13-K13</f>
        <v>-12366.43</v>
      </c>
      <c r="N13" s="292">
        <f t="shared" ref="N13:N20" si="19">B13*5</f>
        <v>27024.6</v>
      </c>
      <c r="O13" s="290">
        <f>SUM(O14:O20)</f>
        <v>11177.09</v>
      </c>
      <c r="P13" s="291">
        <f t="shared" ref="P13:P20" si="20">O13-N13</f>
        <v>-15847.51</v>
      </c>
      <c r="Q13" s="292">
        <f t="shared" ref="Q13:Q20" si="21">N13</f>
        <v>27024.6</v>
      </c>
      <c r="R13" s="293">
        <f>SUM(R14:R214)</f>
        <v>377917.16</v>
      </c>
      <c r="S13" s="300">
        <f t="shared" ref="S13:S20" si="22">R13-Q13</f>
        <v>350892.56</v>
      </c>
    </row>
    <row r="14" hidden="1">
      <c r="A14" s="295" t="s">
        <v>60</v>
      </c>
      <c r="B14" s="296">
        <v>976.82</v>
      </c>
      <c r="C14" s="297">
        <v>990.09</v>
      </c>
      <c r="D14" s="298">
        <f t="shared" si="12"/>
        <v>13.27</v>
      </c>
      <c r="E14" s="299">
        <f t="shared" si="13"/>
        <v>1953.64</v>
      </c>
      <c r="F14" s="297">
        <v>1251.17</v>
      </c>
      <c r="G14" s="298">
        <f t="shared" si="14"/>
        <v>-702.47</v>
      </c>
      <c r="H14" s="299">
        <f t="shared" si="15"/>
        <v>2930.46</v>
      </c>
      <c r="I14" s="297">
        <v>1701.17</v>
      </c>
      <c r="J14" s="298">
        <f t="shared" si="16"/>
        <v>-1229.29</v>
      </c>
      <c r="K14" s="299">
        <f t="shared" si="17"/>
        <v>3907.28</v>
      </c>
      <c r="L14" s="297">
        <v>1889.96</v>
      </c>
      <c r="M14" s="298">
        <f t="shared" si="18"/>
        <v>-2017.32</v>
      </c>
      <c r="N14" s="299">
        <f t="shared" si="19"/>
        <v>4884.1</v>
      </c>
      <c r="O14" s="297">
        <v>3100.81</v>
      </c>
      <c r="P14" s="298">
        <f t="shared" si="20"/>
        <v>-1783.29</v>
      </c>
      <c r="Q14" s="299">
        <f t="shared" si="21"/>
        <v>4884.1</v>
      </c>
      <c r="R14" s="297">
        <v>3316.81</v>
      </c>
      <c r="S14" s="300">
        <f t="shared" si="22"/>
        <v>-1567.29</v>
      </c>
    </row>
    <row r="15" hidden="1">
      <c r="A15" s="301" t="s">
        <v>62</v>
      </c>
      <c r="B15" s="296">
        <v>1384.79</v>
      </c>
      <c r="C15" s="297">
        <v>1559.06</v>
      </c>
      <c r="D15" s="298">
        <f t="shared" si="12"/>
        <v>174.27</v>
      </c>
      <c r="E15" s="299">
        <f t="shared" si="13"/>
        <v>2769.58</v>
      </c>
      <c r="F15" s="297">
        <v>2153.06</v>
      </c>
      <c r="G15" s="298">
        <f t="shared" si="14"/>
        <v>-616.52</v>
      </c>
      <c r="H15" s="299">
        <f t="shared" si="15"/>
        <v>4154.37</v>
      </c>
      <c r="I15" s="297">
        <v>2398.64</v>
      </c>
      <c r="J15" s="298">
        <f t="shared" si="16"/>
        <v>-1755.73</v>
      </c>
      <c r="K15" s="299">
        <f t="shared" si="17"/>
        <v>5539.16</v>
      </c>
      <c r="L15" s="297">
        <v>3280.64</v>
      </c>
      <c r="M15" s="298">
        <f t="shared" si="18"/>
        <v>-2258.52</v>
      </c>
      <c r="N15" s="299">
        <f t="shared" si="19"/>
        <v>6923.95</v>
      </c>
      <c r="O15" s="297">
        <v>3478.13</v>
      </c>
      <c r="P15" s="298">
        <f t="shared" si="20"/>
        <v>-3445.82</v>
      </c>
      <c r="Q15" s="299">
        <f t="shared" si="21"/>
        <v>6923.95</v>
      </c>
      <c r="R15" s="297">
        <v>4424.29</v>
      </c>
      <c r="S15" s="300">
        <f t="shared" si="22"/>
        <v>-2499.66</v>
      </c>
    </row>
    <row r="16" hidden="1">
      <c r="A16" s="301" t="s">
        <v>44</v>
      </c>
      <c r="B16" s="296">
        <v>777.47</v>
      </c>
      <c r="C16" s="297">
        <v>353.0</v>
      </c>
      <c r="D16" s="298">
        <f t="shared" si="12"/>
        <v>-424.47</v>
      </c>
      <c r="E16" s="299">
        <f t="shared" si="13"/>
        <v>1554.94</v>
      </c>
      <c r="F16" s="297">
        <v>786.52</v>
      </c>
      <c r="G16" s="298">
        <f t="shared" si="14"/>
        <v>-768.42</v>
      </c>
      <c r="H16" s="299">
        <f t="shared" si="15"/>
        <v>2332.41</v>
      </c>
      <c r="I16" s="297">
        <v>993.27</v>
      </c>
      <c r="J16" s="298">
        <f t="shared" si="16"/>
        <v>-1339.14</v>
      </c>
      <c r="K16" s="299">
        <f t="shared" si="17"/>
        <v>3109.88</v>
      </c>
      <c r="L16" s="297">
        <v>1671.24</v>
      </c>
      <c r="M16" s="298">
        <f t="shared" si="18"/>
        <v>-1438.64</v>
      </c>
      <c r="N16" s="299">
        <f t="shared" si="19"/>
        <v>3887.35</v>
      </c>
      <c r="O16" s="297">
        <v>1786.74</v>
      </c>
      <c r="P16" s="298">
        <f t="shared" si="20"/>
        <v>-2100.61</v>
      </c>
      <c r="Q16" s="299">
        <f t="shared" si="21"/>
        <v>3887.35</v>
      </c>
      <c r="R16" s="297">
        <v>1786.24</v>
      </c>
      <c r="S16" s="300">
        <f t="shared" si="22"/>
        <v>-2101.11</v>
      </c>
    </row>
    <row r="17" hidden="1">
      <c r="A17" s="301" t="s">
        <v>74</v>
      </c>
      <c r="B17" s="296">
        <v>582.77</v>
      </c>
      <c r="C17" s="297">
        <v>0.0</v>
      </c>
      <c r="D17" s="298">
        <f t="shared" si="12"/>
        <v>-582.77</v>
      </c>
      <c r="E17" s="299">
        <f t="shared" si="13"/>
        <v>1165.54</v>
      </c>
      <c r="F17" s="297">
        <v>134.39</v>
      </c>
      <c r="G17" s="298">
        <f t="shared" si="14"/>
        <v>-1031.15</v>
      </c>
      <c r="H17" s="299">
        <f t="shared" si="15"/>
        <v>1748.31</v>
      </c>
      <c r="I17" s="297">
        <v>75.31</v>
      </c>
      <c r="J17" s="298">
        <f t="shared" si="16"/>
        <v>-1673</v>
      </c>
      <c r="K17" s="299">
        <f t="shared" si="17"/>
        <v>2331.08</v>
      </c>
      <c r="L17" s="297">
        <v>591.26</v>
      </c>
      <c r="M17" s="298">
        <f t="shared" si="18"/>
        <v>-1739.82</v>
      </c>
      <c r="N17" s="299">
        <f t="shared" si="19"/>
        <v>2913.85</v>
      </c>
      <c r="O17" s="297">
        <v>591.26</v>
      </c>
      <c r="P17" s="298">
        <f t="shared" si="20"/>
        <v>-2322.59</v>
      </c>
      <c r="Q17" s="299">
        <f t="shared" si="21"/>
        <v>2913.85</v>
      </c>
      <c r="R17" s="297">
        <v>713.56</v>
      </c>
      <c r="S17" s="300">
        <f t="shared" si="22"/>
        <v>-2200.29</v>
      </c>
    </row>
    <row r="18" hidden="1">
      <c r="A18" s="301" t="s">
        <v>54</v>
      </c>
      <c r="B18" s="296">
        <v>677.38</v>
      </c>
      <c r="C18" s="297">
        <v>468.21</v>
      </c>
      <c r="D18" s="298">
        <f t="shared" si="12"/>
        <v>-209.17</v>
      </c>
      <c r="E18" s="299">
        <f t="shared" si="13"/>
        <v>1354.76</v>
      </c>
      <c r="F18" s="297">
        <v>1009.2</v>
      </c>
      <c r="G18" s="298">
        <f t="shared" si="14"/>
        <v>-345.56</v>
      </c>
      <c r="H18" s="299">
        <f t="shared" si="15"/>
        <v>2032.14</v>
      </c>
      <c r="I18" s="297">
        <v>1009.2</v>
      </c>
      <c r="J18" s="298">
        <f t="shared" si="16"/>
        <v>-1022.94</v>
      </c>
      <c r="K18" s="299">
        <f t="shared" si="17"/>
        <v>2709.52</v>
      </c>
      <c r="L18" s="297">
        <v>1009.2</v>
      </c>
      <c r="M18" s="298">
        <f t="shared" si="18"/>
        <v>-1700.32</v>
      </c>
      <c r="N18" s="299">
        <f t="shared" si="19"/>
        <v>3386.9</v>
      </c>
      <c r="O18" s="297">
        <v>1409.2</v>
      </c>
      <c r="P18" s="298">
        <f t="shared" si="20"/>
        <v>-1977.7</v>
      </c>
      <c r="Q18" s="299">
        <f t="shared" si="21"/>
        <v>3386.9</v>
      </c>
      <c r="R18" s="297">
        <v>1409.2</v>
      </c>
      <c r="S18" s="300">
        <f t="shared" si="22"/>
        <v>-1977.7</v>
      </c>
    </row>
    <row r="19" hidden="1">
      <c r="A19" s="302" t="s">
        <v>58</v>
      </c>
      <c r="B19" s="303">
        <v>512.89</v>
      </c>
      <c r="C19" s="297">
        <v>0.0</v>
      </c>
      <c r="D19" s="305">
        <f t="shared" si="12"/>
        <v>-512.89</v>
      </c>
      <c r="E19" s="306">
        <f t="shared" si="13"/>
        <v>1025.78</v>
      </c>
      <c r="F19" s="297">
        <v>0.0</v>
      </c>
      <c r="G19" s="305">
        <f t="shared" si="14"/>
        <v>-1025.78</v>
      </c>
      <c r="H19" s="306">
        <f t="shared" si="15"/>
        <v>1538.67</v>
      </c>
      <c r="I19" s="297">
        <v>99.92</v>
      </c>
      <c r="J19" s="298">
        <f t="shared" si="16"/>
        <v>-1438.75</v>
      </c>
      <c r="K19" s="306">
        <f t="shared" si="17"/>
        <v>2051.56</v>
      </c>
      <c r="L19" s="297">
        <v>498.99</v>
      </c>
      <c r="M19" s="305">
        <f t="shared" si="18"/>
        <v>-1552.57</v>
      </c>
      <c r="N19" s="306">
        <f t="shared" si="19"/>
        <v>2564.45</v>
      </c>
      <c r="O19" s="297">
        <v>498.99</v>
      </c>
      <c r="P19" s="305">
        <f t="shared" si="20"/>
        <v>-2065.46</v>
      </c>
      <c r="Q19" s="306">
        <f t="shared" si="21"/>
        <v>2564.45</v>
      </c>
      <c r="R19" s="304">
        <v>498.99</v>
      </c>
      <c r="S19" s="300">
        <f t="shared" si="22"/>
        <v>-2065.46</v>
      </c>
    </row>
    <row r="20" hidden="1">
      <c r="A20" s="308" t="s">
        <v>75</v>
      </c>
      <c r="B20" s="309">
        <v>492.8</v>
      </c>
      <c r="C20" s="297">
        <v>0.0</v>
      </c>
      <c r="D20" s="311">
        <f t="shared" si="12"/>
        <v>-492.8</v>
      </c>
      <c r="E20" s="312">
        <f t="shared" si="13"/>
        <v>985.6</v>
      </c>
      <c r="F20" s="297">
        <v>311.96</v>
      </c>
      <c r="G20" s="311">
        <f t="shared" si="14"/>
        <v>-673.64</v>
      </c>
      <c r="H20" s="312">
        <f t="shared" si="15"/>
        <v>1478.4</v>
      </c>
      <c r="I20" s="297">
        <v>311.96</v>
      </c>
      <c r="J20" s="298">
        <f t="shared" si="16"/>
        <v>-1166.44</v>
      </c>
      <c r="K20" s="312">
        <f t="shared" si="17"/>
        <v>1971.2</v>
      </c>
      <c r="L20" s="297">
        <v>311.96</v>
      </c>
      <c r="M20" s="311">
        <f t="shared" si="18"/>
        <v>-1659.24</v>
      </c>
      <c r="N20" s="312">
        <f t="shared" si="19"/>
        <v>2464</v>
      </c>
      <c r="O20" s="297">
        <v>311.96</v>
      </c>
      <c r="P20" s="311">
        <f t="shared" si="20"/>
        <v>-2152.04</v>
      </c>
      <c r="Q20" s="312">
        <f t="shared" si="21"/>
        <v>2464</v>
      </c>
      <c r="R20" s="310">
        <v>311.96</v>
      </c>
      <c r="S20" s="300">
        <f t="shared" si="22"/>
        <v>-2152.04</v>
      </c>
    </row>
    <row r="21" hidden="1">
      <c r="A21" s="283"/>
      <c r="B21" s="284"/>
      <c r="C21" s="285" t="s">
        <v>73</v>
      </c>
      <c r="D21" s="286"/>
      <c r="E21" s="284"/>
      <c r="F21" s="284"/>
      <c r="G21" s="314"/>
      <c r="H21" s="315"/>
      <c r="I21" s="316"/>
      <c r="J21" s="317"/>
      <c r="K21" s="284"/>
      <c r="L21" s="284"/>
      <c r="M21" s="286"/>
      <c r="N21" s="284"/>
      <c r="O21" s="284"/>
      <c r="P21" s="286"/>
      <c r="Q21" s="284"/>
      <c r="R21" s="318">
        <v>677.36</v>
      </c>
      <c r="S21" s="286"/>
    </row>
    <row r="22" hidden="1">
      <c r="A22" s="288">
        <v>45996.0</v>
      </c>
      <c r="B22" s="289">
        <f>SUM(B23:B30)</f>
        <v>5591.67</v>
      </c>
      <c r="C22" s="290">
        <f>SUM(C23:C29)</f>
        <v>4164.1</v>
      </c>
      <c r="D22" s="291">
        <f t="shared" ref="D22:D29" si="23">C22-B22</f>
        <v>-1427.57</v>
      </c>
      <c r="E22" s="292">
        <f t="shared" ref="E22:E29" si="24">B22*2</f>
        <v>11183.34</v>
      </c>
      <c r="F22" s="290">
        <f>SUM(F23:F29)</f>
        <v>5992.07</v>
      </c>
      <c r="G22" s="291">
        <f t="shared" ref="G22:G29" si="25">F22-E22</f>
        <v>-5191.27</v>
      </c>
      <c r="H22" s="292">
        <f t="shared" ref="H22:H29" si="26">B22*3</f>
        <v>16775.01</v>
      </c>
      <c r="I22" s="290">
        <f>SUM(I23:I29)</f>
        <v>9476.2</v>
      </c>
      <c r="J22" s="291">
        <f t="shared" ref="J22:J29" si="27">I22-H22</f>
        <v>-7298.81</v>
      </c>
      <c r="K22" s="292">
        <f t="shared" ref="K22:K29" si="28">B22*4</f>
        <v>22366.68</v>
      </c>
      <c r="L22" s="290">
        <f>SUM(L23:L29)</f>
        <v>11593.59</v>
      </c>
      <c r="M22" s="291">
        <f t="shared" ref="M22:M29" si="29">L22-K22</f>
        <v>-10773.09</v>
      </c>
      <c r="N22" s="292">
        <f t="shared" ref="N22:N29" si="30">B22*5</f>
        <v>27958.35</v>
      </c>
      <c r="O22" s="290">
        <f>SUM(O23:O29)</f>
        <v>14482.87</v>
      </c>
      <c r="P22" s="291">
        <f t="shared" ref="P22:P29" si="31">O22-N22</f>
        <v>-13475.48</v>
      </c>
      <c r="Q22" s="292">
        <f t="shared" ref="Q22:Q29" si="32">N22</f>
        <v>27958.35</v>
      </c>
      <c r="R22" s="293">
        <v>18642.39</v>
      </c>
      <c r="S22" s="300">
        <f t="shared" ref="S22:S29" si="33">R22-Q22</f>
        <v>-9315.96</v>
      </c>
    </row>
    <row r="23" hidden="1">
      <c r="A23" s="295" t="s">
        <v>60</v>
      </c>
      <c r="B23" s="296">
        <v>996.36</v>
      </c>
      <c r="C23" s="297">
        <v>0.0</v>
      </c>
      <c r="D23" s="298">
        <f t="shared" si="23"/>
        <v>-996.36</v>
      </c>
      <c r="E23" s="299">
        <f t="shared" si="24"/>
        <v>1992.72</v>
      </c>
      <c r="F23" s="297">
        <v>1074.75</v>
      </c>
      <c r="G23" s="298">
        <f t="shared" si="25"/>
        <v>-917.97</v>
      </c>
      <c r="H23" s="299">
        <f t="shared" si="26"/>
        <v>2989.08</v>
      </c>
      <c r="I23" s="297">
        <v>1384.75</v>
      </c>
      <c r="J23" s="298">
        <f t="shared" si="27"/>
        <v>-1604.33</v>
      </c>
      <c r="K23" s="299">
        <f t="shared" si="28"/>
        <v>3985.44</v>
      </c>
      <c r="L23" s="297">
        <v>1574.94</v>
      </c>
      <c r="M23" s="298">
        <f t="shared" si="29"/>
        <v>-2410.5</v>
      </c>
      <c r="N23" s="299">
        <f t="shared" si="30"/>
        <v>4981.8</v>
      </c>
      <c r="O23" s="297">
        <v>1574.94</v>
      </c>
      <c r="P23" s="298">
        <f t="shared" si="31"/>
        <v>-3406.86</v>
      </c>
      <c r="Q23" s="299">
        <f t="shared" si="32"/>
        <v>4981.8</v>
      </c>
      <c r="R23" s="297">
        <v>0.0</v>
      </c>
      <c r="S23" s="300">
        <f t="shared" si="33"/>
        <v>-4981.8</v>
      </c>
    </row>
    <row r="24" hidden="1">
      <c r="A24" s="301" t="s">
        <v>62</v>
      </c>
      <c r="B24" s="296">
        <v>1420.77</v>
      </c>
      <c r="C24" s="297">
        <v>1247.75</v>
      </c>
      <c r="D24" s="298">
        <f t="shared" si="23"/>
        <v>-173.02</v>
      </c>
      <c r="E24" s="299">
        <f t="shared" si="24"/>
        <v>2841.54</v>
      </c>
      <c r="F24" s="297">
        <v>1247.75</v>
      </c>
      <c r="G24" s="298">
        <f t="shared" si="25"/>
        <v>-1593.79</v>
      </c>
      <c r="H24" s="299">
        <f t="shared" si="26"/>
        <v>4262.31</v>
      </c>
      <c r="I24" s="297">
        <v>2559.59</v>
      </c>
      <c r="J24" s="298">
        <f t="shared" si="27"/>
        <v>-1702.72</v>
      </c>
      <c r="K24" s="299">
        <f t="shared" si="28"/>
        <v>5683.08</v>
      </c>
      <c r="L24" s="297">
        <v>3894.56</v>
      </c>
      <c r="M24" s="298">
        <f t="shared" si="29"/>
        <v>-1788.52</v>
      </c>
      <c r="N24" s="299">
        <f t="shared" si="30"/>
        <v>7103.85</v>
      </c>
      <c r="O24" s="297">
        <v>5710.81</v>
      </c>
      <c r="P24" s="298">
        <f t="shared" si="31"/>
        <v>-1393.04</v>
      </c>
      <c r="Q24" s="299">
        <f t="shared" si="32"/>
        <v>7103.85</v>
      </c>
      <c r="R24" s="297">
        <v>0.0</v>
      </c>
      <c r="S24" s="300">
        <f t="shared" si="33"/>
        <v>-7103.85</v>
      </c>
    </row>
    <row r="25" hidden="1">
      <c r="A25" s="301" t="s">
        <v>44</v>
      </c>
      <c r="B25" s="296">
        <v>803.73</v>
      </c>
      <c r="C25" s="297">
        <v>618.0</v>
      </c>
      <c r="D25" s="298">
        <f t="shared" si="23"/>
        <v>-185.73</v>
      </c>
      <c r="E25" s="299">
        <f t="shared" si="24"/>
        <v>1607.46</v>
      </c>
      <c r="F25" s="297">
        <v>720.59</v>
      </c>
      <c r="G25" s="298">
        <f t="shared" si="25"/>
        <v>-886.87</v>
      </c>
      <c r="H25" s="299">
        <f t="shared" si="26"/>
        <v>2411.19</v>
      </c>
      <c r="I25" s="297">
        <v>1574.71</v>
      </c>
      <c r="J25" s="298">
        <f t="shared" si="27"/>
        <v>-836.48</v>
      </c>
      <c r="K25" s="299">
        <f t="shared" si="28"/>
        <v>3214.92</v>
      </c>
      <c r="L25" s="297">
        <v>1804.57</v>
      </c>
      <c r="M25" s="298">
        <f t="shared" si="29"/>
        <v>-1410.35</v>
      </c>
      <c r="N25" s="299">
        <f t="shared" si="30"/>
        <v>4018.65</v>
      </c>
      <c r="O25" s="297">
        <v>2486.57</v>
      </c>
      <c r="P25" s="298">
        <f t="shared" si="31"/>
        <v>-1532.08</v>
      </c>
      <c r="Q25" s="299">
        <f t="shared" si="32"/>
        <v>4018.65</v>
      </c>
      <c r="R25" s="297">
        <v>0.0</v>
      </c>
      <c r="S25" s="300">
        <f t="shared" si="33"/>
        <v>-4018.65</v>
      </c>
    </row>
    <row r="26" hidden="1">
      <c r="A26" s="301" t="s">
        <v>74</v>
      </c>
      <c r="B26" s="296">
        <v>610.28</v>
      </c>
      <c r="C26" s="297">
        <v>548.01</v>
      </c>
      <c r="D26" s="298">
        <f t="shared" si="23"/>
        <v>-62.27</v>
      </c>
      <c r="E26" s="299">
        <f t="shared" si="24"/>
        <v>1220.56</v>
      </c>
      <c r="F26" s="297">
        <v>606.07</v>
      </c>
      <c r="G26" s="298">
        <f t="shared" si="25"/>
        <v>-614.49</v>
      </c>
      <c r="H26" s="299">
        <f t="shared" si="26"/>
        <v>1830.84</v>
      </c>
      <c r="I26" s="297">
        <v>606.07</v>
      </c>
      <c r="J26" s="298">
        <f t="shared" si="27"/>
        <v>-1224.77</v>
      </c>
      <c r="K26" s="299">
        <f t="shared" si="28"/>
        <v>2441.12</v>
      </c>
      <c r="L26" s="297">
        <v>719.34</v>
      </c>
      <c r="M26" s="298">
        <f t="shared" si="29"/>
        <v>-1721.78</v>
      </c>
      <c r="N26" s="299">
        <f t="shared" si="30"/>
        <v>3051.4</v>
      </c>
      <c r="O26" s="297">
        <v>816.61</v>
      </c>
      <c r="P26" s="298">
        <f t="shared" si="31"/>
        <v>-2234.79</v>
      </c>
      <c r="Q26" s="299">
        <f t="shared" si="32"/>
        <v>3051.4</v>
      </c>
      <c r="R26" s="297">
        <v>0.0</v>
      </c>
      <c r="S26" s="300">
        <f t="shared" si="33"/>
        <v>-3051.4</v>
      </c>
    </row>
    <row r="27" hidden="1">
      <c r="A27" s="301" t="s">
        <v>54</v>
      </c>
      <c r="B27" s="296">
        <v>702.1</v>
      </c>
      <c r="C27" s="297">
        <v>698.0</v>
      </c>
      <c r="D27" s="298">
        <f t="shared" si="23"/>
        <v>-4.1</v>
      </c>
      <c r="E27" s="299">
        <f t="shared" si="24"/>
        <v>1404.2</v>
      </c>
      <c r="F27" s="297">
        <v>1019.19</v>
      </c>
      <c r="G27" s="298">
        <f t="shared" si="25"/>
        <v>-385.01</v>
      </c>
      <c r="H27" s="299">
        <f t="shared" si="26"/>
        <v>2106.3</v>
      </c>
      <c r="I27" s="297">
        <v>1694.19</v>
      </c>
      <c r="J27" s="298">
        <f t="shared" si="27"/>
        <v>-412.11</v>
      </c>
      <c r="K27" s="299">
        <f t="shared" si="28"/>
        <v>2808.4</v>
      </c>
      <c r="L27" s="297">
        <v>1802.35</v>
      </c>
      <c r="M27" s="298">
        <f t="shared" si="29"/>
        <v>-1006.05</v>
      </c>
      <c r="N27" s="299">
        <f t="shared" si="30"/>
        <v>3510.5</v>
      </c>
      <c r="O27" s="297">
        <v>1802.35</v>
      </c>
      <c r="P27" s="298">
        <f t="shared" si="31"/>
        <v>-1708.15</v>
      </c>
      <c r="Q27" s="299">
        <f t="shared" si="32"/>
        <v>3510.5</v>
      </c>
      <c r="R27" s="297">
        <v>0.0</v>
      </c>
      <c r="S27" s="300">
        <f t="shared" si="33"/>
        <v>-3510.5</v>
      </c>
    </row>
    <row r="28" hidden="1">
      <c r="A28" s="302" t="s">
        <v>58</v>
      </c>
      <c r="B28" s="303">
        <v>538.73</v>
      </c>
      <c r="C28" s="297">
        <v>424.86</v>
      </c>
      <c r="D28" s="305">
        <f t="shared" si="23"/>
        <v>-113.87</v>
      </c>
      <c r="E28" s="306">
        <f t="shared" si="24"/>
        <v>1077.46</v>
      </c>
      <c r="F28" s="297">
        <v>696.24</v>
      </c>
      <c r="G28" s="305">
        <f t="shared" si="25"/>
        <v>-381.22</v>
      </c>
      <c r="H28" s="306">
        <f t="shared" si="26"/>
        <v>1616.19</v>
      </c>
      <c r="I28" s="297">
        <v>1029.41</v>
      </c>
      <c r="J28" s="298">
        <f t="shared" si="27"/>
        <v>-586.78</v>
      </c>
      <c r="K28" s="306">
        <f t="shared" si="28"/>
        <v>2154.92</v>
      </c>
      <c r="L28" s="297">
        <v>1170.35</v>
      </c>
      <c r="M28" s="305">
        <f t="shared" si="29"/>
        <v>-984.57</v>
      </c>
      <c r="N28" s="306">
        <f t="shared" si="30"/>
        <v>2693.65</v>
      </c>
      <c r="O28" s="297">
        <v>1464.11</v>
      </c>
      <c r="P28" s="305">
        <f t="shared" si="31"/>
        <v>-1229.54</v>
      </c>
      <c r="Q28" s="306">
        <f t="shared" si="32"/>
        <v>2693.65</v>
      </c>
      <c r="R28" s="297">
        <v>0.0</v>
      </c>
      <c r="S28" s="300">
        <f t="shared" si="33"/>
        <v>-2693.65</v>
      </c>
    </row>
    <row r="29" hidden="1">
      <c r="A29" s="308" t="s">
        <v>75</v>
      </c>
      <c r="B29" s="309">
        <v>519.7</v>
      </c>
      <c r="C29" s="297">
        <v>627.48</v>
      </c>
      <c r="D29" s="311">
        <f t="shared" si="23"/>
        <v>107.78</v>
      </c>
      <c r="E29" s="312">
        <f t="shared" si="24"/>
        <v>1039.4</v>
      </c>
      <c r="F29" s="297">
        <v>627.48</v>
      </c>
      <c r="G29" s="311">
        <f t="shared" si="25"/>
        <v>-411.92</v>
      </c>
      <c r="H29" s="312">
        <f t="shared" si="26"/>
        <v>1559.1</v>
      </c>
      <c r="I29" s="297">
        <v>627.48</v>
      </c>
      <c r="J29" s="298">
        <f t="shared" si="27"/>
        <v>-931.62</v>
      </c>
      <c r="K29" s="312">
        <f t="shared" si="28"/>
        <v>2078.8</v>
      </c>
      <c r="L29" s="297">
        <v>627.48</v>
      </c>
      <c r="M29" s="311">
        <f t="shared" si="29"/>
        <v>-1451.32</v>
      </c>
      <c r="N29" s="312">
        <f t="shared" si="30"/>
        <v>2598.5</v>
      </c>
      <c r="O29" s="297">
        <v>627.48</v>
      </c>
      <c r="P29" s="311">
        <f t="shared" si="31"/>
        <v>-1971.02</v>
      </c>
      <c r="Q29" s="312">
        <f t="shared" si="32"/>
        <v>2598.5</v>
      </c>
      <c r="R29" s="297">
        <v>0.0</v>
      </c>
      <c r="S29" s="300">
        <f t="shared" si="33"/>
        <v>-2598.5</v>
      </c>
    </row>
    <row r="30" hidden="1">
      <c r="A30" s="283"/>
      <c r="B30" s="284"/>
      <c r="C30" s="285" t="s">
        <v>73</v>
      </c>
      <c r="D30" s="286"/>
      <c r="E30" s="284"/>
      <c r="F30" s="284"/>
      <c r="G30" s="314"/>
      <c r="H30" s="315"/>
      <c r="I30" s="316"/>
      <c r="J30" s="317"/>
      <c r="K30" s="284"/>
      <c r="L30" s="284"/>
      <c r="M30" s="286"/>
      <c r="N30" s="284"/>
      <c r="O30" s="284"/>
      <c r="P30" s="286"/>
      <c r="Q30" s="284"/>
      <c r="R30" s="318">
        <v>677.36</v>
      </c>
      <c r="S30" s="286"/>
    </row>
    <row r="31" hidden="1">
      <c r="A31" s="288">
        <v>45997.0</v>
      </c>
      <c r="B31" s="289">
        <f>SUM(B32:B39)</f>
        <v>3700</v>
      </c>
      <c r="C31" s="290">
        <f>SUM(C32:C38)</f>
        <v>1567.45</v>
      </c>
      <c r="D31" s="291">
        <f t="shared" ref="D31:D38" si="34">C31-B31</f>
        <v>-2132.55</v>
      </c>
      <c r="E31" s="292">
        <f t="shared" ref="E31:E38" si="35">B31*2</f>
        <v>7400</v>
      </c>
      <c r="F31" s="290">
        <f>SUM(F32:F38)</f>
        <v>3570.62</v>
      </c>
      <c r="G31" s="291">
        <f t="shared" ref="G31:G38" si="36">F31-E31</f>
        <v>-3829.38</v>
      </c>
      <c r="H31" s="292">
        <f t="shared" ref="H31:H38" si="37">B31*3</f>
        <v>11100</v>
      </c>
      <c r="I31" s="290">
        <f>SUM(I32:I38)</f>
        <v>0</v>
      </c>
      <c r="J31" s="291">
        <f t="shared" ref="J31:J38" si="38">I31-H31</f>
        <v>-11100</v>
      </c>
      <c r="K31" s="292">
        <f t="shared" ref="K31:K38" si="39">B31*4</f>
        <v>14800</v>
      </c>
      <c r="L31" s="290">
        <f>SUM(L32:L38)</f>
        <v>0</v>
      </c>
      <c r="M31" s="291">
        <f t="shared" ref="M31:M38" si="40">L31-K31</f>
        <v>-14800</v>
      </c>
      <c r="N31" s="292">
        <f t="shared" ref="N31:N38" si="41">B31*5</f>
        <v>18500</v>
      </c>
      <c r="O31" s="290">
        <f>SUM(O32:O38)</f>
        <v>0</v>
      </c>
      <c r="P31" s="291">
        <f t="shared" ref="P31:P38" si="42">O31-N31</f>
        <v>-18500</v>
      </c>
      <c r="Q31" s="292">
        <f t="shared" ref="Q31:Q38" si="43">N31</f>
        <v>18500</v>
      </c>
      <c r="R31" s="293">
        <v>18642.39</v>
      </c>
      <c r="S31" s="300">
        <f t="shared" ref="S31:S38" si="44">R31-Q31</f>
        <v>142.39</v>
      </c>
    </row>
    <row r="32" hidden="1">
      <c r="A32" s="295" t="s">
        <v>60</v>
      </c>
      <c r="B32" s="296">
        <v>800.0</v>
      </c>
      <c r="C32" s="297">
        <v>0.0</v>
      </c>
      <c r="D32" s="298">
        <f t="shared" si="34"/>
        <v>-800</v>
      </c>
      <c r="E32" s="299">
        <f t="shared" si="35"/>
        <v>1600</v>
      </c>
      <c r="F32" s="297">
        <v>217.31</v>
      </c>
      <c r="G32" s="298">
        <f t="shared" si="36"/>
        <v>-1382.69</v>
      </c>
      <c r="H32" s="299">
        <f t="shared" si="37"/>
        <v>2400</v>
      </c>
      <c r="I32" s="297">
        <v>0.0</v>
      </c>
      <c r="J32" s="298">
        <f t="shared" si="38"/>
        <v>-2400</v>
      </c>
      <c r="K32" s="299">
        <f t="shared" si="39"/>
        <v>3200</v>
      </c>
      <c r="L32" s="297">
        <v>0.0</v>
      </c>
      <c r="M32" s="298">
        <f t="shared" si="40"/>
        <v>-3200</v>
      </c>
      <c r="N32" s="299">
        <f t="shared" si="41"/>
        <v>4000</v>
      </c>
      <c r="O32" s="297">
        <v>0.0</v>
      </c>
      <c r="P32" s="298">
        <f t="shared" si="42"/>
        <v>-4000</v>
      </c>
      <c r="Q32" s="299">
        <f t="shared" si="43"/>
        <v>4000</v>
      </c>
      <c r="R32" s="297">
        <v>0.0</v>
      </c>
      <c r="S32" s="300">
        <f t="shared" si="44"/>
        <v>-4000</v>
      </c>
    </row>
    <row r="33" hidden="1">
      <c r="A33" s="301" t="s">
        <v>62</v>
      </c>
      <c r="B33" s="296">
        <v>1000.0</v>
      </c>
      <c r="C33" s="297">
        <v>1143.96</v>
      </c>
      <c r="D33" s="298">
        <f t="shared" si="34"/>
        <v>143.96</v>
      </c>
      <c r="E33" s="299">
        <f t="shared" si="35"/>
        <v>2000</v>
      </c>
      <c r="F33" s="297">
        <v>2104.8</v>
      </c>
      <c r="G33" s="298">
        <f t="shared" si="36"/>
        <v>104.8</v>
      </c>
      <c r="H33" s="299">
        <f t="shared" si="37"/>
        <v>3000</v>
      </c>
      <c r="I33" s="297">
        <v>0.0</v>
      </c>
      <c r="J33" s="298">
        <f t="shared" si="38"/>
        <v>-3000</v>
      </c>
      <c r="K33" s="299">
        <f t="shared" si="39"/>
        <v>4000</v>
      </c>
      <c r="L33" s="297">
        <v>0.0</v>
      </c>
      <c r="M33" s="298">
        <f t="shared" si="40"/>
        <v>-4000</v>
      </c>
      <c r="N33" s="299">
        <f t="shared" si="41"/>
        <v>5000</v>
      </c>
      <c r="O33" s="297">
        <v>0.0</v>
      </c>
      <c r="P33" s="298">
        <f t="shared" si="42"/>
        <v>-5000</v>
      </c>
      <c r="Q33" s="299">
        <f t="shared" si="43"/>
        <v>5000</v>
      </c>
      <c r="R33" s="297">
        <v>0.0</v>
      </c>
      <c r="S33" s="300">
        <f t="shared" si="44"/>
        <v>-5000</v>
      </c>
    </row>
    <row r="34" hidden="1">
      <c r="A34" s="301" t="s">
        <v>44</v>
      </c>
      <c r="B34" s="296">
        <v>800.0</v>
      </c>
      <c r="C34" s="297">
        <v>423.49</v>
      </c>
      <c r="D34" s="298">
        <f t="shared" si="34"/>
        <v>-376.51</v>
      </c>
      <c r="E34" s="299">
        <f t="shared" si="35"/>
        <v>1600</v>
      </c>
      <c r="F34" s="297">
        <v>611.96</v>
      </c>
      <c r="G34" s="298">
        <f t="shared" si="36"/>
        <v>-988.04</v>
      </c>
      <c r="H34" s="299">
        <f t="shared" si="37"/>
        <v>2400</v>
      </c>
      <c r="I34" s="297">
        <v>0.0</v>
      </c>
      <c r="J34" s="298">
        <f t="shared" si="38"/>
        <v>-2400</v>
      </c>
      <c r="K34" s="299">
        <f t="shared" si="39"/>
        <v>3200</v>
      </c>
      <c r="L34" s="297">
        <v>0.0</v>
      </c>
      <c r="M34" s="298">
        <f t="shared" si="40"/>
        <v>-3200</v>
      </c>
      <c r="N34" s="299">
        <f t="shared" si="41"/>
        <v>4000</v>
      </c>
      <c r="O34" s="297">
        <v>0.0</v>
      </c>
      <c r="P34" s="298">
        <f t="shared" si="42"/>
        <v>-4000</v>
      </c>
      <c r="Q34" s="299">
        <f t="shared" si="43"/>
        <v>4000</v>
      </c>
      <c r="R34" s="297">
        <v>0.0</v>
      </c>
      <c r="S34" s="300">
        <f t="shared" si="44"/>
        <v>-4000</v>
      </c>
    </row>
    <row r="35" hidden="1">
      <c r="A35" s="301" t="s">
        <v>74</v>
      </c>
      <c r="B35" s="296">
        <v>600.0</v>
      </c>
      <c r="C35" s="297">
        <v>0.0</v>
      </c>
      <c r="D35" s="298">
        <f t="shared" si="34"/>
        <v>-600</v>
      </c>
      <c r="E35" s="299">
        <f t="shared" si="35"/>
        <v>1200</v>
      </c>
      <c r="F35" s="297">
        <v>636.55</v>
      </c>
      <c r="G35" s="298">
        <f t="shared" si="36"/>
        <v>-563.45</v>
      </c>
      <c r="H35" s="299">
        <f t="shared" si="37"/>
        <v>1800</v>
      </c>
      <c r="I35" s="297">
        <v>0.0</v>
      </c>
      <c r="J35" s="298">
        <f t="shared" si="38"/>
        <v>-1800</v>
      </c>
      <c r="K35" s="299">
        <f t="shared" si="39"/>
        <v>2400</v>
      </c>
      <c r="L35" s="297">
        <v>0.0</v>
      </c>
      <c r="M35" s="298">
        <f t="shared" si="40"/>
        <v>-2400</v>
      </c>
      <c r="N35" s="299">
        <f t="shared" si="41"/>
        <v>3000</v>
      </c>
      <c r="O35" s="297">
        <v>0.0</v>
      </c>
      <c r="P35" s="298">
        <f t="shared" si="42"/>
        <v>-3000</v>
      </c>
      <c r="Q35" s="299">
        <f t="shared" si="43"/>
        <v>3000</v>
      </c>
      <c r="R35" s="297">
        <v>0.0</v>
      </c>
      <c r="S35" s="300">
        <f t="shared" si="44"/>
        <v>-3000</v>
      </c>
    </row>
    <row r="36" hidden="1">
      <c r="A36" s="301" t="s">
        <v>54</v>
      </c>
      <c r="B36" s="296">
        <v>500.0</v>
      </c>
      <c r="C36" s="297">
        <v>0.0</v>
      </c>
      <c r="D36" s="298">
        <f t="shared" si="34"/>
        <v>-500</v>
      </c>
      <c r="E36" s="299">
        <f t="shared" si="35"/>
        <v>1000</v>
      </c>
      <c r="F36" s="297">
        <v>0.0</v>
      </c>
      <c r="G36" s="298">
        <f t="shared" si="36"/>
        <v>-1000</v>
      </c>
      <c r="H36" s="299">
        <f t="shared" si="37"/>
        <v>1500</v>
      </c>
      <c r="I36" s="297">
        <v>0.0</v>
      </c>
      <c r="J36" s="298">
        <f t="shared" si="38"/>
        <v>-1500</v>
      </c>
      <c r="K36" s="299">
        <f t="shared" si="39"/>
        <v>2000</v>
      </c>
      <c r="L36" s="297">
        <v>0.0</v>
      </c>
      <c r="M36" s="298">
        <f t="shared" si="40"/>
        <v>-2000</v>
      </c>
      <c r="N36" s="299">
        <f t="shared" si="41"/>
        <v>2500</v>
      </c>
      <c r="O36" s="297">
        <v>0.0</v>
      </c>
      <c r="P36" s="298">
        <f t="shared" si="42"/>
        <v>-2500</v>
      </c>
      <c r="Q36" s="299">
        <f t="shared" si="43"/>
        <v>2500</v>
      </c>
      <c r="R36" s="297">
        <v>0.0</v>
      </c>
      <c r="S36" s="300">
        <f t="shared" si="44"/>
        <v>-2500</v>
      </c>
    </row>
    <row r="37" hidden="1">
      <c r="A37" s="302" t="s">
        <v>58</v>
      </c>
      <c r="B37" s="303">
        <v>0.0</v>
      </c>
      <c r="C37" s="297">
        <v>0.0</v>
      </c>
      <c r="D37" s="305">
        <f t="shared" si="34"/>
        <v>0</v>
      </c>
      <c r="E37" s="306">
        <f t="shared" si="35"/>
        <v>0</v>
      </c>
      <c r="F37" s="297">
        <v>0.0</v>
      </c>
      <c r="G37" s="305">
        <f t="shared" si="36"/>
        <v>0</v>
      </c>
      <c r="H37" s="306">
        <f t="shared" si="37"/>
        <v>0</v>
      </c>
      <c r="I37" s="297">
        <v>0.0</v>
      </c>
      <c r="J37" s="298">
        <f t="shared" si="38"/>
        <v>0</v>
      </c>
      <c r="K37" s="306">
        <f t="shared" si="39"/>
        <v>0</v>
      </c>
      <c r="L37" s="297">
        <v>0.0</v>
      </c>
      <c r="M37" s="305">
        <f t="shared" si="40"/>
        <v>0</v>
      </c>
      <c r="N37" s="306">
        <f t="shared" si="41"/>
        <v>0</v>
      </c>
      <c r="O37" s="297">
        <v>0.0</v>
      </c>
      <c r="P37" s="305">
        <f t="shared" si="42"/>
        <v>0</v>
      </c>
      <c r="Q37" s="306">
        <f t="shared" si="43"/>
        <v>0</v>
      </c>
      <c r="R37" s="297">
        <v>0.0</v>
      </c>
      <c r="S37" s="300">
        <f t="shared" si="44"/>
        <v>0</v>
      </c>
    </row>
    <row r="38" hidden="1">
      <c r="A38" s="308" t="s">
        <v>75</v>
      </c>
      <c r="B38" s="309">
        <v>0.0</v>
      </c>
      <c r="C38" s="297">
        <v>0.0</v>
      </c>
      <c r="D38" s="311">
        <f t="shared" si="34"/>
        <v>0</v>
      </c>
      <c r="E38" s="312">
        <f t="shared" si="35"/>
        <v>0</v>
      </c>
      <c r="F38" s="297">
        <v>0.0</v>
      </c>
      <c r="G38" s="311">
        <f t="shared" si="36"/>
        <v>0</v>
      </c>
      <c r="H38" s="312">
        <f t="shared" si="37"/>
        <v>0</v>
      </c>
      <c r="I38" s="297">
        <v>0.0</v>
      </c>
      <c r="J38" s="298">
        <f t="shared" si="38"/>
        <v>0</v>
      </c>
      <c r="K38" s="312">
        <f t="shared" si="39"/>
        <v>0</v>
      </c>
      <c r="L38" s="297">
        <v>0.0</v>
      </c>
      <c r="M38" s="311">
        <f t="shared" si="40"/>
        <v>0</v>
      </c>
      <c r="N38" s="312">
        <f t="shared" si="41"/>
        <v>0</v>
      </c>
      <c r="O38" s="297">
        <v>0.0</v>
      </c>
      <c r="P38" s="311">
        <f t="shared" si="42"/>
        <v>0</v>
      </c>
      <c r="Q38" s="312">
        <f t="shared" si="43"/>
        <v>0</v>
      </c>
      <c r="R38" s="297">
        <v>0.0</v>
      </c>
      <c r="S38" s="300">
        <f t="shared" si="44"/>
        <v>0</v>
      </c>
    </row>
    <row r="39" hidden="1">
      <c r="A39" s="283"/>
      <c r="B39" s="284"/>
      <c r="C39" s="285" t="s">
        <v>73</v>
      </c>
      <c r="D39" s="286"/>
      <c r="E39" s="284"/>
      <c r="F39" s="284"/>
      <c r="G39" s="314"/>
      <c r="H39" s="315"/>
      <c r="I39" s="316"/>
      <c r="J39" s="317"/>
      <c r="K39" s="284"/>
      <c r="L39" s="284"/>
      <c r="M39" s="286"/>
      <c r="N39" s="284"/>
      <c r="O39" s="284"/>
      <c r="P39" s="286"/>
      <c r="Q39" s="284"/>
      <c r="R39" s="318">
        <v>677.36</v>
      </c>
      <c r="S39" s="286"/>
    </row>
    <row r="40" hidden="1">
      <c r="A40" s="288">
        <v>45999.0</v>
      </c>
      <c r="B40" s="289">
        <f>SUM(B41:B48)</f>
        <v>5134.7</v>
      </c>
      <c r="C40" s="290">
        <f>SUM(C41:C47)</f>
        <v>1392.39</v>
      </c>
      <c r="D40" s="291">
        <f t="shared" ref="D40:D47" si="45">C40-B40</f>
        <v>-3742.31</v>
      </c>
      <c r="E40" s="292">
        <f t="shared" ref="E40:E47" si="46">B40*2</f>
        <v>10269.4</v>
      </c>
      <c r="F40" s="290">
        <f>SUM(F41:F47)</f>
        <v>2499.69</v>
      </c>
      <c r="G40" s="291">
        <f t="shared" ref="G40:G47" si="47">F40-E40</f>
        <v>-7769.71</v>
      </c>
      <c r="H40" s="292">
        <f t="shared" ref="H40:H47" si="48">B40*3</f>
        <v>15404.1</v>
      </c>
      <c r="I40" s="290">
        <f>SUM(I41:I47)</f>
        <v>4836.39</v>
      </c>
      <c r="J40" s="291">
        <f t="shared" ref="J40:J47" si="49">I40-H40</f>
        <v>-10567.71</v>
      </c>
      <c r="K40" s="292">
        <f t="shared" ref="K40:K47" si="50">B40*4</f>
        <v>20538.8</v>
      </c>
      <c r="L40" s="290">
        <f>SUM(L41:L47)</f>
        <v>8629.34</v>
      </c>
      <c r="M40" s="291">
        <f t="shared" ref="M40:M47" si="51">L40-K40</f>
        <v>-11909.46</v>
      </c>
      <c r="N40" s="292">
        <f t="shared" ref="N40:N47" si="52">B40*5</f>
        <v>25673.5</v>
      </c>
      <c r="O40" s="290">
        <f>SUM(O41:O47)</f>
        <v>13970.3</v>
      </c>
      <c r="P40" s="291">
        <f t="shared" ref="P40:P47" si="53">O40-N40</f>
        <v>-11703.2</v>
      </c>
      <c r="Q40" s="292">
        <f t="shared" ref="Q40:Q47" si="54">N40</f>
        <v>25673.5</v>
      </c>
      <c r="R40" s="293">
        <v>18033.93</v>
      </c>
      <c r="S40" s="300">
        <f t="shared" ref="S40:S47" si="55">R40-Q40</f>
        <v>-7639.57</v>
      </c>
    </row>
    <row r="41" hidden="1">
      <c r="A41" s="295" t="s">
        <v>60</v>
      </c>
      <c r="B41" s="296">
        <v>1015.87</v>
      </c>
      <c r="C41" s="297">
        <v>0.0</v>
      </c>
      <c r="D41" s="298">
        <f t="shared" si="45"/>
        <v>-1015.87</v>
      </c>
      <c r="E41" s="299">
        <f t="shared" si="46"/>
        <v>2031.74</v>
      </c>
      <c r="F41" s="297">
        <v>560.64</v>
      </c>
      <c r="G41" s="298">
        <f t="shared" si="47"/>
        <v>-1471.1</v>
      </c>
      <c r="H41" s="299">
        <f t="shared" si="48"/>
        <v>3047.61</v>
      </c>
      <c r="I41" s="297">
        <v>1097.79</v>
      </c>
      <c r="J41" s="298">
        <f t="shared" si="49"/>
        <v>-1949.82</v>
      </c>
      <c r="K41" s="299">
        <f t="shared" si="50"/>
        <v>4063.48</v>
      </c>
      <c r="L41" s="297">
        <v>1693.33</v>
      </c>
      <c r="M41" s="298">
        <f t="shared" si="51"/>
        <v>-2370.15</v>
      </c>
      <c r="N41" s="299">
        <f t="shared" si="52"/>
        <v>5079.35</v>
      </c>
      <c r="O41" s="297">
        <v>4313.24</v>
      </c>
      <c r="P41" s="298">
        <f t="shared" si="53"/>
        <v>-766.11</v>
      </c>
      <c r="Q41" s="299">
        <f t="shared" si="54"/>
        <v>5079.35</v>
      </c>
      <c r="R41" s="297">
        <v>5110.57</v>
      </c>
      <c r="S41" s="300">
        <f t="shared" si="55"/>
        <v>31.22</v>
      </c>
    </row>
    <row r="42" hidden="1">
      <c r="A42" s="301" t="s">
        <v>62</v>
      </c>
      <c r="B42" s="296">
        <v>1391.6</v>
      </c>
      <c r="C42" s="297">
        <v>1108.0</v>
      </c>
      <c r="D42" s="298">
        <f t="shared" si="45"/>
        <v>-283.6</v>
      </c>
      <c r="E42" s="299">
        <f t="shared" si="46"/>
        <v>2783.2</v>
      </c>
      <c r="F42" s="297">
        <v>1598.97</v>
      </c>
      <c r="G42" s="298">
        <f t="shared" si="47"/>
        <v>-1184.23</v>
      </c>
      <c r="H42" s="299">
        <f t="shared" si="48"/>
        <v>4174.8</v>
      </c>
      <c r="I42" s="297">
        <v>3323.87</v>
      </c>
      <c r="J42" s="298">
        <f t="shared" si="49"/>
        <v>-850.93</v>
      </c>
      <c r="K42" s="299">
        <f t="shared" si="50"/>
        <v>5566.4</v>
      </c>
      <c r="L42" s="297">
        <v>4844.56</v>
      </c>
      <c r="M42" s="298">
        <f t="shared" si="51"/>
        <v>-721.84</v>
      </c>
      <c r="N42" s="299">
        <f t="shared" si="52"/>
        <v>6958</v>
      </c>
      <c r="O42" s="297">
        <v>6396.22</v>
      </c>
      <c r="P42" s="298">
        <f t="shared" si="53"/>
        <v>-561.78</v>
      </c>
      <c r="Q42" s="299">
        <f t="shared" si="54"/>
        <v>6958</v>
      </c>
      <c r="R42" s="297">
        <v>6975.95</v>
      </c>
      <c r="S42" s="300">
        <f t="shared" si="55"/>
        <v>17.95</v>
      </c>
    </row>
    <row r="43" hidden="1">
      <c r="A43" s="301" t="s">
        <v>44</v>
      </c>
      <c r="B43" s="296">
        <v>815.66</v>
      </c>
      <c r="C43" s="297">
        <v>50.0</v>
      </c>
      <c r="D43" s="298">
        <f t="shared" si="45"/>
        <v>-765.66</v>
      </c>
      <c r="E43" s="299">
        <f t="shared" si="46"/>
        <v>1631.32</v>
      </c>
      <c r="F43" s="297">
        <v>50.0</v>
      </c>
      <c r="G43" s="298">
        <f t="shared" si="47"/>
        <v>-1581.32</v>
      </c>
      <c r="H43" s="299">
        <f t="shared" si="48"/>
        <v>2446.98</v>
      </c>
      <c r="I43" s="297">
        <v>50.0</v>
      </c>
      <c r="J43" s="298">
        <f t="shared" si="49"/>
        <v>-2396.98</v>
      </c>
      <c r="K43" s="299">
        <f t="shared" si="50"/>
        <v>3262.64</v>
      </c>
      <c r="L43" s="297">
        <v>1308.71</v>
      </c>
      <c r="M43" s="298">
        <f t="shared" si="51"/>
        <v>-1953.93</v>
      </c>
      <c r="N43" s="299">
        <f t="shared" si="52"/>
        <v>4078.3</v>
      </c>
      <c r="O43" s="297">
        <v>1988.44</v>
      </c>
      <c r="P43" s="298">
        <f t="shared" si="53"/>
        <v>-2089.86</v>
      </c>
      <c r="Q43" s="299">
        <f t="shared" si="54"/>
        <v>4078.3</v>
      </c>
      <c r="R43" s="297">
        <v>2038.44</v>
      </c>
      <c r="S43" s="300">
        <f t="shared" si="55"/>
        <v>-2039.86</v>
      </c>
    </row>
    <row r="44" hidden="1">
      <c r="A44" s="301" t="s">
        <v>74</v>
      </c>
      <c r="B44" s="296">
        <v>631.59</v>
      </c>
      <c r="C44" s="297">
        <v>0.0</v>
      </c>
      <c r="D44" s="298">
        <f t="shared" si="45"/>
        <v>-631.59</v>
      </c>
      <c r="E44" s="299">
        <f t="shared" si="46"/>
        <v>1263.18</v>
      </c>
      <c r="F44" s="297">
        <v>0.0</v>
      </c>
      <c r="G44" s="298">
        <f t="shared" si="47"/>
        <v>-1263.18</v>
      </c>
      <c r="H44" s="299">
        <f t="shared" si="48"/>
        <v>1894.77</v>
      </c>
      <c r="I44" s="297">
        <v>0.0</v>
      </c>
      <c r="J44" s="298">
        <f t="shared" si="49"/>
        <v>-1894.77</v>
      </c>
      <c r="K44" s="299">
        <f t="shared" si="50"/>
        <v>2526.36</v>
      </c>
      <c r="L44" s="297">
        <v>0.0</v>
      </c>
      <c r="M44" s="298">
        <f t="shared" si="51"/>
        <v>-2526.36</v>
      </c>
      <c r="N44" s="299">
        <f t="shared" si="52"/>
        <v>3157.95</v>
      </c>
      <c r="O44" s="297">
        <v>0.0</v>
      </c>
      <c r="P44" s="298">
        <f t="shared" si="53"/>
        <v>-3157.95</v>
      </c>
      <c r="Q44" s="299">
        <f t="shared" si="54"/>
        <v>3157.95</v>
      </c>
      <c r="R44" s="297">
        <v>740.06</v>
      </c>
      <c r="S44" s="300">
        <f t="shared" si="55"/>
        <v>-2417.89</v>
      </c>
    </row>
    <row r="45" hidden="1">
      <c r="A45" s="301" t="s">
        <v>54</v>
      </c>
      <c r="B45" s="296">
        <v>724.88</v>
      </c>
      <c r="C45" s="297">
        <v>234.39</v>
      </c>
      <c r="D45" s="298">
        <f t="shared" si="45"/>
        <v>-490.49</v>
      </c>
      <c r="E45" s="299">
        <f t="shared" si="46"/>
        <v>1449.76</v>
      </c>
      <c r="F45" s="297">
        <v>290.08</v>
      </c>
      <c r="G45" s="298">
        <f t="shared" si="47"/>
        <v>-1159.68</v>
      </c>
      <c r="H45" s="299">
        <f t="shared" si="48"/>
        <v>2174.64</v>
      </c>
      <c r="I45" s="297">
        <v>290.88</v>
      </c>
      <c r="J45" s="298">
        <f t="shared" si="49"/>
        <v>-1883.76</v>
      </c>
      <c r="K45" s="299">
        <f t="shared" si="50"/>
        <v>2899.52</v>
      </c>
      <c r="L45" s="297">
        <v>343.36</v>
      </c>
      <c r="M45" s="298">
        <f t="shared" si="51"/>
        <v>-2556.16</v>
      </c>
      <c r="N45" s="299">
        <f t="shared" si="52"/>
        <v>3624.4</v>
      </c>
      <c r="O45" s="297">
        <v>770.47</v>
      </c>
      <c r="P45" s="298">
        <f t="shared" si="53"/>
        <v>-2853.93</v>
      </c>
      <c r="Q45" s="299">
        <f t="shared" si="54"/>
        <v>3624.4</v>
      </c>
      <c r="R45" s="297">
        <v>770.47</v>
      </c>
      <c r="S45" s="300">
        <f t="shared" si="55"/>
        <v>-2853.93</v>
      </c>
    </row>
    <row r="46" hidden="1">
      <c r="A46" s="302" t="s">
        <v>58</v>
      </c>
      <c r="B46" s="303">
        <v>555.1</v>
      </c>
      <c r="C46" s="297">
        <v>0.0</v>
      </c>
      <c r="D46" s="305">
        <f t="shared" si="45"/>
        <v>-555.1</v>
      </c>
      <c r="E46" s="306">
        <f t="shared" si="46"/>
        <v>1110.2</v>
      </c>
      <c r="F46" s="297">
        <v>0.0</v>
      </c>
      <c r="G46" s="305">
        <f t="shared" si="47"/>
        <v>-1110.2</v>
      </c>
      <c r="H46" s="306">
        <f t="shared" si="48"/>
        <v>1665.3</v>
      </c>
      <c r="I46" s="297">
        <v>73.85</v>
      </c>
      <c r="J46" s="298">
        <f t="shared" si="49"/>
        <v>-1591.45</v>
      </c>
      <c r="K46" s="306">
        <f t="shared" si="50"/>
        <v>2220.4</v>
      </c>
      <c r="L46" s="297">
        <v>439.38</v>
      </c>
      <c r="M46" s="305">
        <f t="shared" si="51"/>
        <v>-1781.02</v>
      </c>
      <c r="N46" s="306">
        <f t="shared" si="52"/>
        <v>2775.5</v>
      </c>
      <c r="O46" s="297">
        <v>501.93</v>
      </c>
      <c r="P46" s="305">
        <f t="shared" si="53"/>
        <v>-2273.57</v>
      </c>
      <c r="Q46" s="306">
        <f t="shared" si="54"/>
        <v>2775.5</v>
      </c>
      <c r="R46" s="297">
        <v>501.93</v>
      </c>
      <c r="S46" s="300">
        <f t="shared" si="55"/>
        <v>-2273.57</v>
      </c>
    </row>
    <row r="47" hidden="1">
      <c r="A47" s="308" t="s">
        <v>76</v>
      </c>
      <c r="B47" s="309">
        <v>0.0</v>
      </c>
      <c r="C47" s="297">
        <v>0.0</v>
      </c>
      <c r="D47" s="311">
        <f t="shared" si="45"/>
        <v>0</v>
      </c>
      <c r="E47" s="312">
        <f t="shared" si="46"/>
        <v>0</v>
      </c>
      <c r="F47" s="297">
        <v>0.0</v>
      </c>
      <c r="G47" s="311">
        <f t="shared" si="47"/>
        <v>0</v>
      </c>
      <c r="H47" s="312">
        <f t="shared" si="48"/>
        <v>0</v>
      </c>
      <c r="I47" s="297">
        <v>0.0</v>
      </c>
      <c r="J47" s="298">
        <f t="shared" si="49"/>
        <v>0</v>
      </c>
      <c r="K47" s="312">
        <f t="shared" si="50"/>
        <v>0</v>
      </c>
      <c r="L47" s="297">
        <v>0.0</v>
      </c>
      <c r="M47" s="311">
        <f t="shared" si="51"/>
        <v>0</v>
      </c>
      <c r="N47" s="312">
        <f t="shared" si="52"/>
        <v>0</v>
      </c>
      <c r="O47" s="297">
        <v>0.0</v>
      </c>
      <c r="P47" s="311">
        <f t="shared" si="53"/>
        <v>0</v>
      </c>
      <c r="Q47" s="312">
        <f t="shared" si="54"/>
        <v>0</v>
      </c>
      <c r="R47" s="297">
        <v>1817.05</v>
      </c>
      <c r="S47" s="300">
        <f t="shared" si="55"/>
        <v>1817.05</v>
      </c>
    </row>
    <row r="48" hidden="1">
      <c r="A48" s="283"/>
      <c r="B48" s="284"/>
      <c r="C48" s="285" t="s">
        <v>73</v>
      </c>
      <c r="D48" s="286"/>
      <c r="E48" s="284"/>
      <c r="F48" s="284"/>
      <c r="G48" s="314"/>
      <c r="H48" s="315"/>
      <c r="I48" s="316"/>
      <c r="J48" s="317"/>
      <c r="K48" s="284"/>
      <c r="L48" s="284"/>
      <c r="M48" s="286"/>
      <c r="N48" s="284"/>
      <c r="O48" s="284"/>
      <c r="P48" s="286"/>
      <c r="Q48" s="284"/>
      <c r="R48" s="318">
        <v>677.36</v>
      </c>
      <c r="S48" s="286"/>
    </row>
    <row r="49" hidden="1">
      <c r="A49" s="288">
        <v>45999.0</v>
      </c>
      <c r="B49" s="289">
        <f>SUM(B50:B57)</f>
        <v>5270.98</v>
      </c>
      <c r="C49" s="290">
        <f>SUM(C50:C56)</f>
        <v>3487.04</v>
      </c>
      <c r="D49" s="291">
        <f t="shared" ref="D49:D56" si="56">C49-B49</f>
        <v>-1783.94</v>
      </c>
      <c r="E49" s="292">
        <f t="shared" ref="E49:E56" si="57">B49*2</f>
        <v>10541.96</v>
      </c>
      <c r="F49" s="290">
        <f>SUM(F50:F56)</f>
        <v>5568.52</v>
      </c>
      <c r="G49" s="291">
        <f t="shared" ref="G49:G56" si="58">F49-E49</f>
        <v>-4973.44</v>
      </c>
      <c r="H49" s="292">
        <f t="shared" ref="H49:H56" si="59">B49*3</f>
        <v>15812.94</v>
      </c>
      <c r="I49" s="290">
        <f>SUM(I50:I56)</f>
        <v>8023.52</v>
      </c>
      <c r="J49" s="291">
        <f t="shared" ref="J49:J56" si="60">I49-H49</f>
        <v>-7789.42</v>
      </c>
      <c r="K49" s="292">
        <f t="shared" ref="K49:K56" si="61">B49*4</f>
        <v>21083.92</v>
      </c>
      <c r="L49" s="290">
        <f>SUM(L50:L56)</f>
        <v>11852</v>
      </c>
      <c r="M49" s="291">
        <f t="shared" ref="M49:M56" si="62">L49-K49</f>
        <v>-9231.92</v>
      </c>
      <c r="N49" s="292">
        <f t="shared" ref="N49:N56" si="63">B49*5</f>
        <v>26354.9</v>
      </c>
      <c r="O49" s="290">
        <f>SUM(O50:O56)</f>
        <v>16250.04</v>
      </c>
      <c r="P49" s="291">
        <f t="shared" ref="P49:P56" si="64">O49-N49</f>
        <v>-10104.86</v>
      </c>
      <c r="Q49" s="292">
        <f t="shared" ref="Q49:Q56" si="65">N49</f>
        <v>26354.9</v>
      </c>
      <c r="R49" s="293">
        <f>SUM(R50:R56)</f>
        <v>17980.25</v>
      </c>
      <c r="S49" s="300">
        <f t="shared" ref="S49:S56" si="66">R49-Q49</f>
        <v>-8374.65</v>
      </c>
    </row>
    <row r="50" hidden="1">
      <c r="A50" s="295" t="s">
        <v>60</v>
      </c>
      <c r="B50" s="296">
        <v>1015.41</v>
      </c>
      <c r="C50" s="297">
        <v>0.0</v>
      </c>
      <c r="D50" s="298">
        <f t="shared" si="56"/>
        <v>-1015.41</v>
      </c>
      <c r="E50" s="299">
        <f t="shared" si="57"/>
        <v>2030.82</v>
      </c>
      <c r="F50" s="297">
        <v>153.56</v>
      </c>
      <c r="G50" s="298">
        <f t="shared" si="58"/>
        <v>-1877.26</v>
      </c>
      <c r="H50" s="299">
        <f t="shared" si="59"/>
        <v>3046.23</v>
      </c>
      <c r="I50" s="297">
        <v>484.79</v>
      </c>
      <c r="J50" s="298">
        <f t="shared" si="60"/>
        <v>-2561.44</v>
      </c>
      <c r="K50" s="299">
        <f t="shared" si="61"/>
        <v>4061.64</v>
      </c>
      <c r="L50" s="297">
        <v>484.79</v>
      </c>
      <c r="M50" s="298">
        <f t="shared" si="62"/>
        <v>-3576.85</v>
      </c>
      <c r="N50" s="299">
        <f t="shared" si="63"/>
        <v>5077.05</v>
      </c>
      <c r="O50" s="297">
        <v>484.79</v>
      </c>
      <c r="P50" s="298">
        <f t="shared" si="64"/>
        <v>-4592.26</v>
      </c>
      <c r="Q50" s="299">
        <f t="shared" si="65"/>
        <v>5077.05</v>
      </c>
      <c r="R50" s="297">
        <v>484.79</v>
      </c>
      <c r="S50" s="300">
        <f t="shared" si="66"/>
        <v>-4592.26</v>
      </c>
    </row>
    <row r="51" hidden="1">
      <c r="A51" s="301" t="s">
        <v>62</v>
      </c>
      <c r="B51" s="296">
        <v>1391.42</v>
      </c>
      <c r="C51" s="297">
        <v>1762.83</v>
      </c>
      <c r="D51" s="298">
        <f t="shared" si="56"/>
        <v>371.41</v>
      </c>
      <c r="E51" s="299">
        <f t="shared" si="57"/>
        <v>2782.84</v>
      </c>
      <c r="F51" s="297">
        <v>2839.17</v>
      </c>
      <c r="G51" s="298">
        <f t="shared" si="58"/>
        <v>56.33</v>
      </c>
      <c r="H51" s="299">
        <f t="shared" si="59"/>
        <v>4174.26</v>
      </c>
      <c r="I51" s="297">
        <v>3935.75</v>
      </c>
      <c r="J51" s="298">
        <f t="shared" si="60"/>
        <v>-238.51</v>
      </c>
      <c r="K51" s="299">
        <f t="shared" si="61"/>
        <v>5565.68</v>
      </c>
      <c r="L51" s="297">
        <v>6743.72</v>
      </c>
      <c r="M51" s="298">
        <f t="shared" si="62"/>
        <v>1178.04</v>
      </c>
      <c r="N51" s="299">
        <f t="shared" si="63"/>
        <v>6957.1</v>
      </c>
      <c r="O51" s="297">
        <v>7645.16</v>
      </c>
      <c r="P51" s="298">
        <f t="shared" si="64"/>
        <v>688.06</v>
      </c>
      <c r="Q51" s="299">
        <f t="shared" si="65"/>
        <v>6957.1</v>
      </c>
      <c r="R51" s="297">
        <v>7762.95</v>
      </c>
      <c r="S51" s="300">
        <f t="shared" si="66"/>
        <v>805.85</v>
      </c>
    </row>
    <row r="52" hidden="1">
      <c r="A52" s="301" t="s">
        <v>44</v>
      </c>
      <c r="B52" s="296">
        <v>844.81</v>
      </c>
      <c r="C52" s="297">
        <v>1081.21</v>
      </c>
      <c r="D52" s="298">
        <f t="shared" si="56"/>
        <v>236.4</v>
      </c>
      <c r="E52" s="299">
        <f t="shared" si="57"/>
        <v>1689.62</v>
      </c>
      <c r="F52" s="297">
        <v>1423.11</v>
      </c>
      <c r="G52" s="298">
        <f t="shared" si="58"/>
        <v>-266.51</v>
      </c>
      <c r="H52" s="299">
        <f t="shared" si="59"/>
        <v>2534.43</v>
      </c>
      <c r="I52" s="297">
        <v>1423.11</v>
      </c>
      <c r="J52" s="298">
        <f t="shared" si="60"/>
        <v>-1111.32</v>
      </c>
      <c r="K52" s="299">
        <f t="shared" si="61"/>
        <v>3379.24</v>
      </c>
      <c r="L52" s="297">
        <v>2127.49</v>
      </c>
      <c r="M52" s="298">
        <f t="shared" si="62"/>
        <v>-1251.75</v>
      </c>
      <c r="N52" s="299">
        <f t="shared" si="63"/>
        <v>4224.05</v>
      </c>
      <c r="O52" s="297">
        <v>3366.49</v>
      </c>
      <c r="P52" s="298">
        <f t="shared" si="64"/>
        <v>-857.56</v>
      </c>
      <c r="Q52" s="299">
        <f t="shared" si="65"/>
        <v>4224.05</v>
      </c>
      <c r="R52" s="297">
        <v>3366.49</v>
      </c>
      <c r="S52" s="300">
        <f t="shared" si="66"/>
        <v>-857.56</v>
      </c>
    </row>
    <row r="53" hidden="1">
      <c r="A53" s="301" t="s">
        <v>74</v>
      </c>
      <c r="B53" s="296">
        <v>666.11</v>
      </c>
      <c r="C53" s="297">
        <v>0.0</v>
      </c>
      <c r="D53" s="298">
        <f t="shared" si="56"/>
        <v>-666.11</v>
      </c>
      <c r="E53" s="299">
        <f t="shared" si="57"/>
        <v>1332.22</v>
      </c>
      <c r="F53" s="297">
        <v>0.0</v>
      </c>
      <c r="G53" s="298">
        <f t="shared" si="58"/>
        <v>-1332.22</v>
      </c>
      <c r="H53" s="299">
        <f t="shared" si="59"/>
        <v>1998.33</v>
      </c>
      <c r="I53" s="297">
        <v>197.15</v>
      </c>
      <c r="J53" s="298">
        <f t="shared" si="60"/>
        <v>-1801.18</v>
      </c>
      <c r="K53" s="299">
        <f t="shared" si="61"/>
        <v>2664.44</v>
      </c>
      <c r="L53" s="297">
        <v>197.15</v>
      </c>
      <c r="M53" s="298">
        <f t="shared" si="62"/>
        <v>-2467.29</v>
      </c>
      <c r="N53" s="299">
        <f t="shared" si="63"/>
        <v>3330.55</v>
      </c>
      <c r="O53" s="297">
        <v>197.15</v>
      </c>
      <c r="P53" s="298">
        <f t="shared" si="64"/>
        <v>-3133.4</v>
      </c>
      <c r="Q53" s="299">
        <f t="shared" si="65"/>
        <v>3330.55</v>
      </c>
      <c r="R53" s="297">
        <v>885.89</v>
      </c>
      <c r="S53" s="300">
        <f t="shared" si="66"/>
        <v>-2444.66</v>
      </c>
    </row>
    <row r="54" hidden="1">
      <c r="A54" s="301" t="s">
        <v>54</v>
      </c>
      <c r="B54" s="296">
        <v>765.65</v>
      </c>
      <c r="C54" s="297">
        <v>286.06</v>
      </c>
      <c r="D54" s="298">
        <f t="shared" si="56"/>
        <v>-479.59</v>
      </c>
      <c r="E54" s="299">
        <f t="shared" si="57"/>
        <v>1531.3</v>
      </c>
      <c r="F54" s="297">
        <v>660.74</v>
      </c>
      <c r="G54" s="298">
        <f t="shared" si="58"/>
        <v>-870.56</v>
      </c>
      <c r="H54" s="299">
        <f t="shared" si="59"/>
        <v>2296.95</v>
      </c>
      <c r="I54" s="297">
        <v>865.78</v>
      </c>
      <c r="J54" s="298">
        <f t="shared" si="60"/>
        <v>-1431.17</v>
      </c>
      <c r="K54" s="299">
        <f t="shared" si="61"/>
        <v>3062.6</v>
      </c>
      <c r="L54" s="297">
        <v>1181.91</v>
      </c>
      <c r="M54" s="298">
        <f t="shared" si="62"/>
        <v>-1880.69</v>
      </c>
      <c r="N54" s="299">
        <f t="shared" si="63"/>
        <v>3828.25</v>
      </c>
      <c r="O54" s="297">
        <v>3439.51</v>
      </c>
      <c r="P54" s="298">
        <f t="shared" si="64"/>
        <v>-388.74</v>
      </c>
      <c r="Q54" s="299">
        <f t="shared" si="65"/>
        <v>3828.25</v>
      </c>
      <c r="R54" s="297">
        <v>3439.51</v>
      </c>
      <c r="S54" s="300">
        <f t="shared" si="66"/>
        <v>-388.74</v>
      </c>
    </row>
    <row r="55" hidden="1">
      <c r="A55" s="302" t="s">
        <v>58</v>
      </c>
      <c r="B55" s="303">
        <v>587.58</v>
      </c>
      <c r="C55" s="297">
        <v>356.94</v>
      </c>
      <c r="D55" s="305">
        <f t="shared" si="56"/>
        <v>-230.64</v>
      </c>
      <c r="E55" s="306">
        <f t="shared" si="57"/>
        <v>1175.16</v>
      </c>
      <c r="F55" s="297">
        <v>491.94</v>
      </c>
      <c r="G55" s="305">
        <f t="shared" si="58"/>
        <v>-683.22</v>
      </c>
      <c r="H55" s="306">
        <f t="shared" si="59"/>
        <v>1762.74</v>
      </c>
      <c r="I55" s="297">
        <v>1116.94</v>
      </c>
      <c r="J55" s="298">
        <f t="shared" si="60"/>
        <v>-645.8</v>
      </c>
      <c r="K55" s="306">
        <f t="shared" si="61"/>
        <v>2350.32</v>
      </c>
      <c r="L55" s="297">
        <v>1116.94</v>
      </c>
      <c r="M55" s="305">
        <f t="shared" si="62"/>
        <v>-1233.38</v>
      </c>
      <c r="N55" s="306">
        <f t="shared" si="63"/>
        <v>2937.9</v>
      </c>
      <c r="O55" s="297">
        <v>1116.94</v>
      </c>
      <c r="P55" s="305">
        <f t="shared" si="64"/>
        <v>-1820.96</v>
      </c>
      <c r="Q55" s="306">
        <f t="shared" si="65"/>
        <v>2937.9</v>
      </c>
      <c r="R55" s="297">
        <v>1179.92</v>
      </c>
      <c r="S55" s="300">
        <f t="shared" si="66"/>
        <v>-1757.98</v>
      </c>
    </row>
    <row r="56" hidden="1">
      <c r="A56" s="308"/>
      <c r="B56" s="309">
        <v>0.0</v>
      </c>
      <c r="C56" s="297">
        <v>0.0</v>
      </c>
      <c r="D56" s="311">
        <f t="shared" si="56"/>
        <v>0</v>
      </c>
      <c r="E56" s="312">
        <f t="shared" si="57"/>
        <v>0</v>
      </c>
      <c r="F56" s="297">
        <v>0.0</v>
      </c>
      <c r="G56" s="311">
        <f t="shared" si="58"/>
        <v>0</v>
      </c>
      <c r="H56" s="312">
        <f t="shared" si="59"/>
        <v>0</v>
      </c>
      <c r="I56" s="297">
        <v>0.0</v>
      </c>
      <c r="J56" s="298">
        <f t="shared" si="60"/>
        <v>0</v>
      </c>
      <c r="K56" s="312">
        <f t="shared" si="61"/>
        <v>0</v>
      </c>
      <c r="L56" s="297">
        <v>0.0</v>
      </c>
      <c r="M56" s="311">
        <f t="shared" si="62"/>
        <v>0</v>
      </c>
      <c r="N56" s="312">
        <f t="shared" si="63"/>
        <v>0</v>
      </c>
      <c r="O56" s="297">
        <v>0.0</v>
      </c>
      <c r="P56" s="311">
        <f t="shared" si="64"/>
        <v>0</v>
      </c>
      <c r="Q56" s="312">
        <f t="shared" si="65"/>
        <v>0</v>
      </c>
      <c r="R56" s="297">
        <v>860.7</v>
      </c>
      <c r="S56" s="300">
        <f t="shared" si="66"/>
        <v>860.7</v>
      </c>
    </row>
    <row r="57" hidden="1">
      <c r="A57" s="283"/>
      <c r="B57" s="284"/>
      <c r="C57" s="285" t="s">
        <v>73</v>
      </c>
      <c r="D57" s="286"/>
      <c r="E57" s="284"/>
      <c r="F57" s="284"/>
      <c r="G57" s="314"/>
      <c r="H57" s="315"/>
      <c r="I57" s="316"/>
      <c r="J57" s="317"/>
      <c r="K57" s="284"/>
      <c r="L57" s="284"/>
      <c r="M57" s="286"/>
      <c r="N57" s="284"/>
      <c r="O57" s="284"/>
      <c r="P57" s="286"/>
      <c r="Q57" s="284"/>
      <c r="R57" s="318">
        <v>677.36</v>
      </c>
      <c r="S57" s="286"/>
    </row>
    <row r="58" hidden="1">
      <c r="A58" s="288">
        <v>46001.0</v>
      </c>
      <c r="B58" s="289">
        <f>SUM(B59:B66)</f>
        <v>5413.07</v>
      </c>
      <c r="C58" s="290">
        <f>SUM(C59:C65)</f>
        <v>6857.62</v>
      </c>
      <c r="D58" s="291">
        <f t="shared" ref="D58:D65" si="67">C58-B58</f>
        <v>1444.55</v>
      </c>
      <c r="E58" s="292">
        <f t="shared" ref="E58:E65" si="68">B58*2</f>
        <v>10826.14</v>
      </c>
      <c r="F58" s="290">
        <f>SUM(F59:F65)</f>
        <v>10920.57</v>
      </c>
      <c r="G58" s="291">
        <f t="shared" ref="G58:G65" si="69">F58-E58</f>
        <v>94.43</v>
      </c>
      <c r="H58" s="292">
        <f t="shared" ref="H58:H65" si="70">B58*3</f>
        <v>16239.21</v>
      </c>
      <c r="I58" s="290">
        <f>SUM(I59:I65)</f>
        <v>12474.01</v>
      </c>
      <c r="J58" s="291">
        <f t="shared" ref="J58:J65" si="71">I58-H58</f>
        <v>-3765.2</v>
      </c>
      <c r="K58" s="292">
        <f t="shared" ref="K58:K65" si="72">B58*4</f>
        <v>21652.28</v>
      </c>
      <c r="L58" s="290">
        <f>SUM(L59:L65)</f>
        <v>15002.35</v>
      </c>
      <c r="M58" s="291">
        <f t="shared" ref="M58:M65" si="73">L58-K58</f>
        <v>-6649.93</v>
      </c>
      <c r="N58" s="292">
        <f t="shared" ref="N58:N65" si="74">B58*5</f>
        <v>27065.35</v>
      </c>
      <c r="O58" s="290">
        <f>SUM(O59:O65)</f>
        <v>16703.41</v>
      </c>
      <c r="P58" s="291">
        <f t="shared" ref="P58:P65" si="75">O58-N58</f>
        <v>-10361.94</v>
      </c>
      <c r="Q58" s="292">
        <f t="shared" ref="Q58:Q65" si="76">N58</f>
        <v>27065.35</v>
      </c>
      <c r="R58" s="293">
        <f>SUM(R59:R65)</f>
        <v>19184.96</v>
      </c>
      <c r="S58" s="300">
        <f t="shared" ref="S58:S65" si="77">R58-Q58</f>
        <v>-7880.39</v>
      </c>
    </row>
    <row r="59" hidden="1">
      <c r="A59" s="295" t="s">
        <v>60</v>
      </c>
      <c r="B59" s="296">
        <v>1086.06</v>
      </c>
      <c r="C59" s="297">
        <v>3046.16</v>
      </c>
      <c r="D59" s="298">
        <f t="shared" si="67"/>
        <v>1960.1</v>
      </c>
      <c r="E59" s="299">
        <f t="shared" si="68"/>
        <v>2172.12</v>
      </c>
      <c r="F59" s="297">
        <v>4260.68</v>
      </c>
      <c r="G59" s="298">
        <f t="shared" si="69"/>
        <v>2088.56</v>
      </c>
      <c r="H59" s="299">
        <f t="shared" si="70"/>
        <v>3258.18</v>
      </c>
      <c r="I59" s="297">
        <v>4260.68</v>
      </c>
      <c r="J59" s="298">
        <f t="shared" si="71"/>
        <v>1002.5</v>
      </c>
      <c r="K59" s="299">
        <f t="shared" si="72"/>
        <v>4344.24</v>
      </c>
      <c r="L59" s="297">
        <v>4580.68</v>
      </c>
      <c r="M59" s="298">
        <f t="shared" si="73"/>
        <v>236.44</v>
      </c>
      <c r="N59" s="299">
        <f t="shared" si="74"/>
        <v>5430.3</v>
      </c>
      <c r="O59" s="297">
        <v>4971.66</v>
      </c>
      <c r="P59" s="298">
        <f t="shared" si="75"/>
        <v>-458.64</v>
      </c>
      <c r="Q59" s="299">
        <f t="shared" si="76"/>
        <v>5430.3</v>
      </c>
      <c r="R59" s="297">
        <v>5571.61</v>
      </c>
      <c r="S59" s="300">
        <f t="shared" si="77"/>
        <v>141.31</v>
      </c>
    </row>
    <row r="60" hidden="1">
      <c r="A60" s="301" t="s">
        <v>62</v>
      </c>
      <c r="B60" s="296">
        <v>1379.02</v>
      </c>
      <c r="C60" s="297">
        <v>1692.8</v>
      </c>
      <c r="D60" s="298">
        <f t="shared" si="67"/>
        <v>313.78</v>
      </c>
      <c r="E60" s="299">
        <f t="shared" si="68"/>
        <v>2758.04</v>
      </c>
      <c r="F60" s="297">
        <v>2590.36</v>
      </c>
      <c r="G60" s="298">
        <f t="shared" si="69"/>
        <v>-167.68</v>
      </c>
      <c r="H60" s="299">
        <f t="shared" si="70"/>
        <v>4137.06</v>
      </c>
      <c r="I60" s="297">
        <v>3155.93</v>
      </c>
      <c r="J60" s="298">
        <f t="shared" si="71"/>
        <v>-981.13</v>
      </c>
      <c r="K60" s="299">
        <f t="shared" si="72"/>
        <v>5516.08</v>
      </c>
      <c r="L60" s="297">
        <v>4010.03</v>
      </c>
      <c r="M60" s="298">
        <f t="shared" si="73"/>
        <v>-1506.05</v>
      </c>
      <c r="N60" s="299">
        <f t="shared" si="74"/>
        <v>6895.1</v>
      </c>
      <c r="O60" s="297">
        <v>4752.03</v>
      </c>
      <c r="P60" s="298">
        <f t="shared" si="75"/>
        <v>-2143.07</v>
      </c>
      <c r="Q60" s="299">
        <f t="shared" si="76"/>
        <v>6895.1</v>
      </c>
      <c r="R60" s="297">
        <v>6544.03</v>
      </c>
      <c r="S60" s="300">
        <f t="shared" si="77"/>
        <v>-351.07</v>
      </c>
    </row>
    <row r="61" hidden="1">
      <c r="A61" s="301" t="s">
        <v>44</v>
      </c>
      <c r="B61" s="296">
        <v>858.0</v>
      </c>
      <c r="C61" s="297">
        <v>1184.89</v>
      </c>
      <c r="D61" s="298">
        <f t="shared" si="67"/>
        <v>326.89</v>
      </c>
      <c r="E61" s="299">
        <f t="shared" si="68"/>
        <v>1716</v>
      </c>
      <c r="F61" s="297">
        <v>1574.71</v>
      </c>
      <c r="G61" s="298">
        <f t="shared" si="69"/>
        <v>-141.29</v>
      </c>
      <c r="H61" s="299">
        <f t="shared" si="70"/>
        <v>2574</v>
      </c>
      <c r="I61" s="297">
        <v>2313.71</v>
      </c>
      <c r="J61" s="298">
        <f t="shared" si="71"/>
        <v>-260.29</v>
      </c>
      <c r="K61" s="299">
        <f t="shared" si="72"/>
        <v>3432</v>
      </c>
      <c r="L61" s="297">
        <v>2367.44</v>
      </c>
      <c r="M61" s="298">
        <f t="shared" si="73"/>
        <v>-1064.56</v>
      </c>
      <c r="N61" s="299">
        <f t="shared" si="74"/>
        <v>4290</v>
      </c>
      <c r="O61" s="297">
        <v>2473.49</v>
      </c>
      <c r="P61" s="298">
        <f t="shared" si="75"/>
        <v>-1816.51</v>
      </c>
      <c r="Q61" s="299">
        <f t="shared" si="76"/>
        <v>4290</v>
      </c>
      <c r="R61" s="297">
        <v>2473.09</v>
      </c>
      <c r="S61" s="300">
        <f t="shared" si="77"/>
        <v>-1816.91</v>
      </c>
    </row>
    <row r="62" hidden="1">
      <c r="A62" s="301" t="s">
        <v>74</v>
      </c>
      <c r="B62" s="296">
        <v>703.74</v>
      </c>
      <c r="C62" s="297">
        <v>666.77</v>
      </c>
      <c r="D62" s="298">
        <f t="shared" si="67"/>
        <v>-36.97</v>
      </c>
      <c r="E62" s="299">
        <f t="shared" si="68"/>
        <v>1407.48</v>
      </c>
      <c r="F62" s="297">
        <v>1292.95</v>
      </c>
      <c r="G62" s="298">
        <f t="shared" si="69"/>
        <v>-114.53</v>
      </c>
      <c r="H62" s="299">
        <f t="shared" si="70"/>
        <v>2111.22</v>
      </c>
      <c r="I62" s="297">
        <v>1477.05</v>
      </c>
      <c r="J62" s="298">
        <f t="shared" si="71"/>
        <v>-634.17</v>
      </c>
      <c r="K62" s="299">
        <f t="shared" si="72"/>
        <v>2814.96</v>
      </c>
      <c r="L62" s="297">
        <v>1529.54</v>
      </c>
      <c r="M62" s="298">
        <f t="shared" si="73"/>
        <v>-1285.42</v>
      </c>
      <c r="N62" s="299">
        <f t="shared" si="74"/>
        <v>3518.7</v>
      </c>
      <c r="O62" s="297">
        <v>1604.11</v>
      </c>
      <c r="P62" s="298">
        <f t="shared" si="75"/>
        <v>-1914.59</v>
      </c>
      <c r="Q62" s="299">
        <f t="shared" si="76"/>
        <v>3518.7</v>
      </c>
      <c r="R62" s="297">
        <v>1604.11</v>
      </c>
      <c r="S62" s="300">
        <f t="shared" si="77"/>
        <v>-1914.59</v>
      </c>
    </row>
    <row r="63" hidden="1">
      <c r="A63" s="301" t="s">
        <v>54</v>
      </c>
      <c r="B63" s="296">
        <v>771.63</v>
      </c>
      <c r="C63" s="297">
        <v>217.0</v>
      </c>
      <c r="D63" s="298">
        <f t="shared" si="67"/>
        <v>-554.63</v>
      </c>
      <c r="E63" s="299">
        <f t="shared" si="68"/>
        <v>1543.26</v>
      </c>
      <c r="F63" s="297">
        <v>882.69</v>
      </c>
      <c r="G63" s="298">
        <f t="shared" si="69"/>
        <v>-660.57</v>
      </c>
      <c r="H63" s="299">
        <f t="shared" si="70"/>
        <v>2314.89</v>
      </c>
      <c r="I63" s="297">
        <v>947.46</v>
      </c>
      <c r="J63" s="298">
        <f t="shared" si="71"/>
        <v>-1367.43</v>
      </c>
      <c r="K63" s="299">
        <f t="shared" si="72"/>
        <v>3086.52</v>
      </c>
      <c r="L63" s="297">
        <v>1814.04</v>
      </c>
      <c r="M63" s="298">
        <f t="shared" si="73"/>
        <v>-1272.48</v>
      </c>
      <c r="N63" s="299">
        <f t="shared" si="74"/>
        <v>3858.15</v>
      </c>
      <c r="O63" s="297">
        <v>2201.5</v>
      </c>
      <c r="P63" s="298">
        <f t="shared" si="75"/>
        <v>-1656.65</v>
      </c>
      <c r="Q63" s="299">
        <f t="shared" si="76"/>
        <v>3858.15</v>
      </c>
      <c r="R63" s="297">
        <v>2291.5</v>
      </c>
      <c r="S63" s="300">
        <f t="shared" si="77"/>
        <v>-1566.65</v>
      </c>
    </row>
    <row r="64" hidden="1">
      <c r="A64" s="302" t="s">
        <v>58</v>
      </c>
      <c r="B64" s="303">
        <v>614.62</v>
      </c>
      <c r="C64" s="297">
        <v>50.0</v>
      </c>
      <c r="D64" s="305">
        <f t="shared" si="67"/>
        <v>-564.62</v>
      </c>
      <c r="E64" s="306">
        <f t="shared" si="68"/>
        <v>1229.24</v>
      </c>
      <c r="F64" s="297">
        <v>319.18</v>
      </c>
      <c r="G64" s="305">
        <f t="shared" si="69"/>
        <v>-910.06</v>
      </c>
      <c r="H64" s="306">
        <f t="shared" si="70"/>
        <v>1843.86</v>
      </c>
      <c r="I64" s="297">
        <v>319.18</v>
      </c>
      <c r="J64" s="298">
        <f t="shared" si="71"/>
        <v>-1524.68</v>
      </c>
      <c r="K64" s="306">
        <f t="shared" si="72"/>
        <v>2458.48</v>
      </c>
      <c r="L64" s="297">
        <v>700.62</v>
      </c>
      <c r="M64" s="305">
        <f t="shared" si="73"/>
        <v>-1757.86</v>
      </c>
      <c r="N64" s="306">
        <f t="shared" si="74"/>
        <v>3073.1</v>
      </c>
      <c r="O64" s="297">
        <v>700.62</v>
      </c>
      <c r="P64" s="305">
        <f t="shared" si="75"/>
        <v>-2372.48</v>
      </c>
      <c r="Q64" s="306">
        <f t="shared" si="76"/>
        <v>3073.1</v>
      </c>
      <c r="R64" s="297">
        <v>700.62</v>
      </c>
      <c r="S64" s="300">
        <f t="shared" si="77"/>
        <v>-2372.48</v>
      </c>
    </row>
    <row r="65" hidden="1">
      <c r="A65" s="308"/>
      <c r="B65" s="309">
        <v>0.0</v>
      </c>
      <c r="C65" s="297">
        <v>0.0</v>
      </c>
      <c r="D65" s="311">
        <f t="shared" si="67"/>
        <v>0</v>
      </c>
      <c r="E65" s="312">
        <f t="shared" si="68"/>
        <v>0</v>
      </c>
      <c r="F65" s="297">
        <v>0.0</v>
      </c>
      <c r="G65" s="311">
        <f t="shared" si="69"/>
        <v>0</v>
      </c>
      <c r="H65" s="312">
        <f t="shared" si="70"/>
        <v>0</v>
      </c>
      <c r="I65" s="297">
        <v>0.0</v>
      </c>
      <c r="J65" s="298">
        <f t="shared" si="71"/>
        <v>0</v>
      </c>
      <c r="K65" s="312">
        <f t="shared" si="72"/>
        <v>0</v>
      </c>
      <c r="L65" s="297">
        <v>0.0</v>
      </c>
      <c r="M65" s="311">
        <f t="shared" si="73"/>
        <v>0</v>
      </c>
      <c r="N65" s="312">
        <f t="shared" si="74"/>
        <v>0</v>
      </c>
      <c r="O65" s="297">
        <v>0.0</v>
      </c>
      <c r="P65" s="311">
        <f t="shared" si="75"/>
        <v>0</v>
      </c>
      <c r="Q65" s="312">
        <f t="shared" si="76"/>
        <v>0</v>
      </c>
      <c r="R65" s="297">
        <v>0.0</v>
      </c>
      <c r="S65" s="300">
        <f t="shared" si="77"/>
        <v>0</v>
      </c>
    </row>
    <row r="66" hidden="1">
      <c r="A66" s="283"/>
      <c r="B66" s="284"/>
      <c r="C66" s="285" t="s">
        <v>73</v>
      </c>
      <c r="D66" s="286"/>
      <c r="E66" s="284"/>
      <c r="F66" s="284"/>
      <c r="G66" s="314"/>
      <c r="H66" s="315"/>
      <c r="I66" s="316"/>
      <c r="J66" s="317"/>
      <c r="K66" s="284"/>
      <c r="L66" s="284"/>
      <c r="M66" s="286"/>
      <c r="N66" s="284"/>
      <c r="O66" s="284"/>
      <c r="P66" s="286"/>
      <c r="Q66" s="284"/>
      <c r="R66" s="318">
        <v>677.36</v>
      </c>
      <c r="S66" s="286"/>
    </row>
    <row r="67" hidden="1">
      <c r="A67" s="288">
        <v>46002.0</v>
      </c>
      <c r="B67" s="289">
        <f>SUM(B68:B75)</f>
        <v>5544.4</v>
      </c>
      <c r="C67" s="290">
        <f>SUM(C68:C74)</f>
        <v>3192.57</v>
      </c>
      <c r="D67" s="291">
        <f t="shared" ref="D67:D74" si="78">C67-B67</f>
        <v>-2351.83</v>
      </c>
      <c r="E67" s="292">
        <f t="shared" ref="E67:E74" si="79">B67*2</f>
        <v>11088.8</v>
      </c>
      <c r="F67" s="290">
        <f>SUM(F68:F74)</f>
        <v>6047.96</v>
      </c>
      <c r="G67" s="291">
        <f t="shared" ref="G67:G74" si="80">F67-E67</f>
        <v>-5040.84</v>
      </c>
      <c r="H67" s="292">
        <f t="shared" ref="H67:H74" si="81">B67*3</f>
        <v>16633.2</v>
      </c>
      <c r="I67" s="290">
        <f>SUM(I68:I74)</f>
        <v>8234.02</v>
      </c>
      <c r="J67" s="291">
        <f t="shared" ref="J67:J74" si="82">I67-H67</f>
        <v>-8399.18</v>
      </c>
      <c r="K67" s="292">
        <f t="shared" ref="K67:K74" si="83">B67*4</f>
        <v>22177.6</v>
      </c>
      <c r="L67" s="290">
        <f>SUM(L68:L74)</f>
        <v>11386.67</v>
      </c>
      <c r="M67" s="291">
        <f t="shared" ref="M67:M74" si="84">L67-K67</f>
        <v>-10790.93</v>
      </c>
      <c r="N67" s="292">
        <f t="shared" ref="N67:N74" si="85">B67*5</f>
        <v>27722</v>
      </c>
      <c r="O67" s="290">
        <f>SUM(O68:O74)</f>
        <v>14411.46</v>
      </c>
      <c r="P67" s="291">
        <f t="shared" ref="P67:P74" si="86">O67-N67</f>
        <v>-13310.54</v>
      </c>
      <c r="Q67" s="292">
        <f t="shared" ref="Q67:Q74" si="87">N67</f>
        <v>27722</v>
      </c>
      <c r="R67" s="293">
        <f>SUM(R68:R74)</f>
        <v>15127.89</v>
      </c>
      <c r="S67" s="300">
        <f t="shared" ref="S67:S74" si="88">R67-Q67</f>
        <v>-12594.11</v>
      </c>
    </row>
    <row r="68" hidden="1">
      <c r="A68" s="295" t="s">
        <v>60</v>
      </c>
      <c r="B68" s="296">
        <v>1083.7</v>
      </c>
      <c r="C68" s="297">
        <v>729.87</v>
      </c>
      <c r="D68" s="298">
        <f t="shared" si="78"/>
        <v>-353.83</v>
      </c>
      <c r="E68" s="299">
        <f t="shared" si="79"/>
        <v>2167.4</v>
      </c>
      <c r="F68" s="297">
        <v>1048.44</v>
      </c>
      <c r="G68" s="298">
        <f t="shared" si="80"/>
        <v>-1118.96</v>
      </c>
      <c r="H68" s="299">
        <f t="shared" si="81"/>
        <v>3251.1</v>
      </c>
      <c r="I68" s="297">
        <v>2064.31</v>
      </c>
      <c r="J68" s="298">
        <f t="shared" si="82"/>
        <v>-1186.79</v>
      </c>
      <c r="K68" s="299">
        <f t="shared" si="83"/>
        <v>4334.8</v>
      </c>
      <c r="L68" s="297">
        <v>2334.74</v>
      </c>
      <c r="M68" s="298">
        <f t="shared" si="84"/>
        <v>-2000.06</v>
      </c>
      <c r="N68" s="299">
        <f t="shared" si="85"/>
        <v>5418.5</v>
      </c>
      <c r="O68" s="297">
        <v>2799.38</v>
      </c>
      <c r="P68" s="298">
        <f t="shared" si="86"/>
        <v>-2619.12</v>
      </c>
      <c r="Q68" s="299">
        <f t="shared" si="87"/>
        <v>5418.5</v>
      </c>
      <c r="R68" s="297">
        <v>3118.55</v>
      </c>
      <c r="S68" s="300">
        <f t="shared" si="88"/>
        <v>-2299.95</v>
      </c>
    </row>
    <row r="69" hidden="1">
      <c r="A69" s="301" t="s">
        <v>62</v>
      </c>
      <c r="B69" s="296">
        <v>1384.87</v>
      </c>
      <c r="C69" s="297">
        <v>420.0</v>
      </c>
      <c r="D69" s="298">
        <f t="shared" si="78"/>
        <v>-964.87</v>
      </c>
      <c r="E69" s="299">
        <f t="shared" si="79"/>
        <v>2769.74</v>
      </c>
      <c r="F69" s="297">
        <v>1185.93</v>
      </c>
      <c r="G69" s="298">
        <f t="shared" si="80"/>
        <v>-1583.81</v>
      </c>
      <c r="H69" s="299">
        <f t="shared" si="81"/>
        <v>4154.61</v>
      </c>
      <c r="I69" s="297">
        <v>1646.1</v>
      </c>
      <c r="J69" s="298">
        <f t="shared" si="82"/>
        <v>-2508.51</v>
      </c>
      <c r="K69" s="299">
        <f t="shared" si="83"/>
        <v>5539.48</v>
      </c>
      <c r="L69" s="297">
        <v>3244.07</v>
      </c>
      <c r="M69" s="298">
        <f t="shared" si="84"/>
        <v>-2295.41</v>
      </c>
      <c r="N69" s="299">
        <f t="shared" si="85"/>
        <v>6924.35</v>
      </c>
      <c r="O69" s="297">
        <v>4176.24</v>
      </c>
      <c r="P69" s="298">
        <f t="shared" si="86"/>
        <v>-2748.11</v>
      </c>
      <c r="Q69" s="299">
        <f t="shared" si="87"/>
        <v>6924.35</v>
      </c>
      <c r="R69" s="297">
        <v>4558.79</v>
      </c>
      <c r="S69" s="300">
        <f t="shared" si="88"/>
        <v>-2365.56</v>
      </c>
    </row>
    <row r="70" hidden="1">
      <c r="A70" s="301" t="s">
        <v>44</v>
      </c>
      <c r="B70" s="296">
        <v>888.28</v>
      </c>
      <c r="C70" s="297">
        <v>265.64</v>
      </c>
      <c r="D70" s="298">
        <f t="shared" si="78"/>
        <v>-622.64</v>
      </c>
      <c r="E70" s="299">
        <f t="shared" si="79"/>
        <v>1776.56</v>
      </c>
      <c r="F70" s="297">
        <v>567.27</v>
      </c>
      <c r="G70" s="298">
        <f t="shared" si="80"/>
        <v>-1209.29</v>
      </c>
      <c r="H70" s="299">
        <f t="shared" si="81"/>
        <v>2664.84</v>
      </c>
      <c r="I70" s="297">
        <v>795.29</v>
      </c>
      <c r="J70" s="298">
        <f t="shared" si="82"/>
        <v>-1869.55</v>
      </c>
      <c r="K70" s="299">
        <f t="shared" si="83"/>
        <v>3553.12</v>
      </c>
      <c r="L70" s="297">
        <v>848.76</v>
      </c>
      <c r="M70" s="298">
        <f t="shared" si="84"/>
        <v>-2704.36</v>
      </c>
      <c r="N70" s="299">
        <f t="shared" si="85"/>
        <v>4441.4</v>
      </c>
      <c r="O70" s="297">
        <v>1971.74</v>
      </c>
      <c r="P70" s="298">
        <f t="shared" si="86"/>
        <v>-2469.66</v>
      </c>
      <c r="Q70" s="299">
        <f t="shared" si="87"/>
        <v>4441.4</v>
      </c>
      <c r="R70" s="297">
        <v>1986.75</v>
      </c>
      <c r="S70" s="300">
        <f t="shared" si="88"/>
        <v>-2454.65</v>
      </c>
    </row>
    <row r="71" hidden="1">
      <c r="A71" s="301" t="s">
        <v>74</v>
      </c>
      <c r="B71" s="296">
        <v>735.65</v>
      </c>
      <c r="C71" s="297">
        <v>0.0</v>
      </c>
      <c r="D71" s="298">
        <f t="shared" si="78"/>
        <v>-735.65</v>
      </c>
      <c r="E71" s="299">
        <f t="shared" si="79"/>
        <v>1471.3</v>
      </c>
      <c r="F71" s="297">
        <v>0.0</v>
      </c>
      <c r="G71" s="298">
        <f t="shared" si="80"/>
        <v>-1471.3</v>
      </c>
      <c r="H71" s="299">
        <f t="shared" si="81"/>
        <v>2206.95</v>
      </c>
      <c r="I71" s="297">
        <v>50.0</v>
      </c>
      <c r="J71" s="298">
        <f t="shared" si="82"/>
        <v>-2156.95</v>
      </c>
      <c r="K71" s="299">
        <f t="shared" si="83"/>
        <v>2942.6</v>
      </c>
      <c r="L71" s="297">
        <v>140.88</v>
      </c>
      <c r="M71" s="298">
        <f t="shared" si="84"/>
        <v>-2801.72</v>
      </c>
      <c r="N71" s="299">
        <f t="shared" si="85"/>
        <v>3678.25</v>
      </c>
      <c r="O71" s="297">
        <v>579.74</v>
      </c>
      <c r="P71" s="298">
        <f t="shared" si="86"/>
        <v>-3098.51</v>
      </c>
      <c r="Q71" s="299">
        <f t="shared" si="87"/>
        <v>3678.25</v>
      </c>
      <c r="R71" s="297">
        <v>579.54</v>
      </c>
      <c r="S71" s="300">
        <f t="shared" si="88"/>
        <v>-3098.71</v>
      </c>
    </row>
    <row r="72" hidden="1">
      <c r="A72" s="301" t="s">
        <v>54</v>
      </c>
      <c r="B72" s="296">
        <v>797.74</v>
      </c>
      <c r="C72" s="297">
        <v>1430.16</v>
      </c>
      <c r="D72" s="298">
        <f t="shared" si="78"/>
        <v>632.42</v>
      </c>
      <c r="E72" s="299">
        <f t="shared" si="79"/>
        <v>1595.48</v>
      </c>
      <c r="F72" s="297">
        <v>2363.14</v>
      </c>
      <c r="G72" s="298">
        <f t="shared" si="80"/>
        <v>767.66</v>
      </c>
      <c r="H72" s="299">
        <f t="shared" si="81"/>
        <v>2393.22</v>
      </c>
      <c r="I72" s="297">
        <v>2738.14</v>
      </c>
      <c r="J72" s="298">
        <f t="shared" si="82"/>
        <v>344.92</v>
      </c>
      <c r="K72" s="299">
        <f t="shared" si="83"/>
        <v>3190.96</v>
      </c>
      <c r="L72" s="297">
        <v>3115.5</v>
      </c>
      <c r="M72" s="298">
        <f t="shared" si="84"/>
        <v>-75.46</v>
      </c>
      <c r="N72" s="299">
        <f t="shared" si="85"/>
        <v>3988.7</v>
      </c>
      <c r="O72" s="297">
        <v>3182.34</v>
      </c>
      <c r="P72" s="298">
        <f t="shared" si="86"/>
        <v>-806.36</v>
      </c>
      <c r="Q72" s="299">
        <f t="shared" si="87"/>
        <v>3988.7</v>
      </c>
      <c r="R72" s="297">
        <v>3182.24</v>
      </c>
      <c r="S72" s="300">
        <f t="shared" si="88"/>
        <v>-806.46</v>
      </c>
    </row>
    <row r="73" hidden="1">
      <c r="A73" s="302" t="s">
        <v>58</v>
      </c>
      <c r="B73" s="303">
        <v>654.16</v>
      </c>
      <c r="C73" s="297">
        <v>346.9</v>
      </c>
      <c r="D73" s="305">
        <f t="shared" si="78"/>
        <v>-307.26</v>
      </c>
      <c r="E73" s="306">
        <f t="shared" si="79"/>
        <v>1308.32</v>
      </c>
      <c r="F73" s="297">
        <v>883.18</v>
      </c>
      <c r="G73" s="305">
        <f t="shared" si="80"/>
        <v>-425.14</v>
      </c>
      <c r="H73" s="306">
        <f t="shared" si="81"/>
        <v>1962.48</v>
      </c>
      <c r="I73" s="297">
        <v>940.18</v>
      </c>
      <c r="J73" s="298">
        <f t="shared" si="82"/>
        <v>-1022.3</v>
      </c>
      <c r="K73" s="306">
        <f t="shared" si="83"/>
        <v>2616.64</v>
      </c>
      <c r="L73" s="297">
        <v>1702.72</v>
      </c>
      <c r="M73" s="305">
        <f t="shared" si="84"/>
        <v>-913.92</v>
      </c>
      <c r="N73" s="306">
        <f t="shared" si="85"/>
        <v>3270.8</v>
      </c>
      <c r="O73" s="297">
        <v>1702.02</v>
      </c>
      <c r="P73" s="305">
        <f t="shared" si="86"/>
        <v>-1568.78</v>
      </c>
      <c r="Q73" s="306">
        <f t="shared" si="87"/>
        <v>3270.8</v>
      </c>
      <c r="R73" s="297">
        <v>1702.02</v>
      </c>
      <c r="S73" s="300">
        <f t="shared" si="88"/>
        <v>-1568.78</v>
      </c>
    </row>
    <row r="74" hidden="1">
      <c r="A74" s="308"/>
      <c r="B74" s="309">
        <v>0.0</v>
      </c>
      <c r="C74" s="297">
        <v>0.0</v>
      </c>
      <c r="D74" s="311">
        <f t="shared" si="78"/>
        <v>0</v>
      </c>
      <c r="E74" s="312">
        <f t="shared" si="79"/>
        <v>0</v>
      </c>
      <c r="F74" s="297">
        <v>0.0</v>
      </c>
      <c r="G74" s="311">
        <f t="shared" si="80"/>
        <v>0</v>
      </c>
      <c r="H74" s="312">
        <f t="shared" si="81"/>
        <v>0</v>
      </c>
      <c r="I74" s="297">
        <v>0.0</v>
      </c>
      <c r="J74" s="298">
        <f t="shared" si="82"/>
        <v>0</v>
      </c>
      <c r="K74" s="312">
        <f t="shared" si="83"/>
        <v>0</v>
      </c>
      <c r="L74" s="297">
        <v>0.0</v>
      </c>
      <c r="M74" s="311">
        <f t="shared" si="84"/>
        <v>0</v>
      </c>
      <c r="N74" s="312">
        <f t="shared" si="85"/>
        <v>0</v>
      </c>
      <c r="O74" s="297">
        <v>0.0</v>
      </c>
      <c r="P74" s="311">
        <f t="shared" si="86"/>
        <v>0</v>
      </c>
      <c r="Q74" s="312">
        <f t="shared" si="87"/>
        <v>0</v>
      </c>
      <c r="R74" s="297">
        <v>0.0</v>
      </c>
      <c r="S74" s="300">
        <f t="shared" si="88"/>
        <v>0</v>
      </c>
    </row>
    <row r="75" hidden="1">
      <c r="A75" s="283"/>
      <c r="B75" s="284"/>
      <c r="C75" s="285" t="s">
        <v>73</v>
      </c>
      <c r="D75" s="286"/>
      <c r="E75" s="284"/>
      <c r="F75" s="284"/>
      <c r="G75" s="314"/>
      <c r="H75" s="315"/>
      <c r="I75" s="316"/>
      <c r="J75" s="317"/>
      <c r="K75" s="284"/>
      <c r="L75" s="284"/>
      <c r="M75" s="286"/>
      <c r="N75" s="284"/>
      <c r="O75" s="284"/>
      <c r="P75" s="286"/>
      <c r="Q75" s="284"/>
      <c r="R75" s="318">
        <v>677.36</v>
      </c>
      <c r="S75" s="286"/>
    </row>
    <row r="76" hidden="1">
      <c r="A76" s="288">
        <v>46003.0</v>
      </c>
      <c r="B76" s="289">
        <f>SUM(B77:B84)</f>
        <v>5712.03</v>
      </c>
      <c r="C76" s="290">
        <f>SUM(C77:C83)</f>
        <v>1428.13</v>
      </c>
      <c r="D76" s="291">
        <f t="shared" ref="D76:D83" si="89">C76-B76</f>
        <v>-4283.9</v>
      </c>
      <c r="E76" s="292">
        <f t="shared" ref="E76:E83" si="90">B76*2</f>
        <v>11424.06</v>
      </c>
      <c r="F76" s="290">
        <f>SUM(F77:F83)</f>
        <v>5541.97</v>
      </c>
      <c r="G76" s="291">
        <f t="shared" ref="G76:G83" si="91">F76-E76</f>
        <v>-5882.09</v>
      </c>
      <c r="H76" s="292">
        <f t="shared" ref="H76:H83" si="92">B76*3</f>
        <v>17136.09</v>
      </c>
      <c r="I76" s="290">
        <f>SUM(I77:I83)</f>
        <v>0</v>
      </c>
      <c r="J76" s="291">
        <f t="shared" ref="J76:J83" si="93">I76-H76</f>
        <v>-17136.09</v>
      </c>
      <c r="K76" s="292">
        <f t="shared" ref="K76:K83" si="94">B76*4</f>
        <v>22848.12</v>
      </c>
      <c r="L76" s="290">
        <f>SUM(L77:L83)</f>
        <v>10357.31</v>
      </c>
      <c r="M76" s="291">
        <f t="shared" ref="M76:M83" si="95">L76-K76</f>
        <v>-12490.81</v>
      </c>
      <c r="N76" s="292">
        <f t="shared" ref="N76:N83" si="96">B76*5</f>
        <v>28560.15</v>
      </c>
      <c r="O76" s="290">
        <f>SUM(O77:O83)</f>
        <v>11753.5</v>
      </c>
      <c r="P76" s="291">
        <f t="shared" ref="P76:P83" si="97">O76-N76</f>
        <v>-16806.65</v>
      </c>
      <c r="Q76" s="292">
        <f t="shared" ref="Q76:Q83" si="98">N76</f>
        <v>28560.15</v>
      </c>
      <c r="R76" s="293">
        <f>SUM(R77:R83)</f>
        <v>0</v>
      </c>
      <c r="S76" s="300">
        <f t="shared" ref="S76:S83" si="99">R76-Q76</f>
        <v>-28560.15</v>
      </c>
    </row>
    <row r="77" hidden="1">
      <c r="A77" s="295" t="s">
        <v>60</v>
      </c>
      <c r="B77" s="296">
        <v>1123.5</v>
      </c>
      <c r="C77" s="297">
        <v>0.0</v>
      </c>
      <c r="D77" s="298">
        <f t="shared" si="89"/>
        <v>-1123.5</v>
      </c>
      <c r="E77" s="299">
        <f t="shared" si="90"/>
        <v>2247</v>
      </c>
      <c r="F77" s="297">
        <v>250.27</v>
      </c>
      <c r="G77" s="298">
        <f t="shared" si="91"/>
        <v>-1996.73</v>
      </c>
      <c r="H77" s="299">
        <f t="shared" si="92"/>
        <v>3370.5</v>
      </c>
      <c r="I77" s="297">
        <v>0.0</v>
      </c>
      <c r="J77" s="298">
        <f t="shared" si="93"/>
        <v>-3370.5</v>
      </c>
      <c r="K77" s="299">
        <f t="shared" si="94"/>
        <v>4494</v>
      </c>
      <c r="L77" s="297">
        <v>1392.4</v>
      </c>
      <c r="M77" s="298">
        <f t="shared" si="95"/>
        <v>-3101.6</v>
      </c>
      <c r="N77" s="299">
        <f t="shared" si="96"/>
        <v>5617.5</v>
      </c>
      <c r="O77" s="297">
        <v>1392.4</v>
      </c>
      <c r="P77" s="298">
        <f t="shared" si="97"/>
        <v>-4225.1</v>
      </c>
      <c r="Q77" s="299">
        <f t="shared" si="98"/>
        <v>5617.5</v>
      </c>
      <c r="R77" s="297">
        <v>0.0</v>
      </c>
      <c r="S77" s="300">
        <f t="shared" si="99"/>
        <v>-5617.5</v>
      </c>
    </row>
    <row r="78" hidden="1">
      <c r="A78" s="301" t="s">
        <v>62</v>
      </c>
      <c r="B78" s="296">
        <v>1427.88</v>
      </c>
      <c r="C78" s="297">
        <v>280.55</v>
      </c>
      <c r="D78" s="298">
        <f t="shared" si="89"/>
        <v>-1147.33</v>
      </c>
      <c r="E78" s="299">
        <f t="shared" si="90"/>
        <v>2855.76</v>
      </c>
      <c r="F78" s="297">
        <v>500.55</v>
      </c>
      <c r="G78" s="298">
        <f t="shared" si="91"/>
        <v>-2355.21</v>
      </c>
      <c r="H78" s="299">
        <f t="shared" si="92"/>
        <v>4283.64</v>
      </c>
      <c r="I78" s="297">
        <v>0.0</v>
      </c>
      <c r="J78" s="298">
        <f t="shared" si="93"/>
        <v>-4283.64</v>
      </c>
      <c r="K78" s="299">
        <f t="shared" si="94"/>
        <v>5711.52</v>
      </c>
      <c r="L78" s="297">
        <v>2574.48</v>
      </c>
      <c r="M78" s="298">
        <f t="shared" si="95"/>
        <v>-3137.04</v>
      </c>
      <c r="N78" s="299">
        <f t="shared" si="96"/>
        <v>7139.4</v>
      </c>
      <c r="O78" s="297">
        <v>2975.48</v>
      </c>
      <c r="P78" s="298">
        <f t="shared" si="97"/>
        <v>-4163.92</v>
      </c>
      <c r="Q78" s="299">
        <f t="shared" si="98"/>
        <v>7139.4</v>
      </c>
      <c r="R78" s="297">
        <v>0.0</v>
      </c>
      <c r="S78" s="300">
        <f t="shared" si="99"/>
        <v>-7139.4</v>
      </c>
    </row>
    <row r="79" hidden="1">
      <c r="A79" s="301" t="s">
        <v>44</v>
      </c>
      <c r="B79" s="296">
        <v>929.91</v>
      </c>
      <c r="C79" s="297">
        <v>0.0</v>
      </c>
      <c r="D79" s="298">
        <f t="shared" si="89"/>
        <v>-929.91</v>
      </c>
      <c r="E79" s="299">
        <f t="shared" si="90"/>
        <v>1859.82</v>
      </c>
      <c r="F79" s="297">
        <v>506.67</v>
      </c>
      <c r="G79" s="298">
        <f t="shared" si="91"/>
        <v>-1353.15</v>
      </c>
      <c r="H79" s="299">
        <f t="shared" si="92"/>
        <v>2789.73</v>
      </c>
      <c r="I79" s="297">
        <v>0.0</v>
      </c>
      <c r="J79" s="298">
        <f t="shared" si="93"/>
        <v>-2789.73</v>
      </c>
      <c r="K79" s="299">
        <f t="shared" si="94"/>
        <v>3719.64</v>
      </c>
      <c r="L79" s="297">
        <v>705.06</v>
      </c>
      <c r="M79" s="298">
        <f t="shared" si="95"/>
        <v>-3014.58</v>
      </c>
      <c r="N79" s="299">
        <f t="shared" si="96"/>
        <v>4649.55</v>
      </c>
      <c r="O79" s="297">
        <v>955.06</v>
      </c>
      <c r="P79" s="298">
        <f t="shared" si="97"/>
        <v>-3694.49</v>
      </c>
      <c r="Q79" s="299">
        <f t="shared" si="98"/>
        <v>4649.55</v>
      </c>
      <c r="R79" s="297">
        <v>0.0</v>
      </c>
      <c r="S79" s="300">
        <f t="shared" si="99"/>
        <v>-4649.55</v>
      </c>
    </row>
    <row r="80" hidden="1">
      <c r="A80" s="301" t="s">
        <v>74</v>
      </c>
      <c r="B80" s="296">
        <v>735.65</v>
      </c>
      <c r="C80" s="297">
        <v>0.0</v>
      </c>
      <c r="D80" s="298">
        <f t="shared" si="89"/>
        <v>-735.65</v>
      </c>
      <c r="E80" s="299">
        <f t="shared" si="90"/>
        <v>1471.3</v>
      </c>
      <c r="F80" s="297">
        <v>56.95</v>
      </c>
      <c r="G80" s="298">
        <f t="shared" si="91"/>
        <v>-1414.35</v>
      </c>
      <c r="H80" s="299">
        <f t="shared" si="92"/>
        <v>2206.95</v>
      </c>
      <c r="I80" s="297">
        <v>0.0</v>
      </c>
      <c r="J80" s="298">
        <f t="shared" si="93"/>
        <v>-2206.95</v>
      </c>
      <c r="K80" s="299">
        <f t="shared" si="94"/>
        <v>2942.6</v>
      </c>
      <c r="L80" s="297">
        <v>167.91</v>
      </c>
      <c r="M80" s="298">
        <f t="shared" si="95"/>
        <v>-2774.69</v>
      </c>
      <c r="N80" s="299">
        <f t="shared" si="96"/>
        <v>3678.25</v>
      </c>
      <c r="O80" s="297">
        <v>569.76</v>
      </c>
      <c r="P80" s="298">
        <f t="shared" si="97"/>
        <v>-3108.49</v>
      </c>
      <c r="Q80" s="299">
        <f t="shared" si="98"/>
        <v>3678.25</v>
      </c>
      <c r="R80" s="297">
        <v>0.0</v>
      </c>
      <c r="S80" s="300">
        <f t="shared" si="99"/>
        <v>-3678.25</v>
      </c>
    </row>
    <row r="81" hidden="1">
      <c r="A81" s="301" t="s">
        <v>54</v>
      </c>
      <c r="B81" s="296">
        <v>812.4</v>
      </c>
      <c r="C81" s="297">
        <v>993.7</v>
      </c>
      <c r="D81" s="298">
        <f t="shared" si="89"/>
        <v>181.3</v>
      </c>
      <c r="E81" s="299">
        <f t="shared" si="90"/>
        <v>1624.8</v>
      </c>
      <c r="F81" s="297">
        <v>3718.11</v>
      </c>
      <c r="G81" s="298">
        <f t="shared" si="91"/>
        <v>2093.31</v>
      </c>
      <c r="H81" s="299">
        <f t="shared" si="92"/>
        <v>2437.2</v>
      </c>
      <c r="I81" s="297">
        <v>0.0</v>
      </c>
      <c r="J81" s="298">
        <f t="shared" si="93"/>
        <v>-2437.2</v>
      </c>
      <c r="K81" s="299">
        <f t="shared" si="94"/>
        <v>3249.6</v>
      </c>
      <c r="L81" s="297">
        <v>4750.96</v>
      </c>
      <c r="M81" s="298">
        <f t="shared" si="95"/>
        <v>1501.36</v>
      </c>
      <c r="N81" s="299">
        <f t="shared" si="96"/>
        <v>4062</v>
      </c>
      <c r="O81" s="297">
        <v>5094.3</v>
      </c>
      <c r="P81" s="298">
        <f t="shared" si="97"/>
        <v>1032.3</v>
      </c>
      <c r="Q81" s="299">
        <f t="shared" si="98"/>
        <v>4062</v>
      </c>
      <c r="R81" s="297">
        <v>0.0</v>
      </c>
      <c r="S81" s="300">
        <f t="shared" si="99"/>
        <v>-4062</v>
      </c>
    </row>
    <row r="82" hidden="1">
      <c r="A82" s="302" t="s">
        <v>58</v>
      </c>
      <c r="B82" s="303">
        <v>682.69</v>
      </c>
      <c r="C82" s="297">
        <v>153.88</v>
      </c>
      <c r="D82" s="305">
        <f t="shared" si="89"/>
        <v>-528.81</v>
      </c>
      <c r="E82" s="306">
        <f t="shared" si="90"/>
        <v>1365.38</v>
      </c>
      <c r="F82" s="297">
        <v>509.42</v>
      </c>
      <c r="G82" s="305">
        <f t="shared" si="91"/>
        <v>-855.96</v>
      </c>
      <c r="H82" s="306">
        <f t="shared" si="92"/>
        <v>2048.07</v>
      </c>
      <c r="I82" s="297">
        <v>0.0</v>
      </c>
      <c r="J82" s="298">
        <f t="shared" si="93"/>
        <v>-2048.07</v>
      </c>
      <c r="K82" s="306">
        <f t="shared" si="94"/>
        <v>2730.76</v>
      </c>
      <c r="L82" s="297">
        <v>766.5</v>
      </c>
      <c r="M82" s="305">
        <f t="shared" si="95"/>
        <v>-1964.26</v>
      </c>
      <c r="N82" s="306">
        <f t="shared" si="96"/>
        <v>3413.45</v>
      </c>
      <c r="O82" s="297">
        <v>766.5</v>
      </c>
      <c r="P82" s="305">
        <f t="shared" si="97"/>
        <v>-2646.95</v>
      </c>
      <c r="Q82" s="306">
        <f t="shared" si="98"/>
        <v>3413.45</v>
      </c>
      <c r="R82" s="297">
        <v>0.0</v>
      </c>
      <c r="S82" s="300">
        <f t="shared" si="99"/>
        <v>-3413.45</v>
      </c>
    </row>
    <row r="83" hidden="1">
      <c r="A83" s="308"/>
      <c r="B83" s="309">
        <v>0.0</v>
      </c>
      <c r="C83" s="297">
        <v>0.0</v>
      </c>
      <c r="D83" s="311">
        <f t="shared" si="89"/>
        <v>0</v>
      </c>
      <c r="E83" s="312">
        <f t="shared" si="90"/>
        <v>0</v>
      </c>
      <c r="F83" s="297">
        <v>0.0</v>
      </c>
      <c r="G83" s="311">
        <f t="shared" si="91"/>
        <v>0</v>
      </c>
      <c r="H83" s="312">
        <f t="shared" si="92"/>
        <v>0</v>
      </c>
      <c r="I83" s="297">
        <v>0.0</v>
      </c>
      <c r="J83" s="298">
        <f t="shared" si="93"/>
        <v>0</v>
      </c>
      <c r="K83" s="312">
        <f t="shared" si="94"/>
        <v>0</v>
      </c>
      <c r="L83" s="297">
        <v>0.0</v>
      </c>
      <c r="M83" s="311">
        <f t="shared" si="95"/>
        <v>0</v>
      </c>
      <c r="N83" s="312">
        <f t="shared" si="96"/>
        <v>0</v>
      </c>
      <c r="O83" s="297">
        <v>0.0</v>
      </c>
      <c r="P83" s="311">
        <f t="shared" si="97"/>
        <v>0</v>
      </c>
      <c r="Q83" s="312">
        <f t="shared" si="98"/>
        <v>0</v>
      </c>
      <c r="R83" s="297">
        <v>0.0</v>
      </c>
      <c r="S83" s="300">
        <f t="shared" si="99"/>
        <v>0</v>
      </c>
    </row>
    <row r="84" hidden="1">
      <c r="A84" s="283"/>
      <c r="B84" s="284"/>
      <c r="C84" s="285" t="s">
        <v>73</v>
      </c>
      <c r="D84" s="286"/>
      <c r="E84" s="284"/>
      <c r="F84" s="284"/>
      <c r="G84" s="314"/>
      <c r="H84" s="315"/>
      <c r="I84" s="316"/>
      <c r="J84" s="317"/>
      <c r="K84" s="284"/>
      <c r="L84" s="284"/>
      <c r="M84" s="286"/>
      <c r="N84" s="284"/>
      <c r="O84" s="284"/>
      <c r="P84" s="286"/>
      <c r="Q84" s="284"/>
      <c r="R84" s="318">
        <v>677.36</v>
      </c>
      <c r="S84" s="286"/>
    </row>
    <row r="85" hidden="1">
      <c r="A85" s="288">
        <v>46004.0</v>
      </c>
      <c r="B85" s="289">
        <f>SUM(B86:B93)</f>
        <v>2500</v>
      </c>
      <c r="C85" s="290">
        <f>SUM(C86:C92)</f>
        <v>2652.84</v>
      </c>
      <c r="D85" s="291">
        <f t="shared" ref="D85:D92" si="100">C85-B85</f>
        <v>152.84</v>
      </c>
      <c r="E85" s="292">
        <f t="shared" ref="E85:E92" si="101">B85*2</f>
        <v>5000</v>
      </c>
      <c r="F85" s="290">
        <f>SUM(F86:F92)</f>
        <v>5586.66</v>
      </c>
      <c r="G85" s="291">
        <f t="shared" ref="G85:G92" si="102">F85-E85</f>
        <v>586.66</v>
      </c>
      <c r="H85" s="292">
        <f t="shared" ref="H85:H92" si="103">B85*3</f>
        <v>7500</v>
      </c>
      <c r="I85" s="290">
        <f>SUM(I86:I92)</f>
        <v>0</v>
      </c>
      <c r="J85" s="291">
        <f t="shared" ref="J85:J92" si="104">I85-H85</f>
        <v>-7500</v>
      </c>
      <c r="K85" s="292">
        <f t="shared" ref="K85:K92" si="105">B85*4</f>
        <v>10000</v>
      </c>
      <c r="L85" s="290">
        <f>SUM(L86:L92)</f>
        <v>0</v>
      </c>
      <c r="M85" s="291">
        <f t="shared" ref="M85:M92" si="106">L85-K85</f>
        <v>-10000</v>
      </c>
      <c r="N85" s="292">
        <f t="shared" ref="N85:N92" si="107">B85*5</f>
        <v>12500</v>
      </c>
      <c r="O85" s="290">
        <f>SUM(O86:O92)</f>
        <v>0</v>
      </c>
      <c r="P85" s="291">
        <f t="shared" ref="P85:P92" si="108">O85-N85</f>
        <v>-12500</v>
      </c>
      <c r="Q85" s="292">
        <f t="shared" ref="Q85:Q92" si="109">N85</f>
        <v>12500</v>
      </c>
      <c r="R85" s="293">
        <f>SUM(R86:R92)</f>
        <v>0</v>
      </c>
      <c r="S85" s="300">
        <f t="shared" ref="S85:S92" si="110">R85-Q85</f>
        <v>-12500</v>
      </c>
    </row>
    <row r="86" hidden="1">
      <c r="A86" s="295" t="s">
        <v>60</v>
      </c>
      <c r="B86" s="296">
        <v>800.0</v>
      </c>
      <c r="C86" s="297">
        <v>422.02</v>
      </c>
      <c r="D86" s="298">
        <f t="shared" si="100"/>
        <v>-377.98</v>
      </c>
      <c r="E86" s="299">
        <f t="shared" si="101"/>
        <v>1600</v>
      </c>
      <c r="F86" s="297">
        <v>2299.58</v>
      </c>
      <c r="G86" s="298">
        <f t="shared" si="102"/>
        <v>699.58</v>
      </c>
      <c r="H86" s="299">
        <f t="shared" si="103"/>
        <v>2400</v>
      </c>
      <c r="I86" s="297">
        <v>0.0</v>
      </c>
      <c r="J86" s="298">
        <f t="shared" si="104"/>
        <v>-2400</v>
      </c>
      <c r="K86" s="299">
        <f t="shared" si="105"/>
        <v>3200</v>
      </c>
      <c r="L86" s="297">
        <v>0.0</v>
      </c>
      <c r="M86" s="298">
        <f t="shared" si="106"/>
        <v>-3200</v>
      </c>
      <c r="N86" s="299">
        <f t="shared" si="107"/>
        <v>4000</v>
      </c>
      <c r="O86" s="297">
        <v>0.0</v>
      </c>
      <c r="P86" s="298">
        <f t="shared" si="108"/>
        <v>-4000</v>
      </c>
      <c r="Q86" s="299">
        <f t="shared" si="109"/>
        <v>4000</v>
      </c>
      <c r="R86" s="297">
        <v>0.0</v>
      </c>
      <c r="S86" s="300">
        <f t="shared" si="110"/>
        <v>-4000</v>
      </c>
    </row>
    <row r="87" hidden="1">
      <c r="A87" s="301" t="s">
        <v>62</v>
      </c>
      <c r="B87" s="296">
        <v>800.0</v>
      </c>
      <c r="C87" s="297">
        <v>1762.7</v>
      </c>
      <c r="D87" s="298">
        <f t="shared" si="100"/>
        <v>962.7</v>
      </c>
      <c r="E87" s="299">
        <f t="shared" si="101"/>
        <v>1600</v>
      </c>
      <c r="F87" s="297">
        <v>1967.18</v>
      </c>
      <c r="G87" s="298">
        <f t="shared" si="102"/>
        <v>367.18</v>
      </c>
      <c r="H87" s="299">
        <f t="shared" si="103"/>
        <v>2400</v>
      </c>
      <c r="I87" s="297">
        <v>0.0</v>
      </c>
      <c r="J87" s="298">
        <f t="shared" si="104"/>
        <v>-2400</v>
      </c>
      <c r="K87" s="299">
        <f t="shared" si="105"/>
        <v>3200</v>
      </c>
      <c r="L87" s="297">
        <v>0.0</v>
      </c>
      <c r="M87" s="298">
        <f t="shared" si="106"/>
        <v>-3200</v>
      </c>
      <c r="N87" s="299">
        <f t="shared" si="107"/>
        <v>4000</v>
      </c>
      <c r="O87" s="297">
        <v>0.0</v>
      </c>
      <c r="P87" s="298">
        <f t="shared" si="108"/>
        <v>-4000</v>
      </c>
      <c r="Q87" s="299">
        <f t="shared" si="109"/>
        <v>4000</v>
      </c>
      <c r="R87" s="297">
        <v>0.0</v>
      </c>
      <c r="S87" s="300">
        <f t="shared" si="110"/>
        <v>-4000</v>
      </c>
    </row>
    <row r="88" hidden="1">
      <c r="A88" s="301" t="s">
        <v>44</v>
      </c>
      <c r="B88" s="296">
        <v>300.0</v>
      </c>
      <c r="C88" s="297">
        <v>402.95</v>
      </c>
      <c r="D88" s="298">
        <f t="shared" si="100"/>
        <v>102.95</v>
      </c>
      <c r="E88" s="299">
        <f t="shared" si="101"/>
        <v>600</v>
      </c>
      <c r="F88" s="297">
        <v>468.47</v>
      </c>
      <c r="G88" s="298">
        <f t="shared" si="102"/>
        <v>-131.53</v>
      </c>
      <c r="H88" s="299">
        <f t="shared" si="103"/>
        <v>900</v>
      </c>
      <c r="I88" s="297">
        <v>0.0</v>
      </c>
      <c r="J88" s="298">
        <f t="shared" si="104"/>
        <v>-900</v>
      </c>
      <c r="K88" s="299">
        <f t="shared" si="105"/>
        <v>1200</v>
      </c>
      <c r="L88" s="297">
        <v>0.0</v>
      </c>
      <c r="M88" s="298">
        <f t="shared" si="106"/>
        <v>-1200</v>
      </c>
      <c r="N88" s="299">
        <f t="shared" si="107"/>
        <v>1500</v>
      </c>
      <c r="O88" s="297">
        <v>0.0</v>
      </c>
      <c r="P88" s="298">
        <f t="shared" si="108"/>
        <v>-1500</v>
      </c>
      <c r="Q88" s="299">
        <f t="shared" si="109"/>
        <v>1500</v>
      </c>
      <c r="R88" s="297">
        <v>0.0</v>
      </c>
      <c r="S88" s="300">
        <f t="shared" si="110"/>
        <v>-1500</v>
      </c>
    </row>
    <row r="89" hidden="1">
      <c r="A89" s="301" t="s">
        <v>74</v>
      </c>
      <c r="B89" s="296">
        <v>300.0</v>
      </c>
      <c r="C89" s="297">
        <v>65.17</v>
      </c>
      <c r="D89" s="298">
        <f t="shared" si="100"/>
        <v>-234.83</v>
      </c>
      <c r="E89" s="299">
        <f t="shared" si="101"/>
        <v>600</v>
      </c>
      <c r="F89" s="297">
        <v>303.06</v>
      </c>
      <c r="G89" s="298">
        <f t="shared" si="102"/>
        <v>-296.94</v>
      </c>
      <c r="H89" s="299">
        <f t="shared" si="103"/>
        <v>900</v>
      </c>
      <c r="I89" s="297">
        <v>0.0</v>
      </c>
      <c r="J89" s="298">
        <f t="shared" si="104"/>
        <v>-900</v>
      </c>
      <c r="K89" s="299">
        <f t="shared" si="105"/>
        <v>1200</v>
      </c>
      <c r="L89" s="297">
        <v>0.0</v>
      </c>
      <c r="M89" s="298">
        <f t="shared" si="106"/>
        <v>-1200</v>
      </c>
      <c r="N89" s="299">
        <f t="shared" si="107"/>
        <v>1500</v>
      </c>
      <c r="O89" s="297">
        <v>0.0</v>
      </c>
      <c r="P89" s="298">
        <f t="shared" si="108"/>
        <v>-1500</v>
      </c>
      <c r="Q89" s="299">
        <f t="shared" si="109"/>
        <v>1500</v>
      </c>
      <c r="R89" s="297">
        <v>0.0</v>
      </c>
      <c r="S89" s="300">
        <f t="shared" si="110"/>
        <v>-1500</v>
      </c>
    </row>
    <row r="90" hidden="1">
      <c r="A90" s="301" t="s">
        <v>54</v>
      </c>
      <c r="B90" s="296">
        <v>300.0</v>
      </c>
      <c r="C90" s="297">
        <v>0.0</v>
      </c>
      <c r="D90" s="298">
        <f t="shared" si="100"/>
        <v>-300</v>
      </c>
      <c r="E90" s="299">
        <f t="shared" si="101"/>
        <v>600</v>
      </c>
      <c r="F90" s="297">
        <v>548.37</v>
      </c>
      <c r="G90" s="298">
        <f t="shared" si="102"/>
        <v>-51.63</v>
      </c>
      <c r="H90" s="299">
        <f t="shared" si="103"/>
        <v>900</v>
      </c>
      <c r="I90" s="297">
        <v>0.0</v>
      </c>
      <c r="J90" s="298">
        <f t="shared" si="104"/>
        <v>-900</v>
      </c>
      <c r="K90" s="299">
        <f t="shared" si="105"/>
        <v>1200</v>
      </c>
      <c r="L90" s="297">
        <v>0.0</v>
      </c>
      <c r="M90" s="298">
        <f t="shared" si="106"/>
        <v>-1200</v>
      </c>
      <c r="N90" s="299">
        <f t="shared" si="107"/>
        <v>1500</v>
      </c>
      <c r="O90" s="297">
        <v>0.0</v>
      </c>
      <c r="P90" s="298">
        <f t="shared" si="108"/>
        <v>-1500</v>
      </c>
      <c r="Q90" s="299">
        <f t="shared" si="109"/>
        <v>1500</v>
      </c>
      <c r="R90" s="297">
        <v>0.0</v>
      </c>
      <c r="S90" s="300">
        <f t="shared" si="110"/>
        <v>-1500</v>
      </c>
    </row>
    <row r="91" hidden="1">
      <c r="A91" s="302" t="s">
        <v>58</v>
      </c>
      <c r="B91" s="303">
        <v>0.0</v>
      </c>
      <c r="C91" s="297">
        <v>0.0</v>
      </c>
      <c r="D91" s="305">
        <f t="shared" si="100"/>
        <v>0</v>
      </c>
      <c r="E91" s="306">
        <f t="shared" si="101"/>
        <v>0</v>
      </c>
      <c r="F91" s="297">
        <v>0.0</v>
      </c>
      <c r="G91" s="305">
        <f t="shared" si="102"/>
        <v>0</v>
      </c>
      <c r="H91" s="306">
        <f t="shared" si="103"/>
        <v>0</v>
      </c>
      <c r="I91" s="297">
        <v>0.0</v>
      </c>
      <c r="J91" s="298">
        <f t="shared" si="104"/>
        <v>0</v>
      </c>
      <c r="K91" s="306">
        <f t="shared" si="105"/>
        <v>0</v>
      </c>
      <c r="L91" s="297">
        <v>0.0</v>
      </c>
      <c r="M91" s="305">
        <f t="shared" si="106"/>
        <v>0</v>
      </c>
      <c r="N91" s="306">
        <f t="shared" si="107"/>
        <v>0</v>
      </c>
      <c r="O91" s="297">
        <v>0.0</v>
      </c>
      <c r="P91" s="305">
        <f t="shared" si="108"/>
        <v>0</v>
      </c>
      <c r="Q91" s="306">
        <f t="shared" si="109"/>
        <v>0</v>
      </c>
      <c r="R91" s="297">
        <v>0.0</v>
      </c>
      <c r="S91" s="300">
        <f t="shared" si="110"/>
        <v>0</v>
      </c>
    </row>
    <row r="92" hidden="1">
      <c r="A92" s="308"/>
      <c r="B92" s="309">
        <v>0.0</v>
      </c>
      <c r="C92" s="297">
        <v>0.0</v>
      </c>
      <c r="D92" s="311">
        <f t="shared" si="100"/>
        <v>0</v>
      </c>
      <c r="E92" s="312">
        <f t="shared" si="101"/>
        <v>0</v>
      </c>
      <c r="F92" s="297">
        <v>0.0</v>
      </c>
      <c r="G92" s="311">
        <f t="shared" si="102"/>
        <v>0</v>
      </c>
      <c r="H92" s="312">
        <f t="shared" si="103"/>
        <v>0</v>
      </c>
      <c r="I92" s="297">
        <v>0.0</v>
      </c>
      <c r="J92" s="298">
        <f t="shared" si="104"/>
        <v>0</v>
      </c>
      <c r="K92" s="312">
        <f t="shared" si="105"/>
        <v>0</v>
      </c>
      <c r="L92" s="297">
        <v>0.0</v>
      </c>
      <c r="M92" s="311">
        <f t="shared" si="106"/>
        <v>0</v>
      </c>
      <c r="N92" s="312">
        <f t="shared" si="107"/>
        <v>0</v>
      </c>
      <c r="O92" s="297">
        <v>0.0</v>
      </c>
      <c r="P92" s="311">
        <f t="shared" si="108"/>
        <v>0</v>
      </c>
      <c r="Q92" s="312">
        <f t="shared" si="109"/>
        <v>0</v>
      </c>
      <c r="R92" s="297">
        <v>0.0</v>
      </c>
      <c r="S92" s="300">
        <f t="shared" si="110"/>
        <v>0</v>
      </c>
    </row>
    <row r="93" hidden="1">
      <c r="A93" s="283"/>
      <c r="B93" s="284"/>
      <c r="C93" s="285" t="s">
        <v>73</v>
      </c>
      <c r="D93" s="286"/>
      <c r="E93" s="284"/>
      <c r="F93" s="284"/>
      <c r="G93" s="314"/>
      <c r="H93" s="315"/>
      <c r="I93" s="316"/>
      <c r="J93" s="317"/>
      <c r="K93" s="284"/>
      <c r="L93" s="284"/>
      <c r="M93" s="286"/>
      <c r="N93" s="284"/>
      <c r="O93" s="284"/>
      <c r="P93" s="286"/>
      <c r="Q93" s="284"/>
      <c r="R93" s="318">
        <v>677.36</v>
      </c>
      <c r="S93" s="286"/>
    </row>
    <row r="94" hidden="1">
      <c r="A94" s="288">
        <v>46006.0</v>
      </c>
      <c r="B94" s="289">
        <f>SUM(B95:B102)</f>
        <v>5708.93</v>
      </c>
      <c r="C94" s="290">
        <f>SUM(C95:C101)</f>
        <v>1914.21</v>
      </c>
      <c r="D94" s="291">
        <f t="shared" ref="D94:D101" si="111">C94-B94</f>
        <v>-3794.72</v>
      </c>
      <c r="E94" s="292">
        <f t="shared" ref="E94:E101" si="112">B94*2</f>
        <v>11417.86</v>
      </c>
      <c r="F94" s="290">
        <f>SUM(F95:F101)</f>
        <v>4582.25</v>
      </c>
      <c r="G94" s="291">
        <f t="shared" ref="G94:G101" si="113">F94-E94</f>
        <v>-6835.61</v>
      </c>
      <c r="H94" s="292">
        <f t="shared" ref="H94:H101" si="114">B94*3</f>
        <v>17126.79</v>
      </c>
      <c r="I94" s="290">
        <f>SUM(I95:I101)</f>
        <v>6977.6</v>
      </c>
      <c r="J94" s="291">
        <f t="shared" ref="J94:J101" si="115">I94-H94</f>
        <v>-10149.19</v>
      </c>
      <c r="K94" s="292">
        <f t="shared" ref="K94:K101" si="116">B94*4</f>
        <v>22835.72</v>
      </c>
      <c r="L94" s="290">
        <f>SUM(L95:L101)</f>
        <v>8771.81</v>
      </c>
      <c r="M94" s="291">
        <f t="shared" ref="M94:M101" si="117">L94-K94</f>
        <v>-14063.91</v>
      </c>
      <c r="N94" s="292">
        <f t="shared" ref="N94:N101" si="118">B94*5</f>
        <v>28544.65</v>
      </c>
      <c r="O94" s="290">
        <f>SUM(O95:O101)</f>
        <v>12004.67</v>
      </c>
      <c r="P94" s="291">
        <f t="shared" ref="P94:P101" si="119">O94-N94</f>
        <v>-16539.98</v>
      </c>
      <c r="Q94" s="292">
        <f t="shared" ref="Q94:Q101" si="120">N94</f>
        <v>28544.65</v>
      </c>
      <c r="R94" s="293">
        <v>16104.86</v>
      </c>
      <c r="S94" s="300">
        <f t="shared" ref="S94:S101" si="121">R94-Q94</f>
        <v>-12439.79</v>
      </c>
    </row>
    <row r="95" hidden="1">
      <c r="A95" s="295" t="s">
        <v>60</v>
      </c>
      <c r="B95" s="296">
        <v>1138.85</v>
      </c>
      <c r="C95" s="297">
        <v>0.0</v>
      </c>
      <c r="D95" s="298">
        <f t="shared" si="111"/>
        <v>-1138.85</v>
      </c>
      <c r="E95" s="299">
        <f t="shared" si="112"/>
        <v>2277.7</v>
      </c>
      <c r="F95" s="297">
        <v>1629.68</v>
      </c>
      <c r="G95" s="298">
        <f t="shared" si="113"/>
        <v>-648.02</v>
      </c>
      <c r="H95" s="299">
        <f t="shared" si="114"/>
        <v>3416.55</v>
      </c>
      <c r="I95" s="297">
        <v>2337.13</v>
      </c>
      <c r="J95" s="298">
        <f t="shared" si="115"/>
        <v>-1079.42</v>
      </c>
      <c r="K95" s="299">
        <f t="shared" si="116"/>
        <v>4555.4</v>
      </c>
      <c r="L95" s="297">
        <v>2284.25</v>
      </c>
      <c r="M95" s="298">
        <f t="shared" si="117"/>
        <v>-2271.15</v>
      </c>
      <c r="N95" s="299">
        <f t="shared" si="118"/>
        <v>5694.25</v>
      </c>
      <c r="O95" s="297">
        <v>3471.66</v>
      </c>
      <c r="P95" s="298">
        <f t="shared" si="119"/>
        <v>-2222.59</v>
      </c>
      <c r="Q95" s="299">
        <f t="shared" si="120"/>
        <v>5694.25</v>
      </c>
      <c r="R95" s="297">
        <v>4677.13</v>
      </c>
      <c r="S95" s="300">
        <f t="shared" si="121"/>
        <v>-1017.12</v>
      </c>
    </row>
    <row r="96" hidden="1">
      <c r="A96" s="301" t="s">
        <v>62</v>
      </c>
      <c r="B96" s="296">
        <v>1459.41</v>
      </c>
      <c r="C96" s="297">
        <v>1029.94</v>
      </c>
      <c r="D96" s="298">
        <f t="shared" si="111"/>
        <v>-429.47</v>
      </c>
      <c r="E96" s="299">
        <f t="shared" si="112"/>
        <v>2918.82</v>
      </c>
      <c r="F96" s="297">
        <v>1029.94</v>
      </c>
      <c r="G96" s="298">
        <f t="shared" si="113"/>
        <v>-1888.88</v>
      </c>
      <c r="H96" s="299">
        <f t="shared" si="114"/>
        <v>4378.23</v>
      </c>
      <c r="I96" s="297">
        <v>2331.72</v>
      </c>
      <c r="J96" s="298">
        <f t="shared" si="115"/>
        <v>-2046.51</v>
      </c>
      <c r="K96" s="299">
        <f t="shared" si="116"/>
        <v>5837.64</v>
      </c>
      <c r="L96" s="297">
        <v>3059.72</v>
      </c>
      <c r="M96" s="298">
        <f t="shared" si="117"/>
        <v>-2777.92</v>
      </c>
      <c r="N96" s="299">
        <f t="shared" si="118"/>
        <v>7297.05</v>
      </c>
      <c r="O96" s="297">
        <v>3953.44</v>
      </c>
      <c r="P96" s="298">
        <f t="shared" si="119"/>
        <v>-3343.61</v>
      </c>
      <c r="Q96" s="299">
        <f t="shared" si="120"/>
        <v>7297.05</v>
      </c>
      <c r="R96" s="297">
        <v>4383.39</v>
      </c>
      <c r="S96" s="300">
        <f t="shared" si="121"/>
        <v>-2913.66</v>
      </c>
    </row>
    <row r="97" hidden="1">
      <c r="A97" s="301" t="s">
        <v>44</v>
      </c>
      <c r="B97" s="296">
        <v>994.43</v>
      </c>
      <c r="C97" s="297">
        <v>0.0</v>
      </c>
      <c r="D97" s="298">
        <f t="shared" si="111"/>
        <v>-994.43</v>
      </c>
      <c r="E97" s="299">
        <f t="shared" si="112"/>
        <v>1988.86</v>
      </c>
      <c r="F97" s="297">
        <v>239.21</v>
      </c>
      <c r="G97" s="298">
        <f t="shared" si="113"/>
        <v>-1749.65</v>
      </c>
      <c r="H97" s="299">
        <f t="shared" si="114"/>
        <v>2983.29</v>
      </c>
      <c r="I97" s="297">
        <v>625.33</v>
      </c>
      <c r="J97" s="298">
        <f t="shared" si="115"/>
        <v>-2357.96</v>
      </c>
      <c r="K97" s="299">
        <f t="shared" si="116"/>
        <v>3977.72</v>
      </c>
      <c r="L97" s="297">
        <v>747.48</v>
      </c>
      <c r="M97" s="298">
        <f t="shared" si="117"/>
        <v>-3230.24</v>
      </c>
      <c r="N97" s="299">
        <f t="shared" si="118"/>
        <v>4972.15</v>
      </c>
      <c r="O97" s="297">
        <v>1496.51</v>
      </c>
      <c r="P97" s="298">
        <f t="shared" si="119"/>
        <v>-3475.64</v>
      </c>
      <c r="Q97" s="299">
        <f t="shared" si="120"/>
        <v>4972.15</v>
      </c>
      <c r="R97" s="297">
        <v>3826.51</v>
      </c>
      <c r="S97" s="300">
        <f t="shared" si="121"/>
        <v>-1145.64</v>
      </c>
    </row>
    <row r="98" hidden="1">
      <c r="A98" s="301" t="s">
        <v>74</v>
      </c>
      <c r="B98" s="296">
        <v>600.0</v>
      </c>
      <c r="C98" s="297">
        <v>0.0</v>
      </c>
      <c r="D98" s="298">
        <f t="shared" si="111"/>
        <v>-600</v>
      </c>
      <c r="E98" s="299">
        <f t="shared" si="112"/>
        <v>1200</v>
      </c>
      <c r="F98" s="297">
        <v>40.0</v>
      </c>
      <c r="G98" s="298">
        <f t="shared" si="113"/>
        <v>-1160</v>
      </c>
      <c r="H98" s="299">
        <f t="shared" si="114"/>
        <v>1800</v>
      </c>
      <c r="I98" s="297">
        <v>40.0</v>
      </c>
      <c r="J98" s="298">
        <f t="shared" si="115"/>
        <v>-1760</v>
      </c>
      <c r="K98" s="299">
        <f t="shared" si="116"/>
        <v>2400</v>
      </c>
      <c r="L98" s="297">
        <v>40.0</v>
      </c>
      <c r="M98" s="298">
        <f t="shared" si="117"/>
        <v>-2360</v>
      </c>
      <c r="N98" s="299">
        <f t="shared" si="118"/>
        <v>3000</v>
      </c>
      <c r="O98" s="297">
        <v>40.0</v>
      </c>
      <c r="P98" s="298">
        <f t="shared" si="119"/>
        <v>-2960</v>
      </c>
      <c r="Q98" s="299">
        <f t="shared" si="120"/>
        <v>3000</v>
      </c>
      <c r="R98" s="297">
        <v>103.46</v>
      </c>
      <c r="S98" s="300">
        <f t="shared" si="121"/>
        <v>-2896.54</v>
      </c>
    </row>
    <row r="99" hidden="1">
      <c r="A99" s="301" t="s">
        <v>54</v>
      </c>
      <c r="B99" s="296">
        <v>780.61</v>
      </c>
      <c r="C99" s="297">
        <v>804.27</v>
      </c>
      <c r="D99" s="298">
        <f t="shared" si="111"/>
        <v>23.66</v>
      </c>
      <c r="E99" s="299">
        <f t="shared" si="112"/>
        <v>1561.22</v>
      </c>
      <c r="F99" s="297">
        <v>1393.42</v>
      </c>
      <c r="G99" s="298">
        <f t="shared" si="113"/>
        <v>-167.8</v>
      </c>
      <c r="H99" s="299">
        <f t="shared" si="114"/>
        <v>2341.83</v>
      </c>
      <c r="I99" s="297">
        <v>1393.42</v>
      </c>
      <c r="J99" s="298">
        <f t="shared" si="115"/>
        <v>-948.41</v>
      </c>
      <c r="K99" s="299">
        <f t="shared" si="116"/>
        <v>3122.44</v>
      </c>
      <c r="L99" s="297">
        <v>2290.46</v>
      </c>
      <c r="M99" s="298">
        <f t="shared" si="117"/>
        <v>-831.98</v>
      </c>
      <c r="N99" s="299">
        <f t="shared" si="118"/>
        <v>3903.05</v>
      </c>
      <c r="O99" s="297">
        <v>2590.26</v>
      </c>
      <c r="P99" s="298">
        <f t="shared" si="119"/>
        <v>-1312.79</v>
      </c>
      <c r="Q99" s="299">
        <f t="shared" si="120"/>
        <v>3903.05</v>
      </c>
      <c r="R99" s="297">
        <v>2590.26</v>
      </c>
      <c r="S99" s="300">
        <f t="shared" si="121"/>
        <v>-1312.79</v>
      </c>
    </row>
    <row r="100" hidden="1">
      <c r="A100" s="302" t="s">
        <v>58</v>
      </c>
      <c r="B100" s="303">
        <v>735.63</v>
      </c>
      <c r="C100" s="297">
        <v>80.0</v>
      </c>
      <c r="D100" s="305">
        <f t="shared" si="111"/>
        <v>-655.63</v>
      </c>
      <c r="E100" s="306">
        <f t="shared" si="112"/>
        <v>1471.26</v>
      </c>
      <c r="F100" s="297">
        <v>250.0</v>
      </c>
      <c r="G100" s="305">
        <f t="shared" si="113"/>
        <v>-1221.26</v>
      </c>
      <c r="H100" s="306">
        <f t="shared" si="114"/>
        <v>2206.89</v>
      </c>
      <c r="I100" s="297">
        <v>250.0</v>
      </c>
      <c r="J100" s="298">
        <f t="shared" si="115"/>
        <v>-1956.89</v>
      </c>
      <c r="K100" s="306">
        <f t="shared" si="116"/>
        <v>2942.52</v>
      </c>
      <c r="L100" s="297">
        <v>349.9</v>
      </c>
      <c r="M100" s="305">
        <f t="shared" si="117"/>
        <v>-2592.62</v>
      </c>
      <c r="N100" s="306">
        <f t="shared" si="118"/>
        <v>3678.15</v>
      </c>
      <c r="O100" s="297">
        <v>452.8</v>
      </c>
      <c r="P100" s="305">
        <f t="shared" si="119"/>
        <v>-3225.35</v>
      </c>
      <c r="Q100" s="306">
        <f t="shared" si="120"/>
        <v>3678.15</v>
      </c>
      <c r="R100" s="297">
        <v>452.8</v>
      </c>
      <c r="S100" s="300">
        <f t="shared" si="121"/>
        <v>-3225.35</v>
      </c>
    </row>
    <row r="101" hidden="1">
      <c r="A101" s="308"/>
      <c r="B101" s="309">
        <v>0.0</v>
      </c>
      <c r="C101" s="297">
        <v>0.0</v>
      </c>
      <c r="D101" s="311">
        <f t="shared" si="111"/>
        <v>0</v>
      </c>
      <c r="E101" s="312">
        <f t="shared" si="112"/>
        <v>0</v>
      </c>
      <c r="F101" s="297">
        <v>0.0</v>
      </c>
      <c r="G101" s="311">
        <f t="shared" si="113"/>
        <v>0</v>
      </c>
      <c r="H101" s="312">
        <f t="shared" si="114"/>
        <v>0</v>
      </c>
      <c r="I101" s="297">
        <v>0.0</v>
      </c>
      <c r="J101" s="298">
        <f t="shared" si="115"/>
        <v>0</v>
      </c>
      <c r="K101" s="312">
        <f t="shared" si="116"/>
        <v>0</v>
      </c>
      <c r="L101" s="297">
        <v>0.0</v>
      </c>
      <c r="M101" s="311">
        <f t="shared" si="117"/>
        <v>0</v>
      </c>
      <c r="N101" s="312">
        <f t="shared" si="118"/>
        <v>0</v>
      </c>
      <c r="O101" s="297">
        <v>0.0</v>
      </c>
      <c r="P101" s="311">
        <f t="shared" si="119"/>
        <v>0</v>
      </c>
      <c r="Q101" s="312">
        <f t="shared" si="120"/>
        <v>0</v>
      </c>
      <c r="R101" s="297">
        <v>0.0</v>
      </c>
      <c r="S101" s="300">
        <f t="shared" si="121"/>
        <v>0</v>
      </c>
    </row>
    <row r="102" hidden="1">
      <c r="A102" s="283"/>
      <c r="B102" s="284"/>
      <c r="C102" s="285" t="s">
        <v>73</v>
      </c>
      <c r="D102" s="286"/>
      <c r="E102" s="284"/>
      <c r="F102" s="284"/>
      <c r="G102" s="314"/>
      <c r="H102" s="315"/>
      <c r="I102" s="316"/>
      <c r="J102" s="317"/>
      <c r="K102" s="284"/>
      <c r="L102" s="284"/>
      <c r="M102" s="286"/>
      <c r="N102" s="284"/>
      <c r="O102" s="284"/>
      <c r="P102" s="286"/>
      <c r="Q102" s="284"/>
      <c r="R102" s="318">
        <v>677.36</v>
      </c>
      <c r="S102" s="286"/>
    </row>
    <row r="103" hidden="1">
      <c r="A103" s="288">
        <v>46007.0</v>
      </c>
      <c r="B103" s="289">
        <f>SUM(B104:B111)</f>
        <v>5000</v>
      </c>
      <c r="C103" s="290">
        <f>SUM(C104:C110)</f>
        <v>5066.05</v>
      </c>
      <c r="D103" s="291">
        <f t="shared" ref="D103:D110" si="122">C103-B103</f>
        <v>66.05</v>
      </c>
      <c r="E103" s="292">
        <f t="shared" ref="E103:E110" si="123">B103*2</f>
        <v>10000</v>
      </c>
      <c r="F103" s="290">
        <f>SUM(F104:F110)</f>
        <v>8224.73</v>
      </c>
      <c r="G103" s="291">
        <f t="shared" ref="G103:G110" si="124">F103-E103</f>
        <v>-1775.27</v>
      </c>
      <c r="H103" s="292">
        <f t="shared" ref="H103:H110" si="125">B103*3</f>
        <v>15000</v>
      </c>
      <c r="I103" s="290">
        <f>SUM(I104:I110)</f>
        <v>9325.57</v>
      </c>
      <c r="J103" s="291">
        <f t="shared" ref="J103:J110" si="126">I103-H103</f>
        <v>-5674.43</v>
      </c>
      <c r="K103" s="292">
        <f t="shared" ref="K103:K110" si="127">B103*4</f>
        <v>20000</v>
      </c>
      <c r="L103" s="290">
        <f>SUM(L104:L110)</f>
        <v>12253.23</v>
      </c>
      <c r="M103" s="291">
        <f t="shared" ref="M103:M110" si="128">L103-K103</f>
        <v>-7746.77</v>
      </c>
      <c r="N103" s="292">
        <f t="shared" ref="N103:N110" si="129">B103*5</f>
        <v>25000</v>
      </c>
      <c r="O103" s="290">
        <f>SUM(O104:O110)</f>
        <v>14340.89</v>
      </c>
      <c r="P103" s="291">
        <f t="shared" ref="P103:P110" si="130">O103-N103</f>
        <v>-10659.11</v>
      </c>
      <c r="Q103" s="292">
        <f t="shared" ref="Q103:Q110" si="131">N103</f>
        <v>25000</v>
      </c>
      <c r="R103" s="293">
        <v>18374.99</v>
      </c>
      <c r="S103" s="300">
        <f t="shared" ref="S103:S110" si="132">R103-Q103</f>
        <v>-6625.01</v>
      </c>
    </row>
    <row r="104" hidden="1">
      <c r="A104" s="295" t="s">
        <v>60</v>
      </c>
      <c r="B104" s="296">
        <v>1000.0</v>
      </c>
      <c r="C104" s="297">
        <v>1245.61</v>
      </c>
      <c r="D104" s="298">
        <f t="shared" si="122"/>
        <v>245.61</v>
      </c>
      <c r="E104" s="299">
        <f t="shared" si="123"/>
        <v>2000</v>
      </c>
      <c r="F104" s="297">
        <v>1608.24</v>
      </c>
      <c r="G104" s="298">
        <f t="shared" si="124"/>
        <v>-391.76</v>
      </c>
      <c r="H104" s="299">
        <f t="shared" si="125"/>
        <v>3000</v>
      </c>
      <c r="I104" s="297">
        <v>1608.24</v>
      </c>
      <c r="J104" s="298">
        <f t="shared" si="126"/>
        <v>-1391.76</v>
      </c>
      <c r="K104" s="299">
        <f t="shared" si="127"/>
        <v>4000</v>
      </c>
      <c r="L104" s="297">
        <v>2428.17</v>
      </c>
      <c r="M104" s="298">
        <f t="shared" si="128"/>
        <v>-1571.83</v>
      </c>
      <c r="N104" s="299">
        <f t="shared" si="129"/>
        <v>5000</v>
      </c>
      <c r="O104" s="297">
        <v>2936.77</v>
      </c>
      <c r="P104" s="298">
        <f t="shared" si="130"/>
        <v>-2063.23</v>
      </c>
      <c r="Q104" s="299">
        <f t="shared" si="131"/>
        <v>5000</v>
      </c>
      <c r="R104" s="297">
        <v>3583.95</v>
      </c>
      <c r="S104" s="300">
        <f t="shared" si="132"/>
        <v>-1416.05</v>
      </c>
    </row>
    <row r="105" hidden="1">
      <c r="A105" s="301" t="s">
        <v>62</v>
      </c>
      <c r="B105" s="296">
        <v>1350.0</v>
      </c>
      <c r="C105" s="297">
        <v>1836.05</v>
      </c>
      <c r="D105" s="298">
        <f t="shared" si="122"/>
        <v>486.05</v>
      </c>
      <c r="E105" s="299">
        <f t="shared" si="123"/>
        <v>2700</v>
      </c>
      <c r="F105" s="297">
        <v>2136.05</v>
      </c>
      <c r="G105" s="298">
        <f t="shared" si="124"/>
        <v>-563.95</v>
      </c>
      <c r="H105" s="299">
        <f t="shared" si="125"/>
        <v>4050</v>
      </c>
      <c r="I105" s="297">
        <v>2625.72</v>
      </c>
      <c r="J105" s="298">
        <f t="shared" si="126"/>
        <v>-1424.28</v>
      </c>
      <c r="K105" s="299">
        <f t="shared" si="127"/>
        <v>5400</v>
      </c>
      <c r="L105" s="297">
        <v>3762.39</v>
      </c>
      <c r="M105" s="298">
        <f t="shared" si="128"/>
        <v>-1637.61</v>
      </c>
      <c r="N105" s="299">
        <f t="shared" si="129"/>
        <v>6750</v>
      </c>
      <c r="O105" s="297">
        <v>4415.32</v>
      </c>
      <c r="P105" s="298">
        <f t="shared" si="130"/>
        <v>-2334.68</v>
      </c>
      <c r="Q105" s="299">
        <f t="shared" si="131"/>
        <v>6750</v>
      </c>
      <c r="R105" s="297">
        <v>4415.32</v>
      </c>
      <c r="S105" s="300">
        <f t="shared" si="132"/>
        <v>-2334.68</v>
      </c>
    </row>
    <row r="106" hidden="1">
      <c r="A106" s="301" t="s">
        <v>44</v>
      </c>
      <c r="B106" s="296">
        <v>750.0</v>
      </c>
      <c r="C106" s="297">
        <v>425.9</v>
      </c>
      <c r="D106" s="298">
        <f t="shared" si="122"/>
        <v>-324.1</v>
      </c>
      <c r="E106" s="299">
        <f t="shared" si="123"/>
        <v>1500</v>
      </c>
      <c r="F106" s="297">
        <v>966.28</v>
      </c>
      <c r="G106" s="298">
        <f t="shared" si="124"/>
        <v>-533.72</v>
      </c>
      <c r="H106" s="299">
        <f t="shared" si="125"/>
        <v>2250</v>
      </c>
      <c r="I106" s="297">
        <v>1056.66</v>
      </c>
      <c r="J106" s="298">
        <f t="shared" si="126"/>
        <v>-1193.34</v>
      </c>
      <c r="K106" s="299">
        <f t="shared" si="127"/>
        <v>3000</v>
      </c>
      <c r="L106" s="297">
        <v>1535.4</v>
      </c>
      <c r="M106" s="298">
        <f t="shared" si="128"/>
        <v>-1464.6</v>
      </c>
      <c r="N106" s="299">
        <f t="shared" si="129"/>
        <v>3750</v>
      </c>
      <c r="O106" s="297">
        <v>1799.43</v>
      </c>
      <c r="P106" s="298">
        <f t="shared" si="130"/>
        <v>-1950.57</v>
      </c>
      <c r="Q106" s="299">
        <f t="shared" si="131"/>
        <v>3750</v>
      </c>
      <c r="R106" s="297">
        <v>1799.43</v>
      </c>
      <c r="S106" s="300">
        <f t="shared" si="132"/>
        <v>-1950.57</v>
      </c>
    </row>
    <row r="107" hidden="1">
      <c r="A107" s="301" t="s">
        <v>74</v>
      </c>
      <c r="B107" s="296">
        <v>600.0</v>
      </c>
      <c r="C107" s="297">
        <v>65.32</v>
      </c>
      <c r="D107" s="298">
        <f t="shared" si="122"/>
        <v>-534.68</v>
      </c>
      <c r="E107" s="299">
        <f t="shared" si="123"/>
        <v>1200</v>
      </c>
      <c r="F107" s="297">
        <v>65.32</v>
      </c>
      <c r="G107" s="298">
        <f t="shared" si="124"/>
        <v>-1134.68</v>
      </c>
      <c r="H107" s="299">
        <f t="shared" si="125"/>
        <v>1800</v>
      </c>
      <c r="I107" s="297">
        <v>65.32</v>
      </c>
      <c r="J107" s="298">
        <f t="shared" si="126"/>
        <v>-1734.68</v>
      </c>
      <c r="K107" s="299">
        <f t="shared" si="127"/>
        <v>2400</v>
      </c>
      <c r="L107" s="297">
        <v>185.25</v>
      </c>
      <c r="M107" s="298">
        <f t="shared" si="128"/>
        <v>-2214.75</v>
      </c>
      <c r="N107" s="299">
        <f t="shared" si="129"/>
        <v>3000</v>
      </c>
      <c r="O107" s="297">
        <v>504.25</v>
      </c>
      <c r="P107" s="298">
        <f t="shared" si="130"/>
        <v>-2495.75</v>
      </c>
      <c r="Q107" s="299">
        <f t="shared" si="131"/>
        <v>3000</v>
      </c>
      <c r="R107" s="297">
        <v>504.25</v>
      </c>
      <c r="S107" s="300">
        <f t="shared" si="132"/>
        <v>-2495.75</v>
      </c>
    </row>
    <row r="108" hidden="1">
      <c r="A108" s="301" t="s">
        <v>54</v>
      </c>
      <c r="B108" s="296">
        <v>650.0</v>
      </c>
      <c r="C108" s="297">
        <v>677.58</v>
      </c>
      <c r="D108" s="298">
        <f t="shared" si="122"/>
        <v>27.58</v>
      </c>
      <c r="E108" s="299">
        <f t="shared" si="123"/>
        <v>1300</v>
      </c>
      <c r="F108" s="297">
        <v>1577.09</v>
      </c>
      <c r="G108" s="298">
        <f t="shared" si="124"/>
        <v>277.09</v>
      </c>
      <c r="H108" s="299">
        <f t="shared" si="125"/>
        <v>1950</v>
      </c>
      <c r="I108" s="297">
        <v>2097.88</v>
      </c>
      <c r="J108" s="298">
        <f t="shared" si="126"/>
        <v>147.88</v>
      </c>
      <c r="K108" s="299">
        <f t="shared" si="127"/>
        <v>2600</v>
      </c>
      <c r="L108" s="297">
        <v>2470.27</v>
      </c>
      <c r="M108" s="298">
        <f t="shared" si="128"/>
        <v>-129.73</v>
      </c>
      <c r="N108" s="299">
        <f t="shared" si="129"/>
        <v>3250</v>
      </c>
      <c r="O108" s="297">
        <v>2813.37</v>
      </c>
      <c r="P108" s="298">
        <f t="shared" si="130"/>
        <v>-436.63</v>
      </c>
      <c r="Q108" s="299">
        <f t="shared" si="131"/>
        <v>3250</v>
      </c>
      <c r="R108" s="297">
        <v>3143.57</v>
      </c>
      <c r="S108" s="300">
        <f t="shared" si="132"/>
        <v>-106.43</v>
      </c>
    </row>
    <row r="109" hidden="1">
      <c r="A109" s="302" t="s">
        <v>58</v>
      </c>
      <c r="B109" s="303">
        <v>650.0</v>
      </c>
      <c r="C109" s="297">
        <v>815.59</v>
      </c>
      <c r="D109" s="305">
        <f t="shared" si="122"/>
        <v>165.59</v>
      </c>
      <c r="E109" s="306">
        <f t="shared" si="123"/>
        <v>1300</v>
      </c>
      <c r="F109" s="297">
        <v>1871.75</v>
      </c>
      <c r="G109" s="305">
        <f t="shared" si="124"/>
        <v>571.75</v>
      </c>
      <c r="H109" s="306">
        <f t="shared" si="125"/>
        <v>1950</v>
      </c>
      <c r="I109" s="297">
        <v>1871.75</v>
      </c>
      <c r="J109" s="298">
        <f t="shared" si="126"/>
        <v>-78.25</v>
      </c>
      <c r="K109" s="306">
        <f t="shared" si="127"/>
        <v>2600</v>
      </c>
      <c r="L109" s="297">
        <v>1871.75</v>
      </c>
      <c r="M109" s="305">
        <f t="shared" si="128"/>
        <v>-728.25</v>
      </c>
      <c r="N109" s="306">
        <f t="shared" si="129"/>
        <v>3250</v>
      </c>
      <c r="O109" s="297">
        <v>1871.75</v>
      </c>
      <c r="P109" s="305">
        <f t="shared" si="130"/>
        <v>-1378.25</v>
      </c>
      <c r="Q109" s="306">
        <f t="shared" si="131"/>
        <v>3250</v>
      </c>
      <c r="R109" s="297">
        <v>1871.75</v>
      </c>
      <c r="S109" s="300">
        <f t="shared" si="132"/>
        <v>-1378.25</v>
      </c>
    </row>
    <row r="110" hidden="1">
      <c r="A110" s="308"/>
      <c r="B110" s="309">
        <v>0.0</v>
      </c>
      <c r="C110" s="297">
        <v>0.0</v>
      </c>
      <c r="D110" s="311">
        <f t="shared" si="122"/>
        <v>0</v>
      </c>
      <c r="E110" s="312">
        <f t="shared" si="123"/>
        <v>0</v>
      </c>
      <c r="F110" s="297">
        <v>0.0</v>
      </c>
      <c r="G110" s="311">
        <f t="shared" si="124"/>
        <v>0</v>
      </c>
      <c r="H110" s="312">
        <f t="shared" si="125"/>
        <v>0</v>
      </c>
      <c r="I110" s="297">
        <v>0.0</v>
      </c>
      <c r="J110" s="298">
        <f t="shared" si="126"/>
        <v>0</v>
      </c>
      <c r="K110" s="312">
        <f t="shared" si="127"/>
        <v>0</v>
      </c>
      <c r="L110" s="297">
        <v>0.0</v>
      </c>
      <c r="M110" s="311">
        <f t="shared" si="128"/>
        <v>0</v>
      </c>
      <c r="N110" s="312">
        <f t="shared" si="129"/>
        <v>0</v>
      </c>
      <c r="O110" s="297">
        <v>0.0</v>
      </c>
      <c r="P110" s="311">
        <f t="shared" si="130"/>
        <v>0</v>
      </c>
      <c r="Q110" s="312">
        <f t="shared" si="131"/>
        <v>0</v>
      </c>
      <c r="R110" s="297">
        <v>0.0</v>
      </c>
      <c r="S110" s="300">
        <f t="shared" si="132"/>
        <v>0</v>
      </c>
    </row>
    <row r="111" hidden="1">
      <c r="A111" s="283"/>
      <c r="B111" s="284"/>
      <c r="C111" s="285" t="s">
        <v>73</v>
      </c>
      <c r="D111" s="286"/>
      <c r="E111" s="284"/>
      <c r="F111" s="284"/>
      <c r="G111" s="314"/>
      <c r="H111" s="315"/>
      <c r="I111" s="316"/>
      <c r="J111" s="317"/>
      <c r="K111" s="284"/>
      <c r="L111" s="284"/>
      <c r="M111" s="286"/>
      <c r="N111" s="284"/>
      <c r="O111" s="284"/>
      <c r="P111" s="286"/>
      <c r="Q111" s="284"/>
      <c r="R111" s="318">
        <v>677.36</v>
      </c>
      <c r="S111" s="286"/>
    </row>
    <row r="112" hidden="1">
      <c r="A112" s="288">
        <v>46008.0</v>
      </c>
      <c r="B112" s="289">
        <f>SUM(B113:B120)</f>
        <v>5000</v>
      </c>
      <c r="C112" s="290">
        <f>SUM(C113:C119)</f>
        <v>3978.65</v>
      </c>
      <c r="D112" s="291">
        <f t="shared" ref="D112:D119" si="133">C112-B112</f>
        <v>-1021.35</v>
      </c>
      <c r="E112" s="292">
        <f t="shared" ref="E112:E119" si="134">B112*2</f>
        <v>10000</v>
      </c>
      <c r="F112" s="290">
        <f>SUM(F113:F119)</f>
        <v>5286.11</v>
      </c>
      <c r="G112" s="291">
        <f t="shared" ref="G112:G119" si="135">F112-E112</f>
        <v>-4713.89</v>
      </c>
      <c r="H112" s="292">
        <f t="shared" ref="H112:H119" si="136">B112*3</f>
        <v>15000</v>
      </c>
      <c r="I112" s="290">
        <f>SUM(I113:I119)</f>
        <v>5869.58</v>
      </c>
      <c r="J112" s="291">
        <f t="shared" ref="J112:J119" si="137">I112-H112</f>
        <v>-9130.42</v>
      </c>
      <c r="K112" s="292">
        <f t="shared" ref="K112:K119" si="138">B112*4</f>
        <v>20000</v>
      </c>
      <c r="L112" s="290">
        <f>SUM(L113:L119)</f>
        <v>8392.71</v>
      </c>
      <c r="M112" s="291">
        <f t="shared" ref="M112:M119" si="139">L112-K112</f>
        <v>-11607.29</v>
      </c>
      <c r="N112" s="292">
        <f t="shared" ref="N112:N119" si="140">B112*5</f>
        <v>25000</v>
      </c>
      <c r="O112" s="290">
        <f>SUM(O113:O119)</f>
        <v>0</v>
      </c>
      <c r="P112" s="291">
        <f t="shared" ref="P112:P119" si="141">O112-N112</f>
        <v>-25000</v>
      </c>
      <c r="Q112" s="292">
        <f t="shared" ref="Q112:Q119" si="142">N112</f>
        <v>25000</v>
      </c>
      <c r="R112" s="293">
        <v>18374.99</v>
      </c>
      <c r="S112" s="300">
        <f t="shared" ref="S112:S119" si="143">R112-Q112</f>
        <v>-6625.01</v>
      </c>
    </row>
    <row r="113" hidden="1">
      <c r="A113" s="295" t="s">
        <v>60</v>
      </c>
      <c r="B113" s="296">
        <v>1000.0</v>
      </c>
      <c r="C113" s="297">
        <v>921.38</v>
      </c>
      <c r="D113" s="298">
        <f t="shared" si="133"/>
        <v>-78.62</v>
      </c>
      <c r="E113" s="299">
        <f t="shared" si="134"/>
        <v>2000</v>
      </c>
      <c r="F113" s="297">
        <v>1215.27</v>
      </c>
      <c r="G113" s="298">
        <f t="shared" si="135"/>
        <v>-784.73</v>
      </c>
      <c r="H113" s="299">
        <f t="shared" si="136"/>
        <v>3000</v>
      </c>
      <c r="I113" s="297">
        <v>1341.05</v>
      </c>
      <c r="J113" s="298">
        <f t="shared" si="137"/>
        <v>-1658.95</v>
      </c>
      <c r="K113" s="299">
        <f t="shared" si="138"/>
        <v>4000</v>
      </c>
      <c r="L113" s="297">
        <v>1341.05</v>
      </c>
      <c r="M113" s="298">
        <f t="shared" si="139"/>
        <v>-2658.95</v>
      </c>
      <c r="N113" s="299">
        <f t="shared" si="140"/>
        <v>5000</v>
      </c>
      <c r="O113" s="297">
        <v>0.0</v>
      </c>
      <c r="P113" s="298">
        <f t="shared" si="141"/>
        <v>-5000</v>
      </c>
      <c r="Q113" s="299">
        <f t="shared" si="142"/>
        <v>5000</v>
      </c>
      <c r="R113" s="297">
        <v>0.0</v>
      </c>
      <c r="S113" s="300">
        <f t="shared" si="143"/>
        <v>-5000</v>
      </c>
    </row>
    <row r="114" hidden="1">
      <c r="A114" s="301" t="s">
        <v>62</v>
      </c>
      <c r="B114" s="296">
        <v>1350.0</v>
      </c>
      <c r="C114" s="297">
        <v>959.05</v>
      </c>
      <c r="D114" s="298">
        <f t="shared" si="133"/>
        <v>-390.95</v>
      </c>
      <c r="E114" s="299">
        <f t="shared" si="134"/>
        <v>2700</v>
      </c>
      <c r="F114" s="297">
        <v>1313.65</v>
      </c>
      <c r="G114" s="298">
        <f t="shared" si="135"/>
        <v>-1386.35</v>
      </c>
      <c r="H114" s="299">
        <f t="shared" si="136"/>
        <v>4050</v>
      </c>
      <c r="I114" s="297">
        <v>1388.65</v>
      </c>
      <c r="J114" s="298">
        <f t="shared" si="137"/>
        <v>-2661.35</v>
      </c>
      <c r="K114" s="299">
        <f t="shared" si="138"/>
        <v>5400</v>
      </c>
      <c r="L114" s="297">
        <v>2143.01</v>
      </c>
      <c r="M114" s="298">
        <f t="shared" si="139"/>
        <v>-3256.99</v>
      </c>
      <c r="N114" s="299">
        <f t="shared" si="140"/>
        <v>6750</v>
      </c>
      <c r="O114" s="297">
        <v>0.0</v>
      </c>
      <c r="P114" s="298">
        <f t="shared" si="141"/>
        <v>-6750</v>
      </c>
      <c r="Q114" s="299">
        <f t="shared" si="142"/>
        <v>6750</v>
      </c>
      <c r="R114" s="297">
        <v>0.0</v>
      </c>
      <c r="S114" s="300">
        <f t="shared" si="143"/>
        <v>-6750</v>
      </c>
    </row>
    <row r="115" hidden="1">
      <c r="A115" s="301" t="s">
        <v>44</v>
      </c>
      <c r="B115" s="296">
        <v>750.0</v>
      </c>
      <c r="C115" s="297">
        <v>562.56</v>
      </c>
      <c r="D115" s="298">
        <f t="shared" si="133"/>
        <v>-187.44</v>
      </c>
      <c r="E115" s="299">
        <f t="shared" si="134"/>
        <v>1500</v>
      </c>
      <c r="F115" s="297">
        <v>562.56</v>
      </c>
      <c r="G115" s="298">
        <f t="shared" si="135"/>
        <v>-937.44</v>
      </c>
      <c r="H115" s="299">
        <f t="shared" si="136"/>
        <v>2250</v>
      </c>
      <c r="I115" s="297">
        <v>562.56</v>
      </c>
      <c r="J115" s="298">
        <f t="shared" si="137"/>
        <v>-1687.44</v>
      </c>
      <c r="K115" s="299">
        <f t="shared" si="138"/>
        <v>3000</v>
      </c>
      <c r="L115" s="297">
        <v>562.65</v>
      </c>
      <c r="M115" s="298">
        <f t="shared" si="139"/>
        <v>-2437.35</v>
      </c>
      <c r="N115" s="299">
        <f t="shared" si="140"/>
        <v>3750</v>
      </c>
      <c r="O115" s="297">
        <v>0.0</v>
      </c>
      <c r="P115" s="298">
        <f t="shared" si="141"/>
        <v>-3750</v>
      </c>
      <c r="Q115" s="299">
        <f t="shared" si="142"/>
        <v>3750</v>
      </c>
      <c r="R115" s="297">
        <v>0.0</v>
      </c>
      <c r="S115" s="300">
        <f t="shared" si="143"/>
        <v>-3750</v>
      </c>
    </row>
    <row r="116" hidden="1">
      <c r="A116" s="301" t="s">
        <v>74</v>
      </c>
      <c r="B116" s="296">
        <v>600.0</v>
      </c>
      <c r="C116" s="297">
        <v>83.42</v>
      </c>
      <c r="D116" s="298">
        <f t="shared" si="133"/>
        <v>-516.58</v>
      </c>
      <c r="E116" s="299">
        <f t="shared" si="134"/>
        <v>1200</v>
      </c>
      <c r="F116" s="297">
        <v>83.42</v>
      </c>
      <c r="G116" s="298">
        <f t="shared" si="135"/>
        <v>-1116.58</v>
      </c>
      <c r="H116" s="299">
        <f t="shared" si="136"/>
        <v>1800</v>
      </c>
      <c r="I116" s="297">
        <v>145.0</v>
      </c>
      <c r="J116" s="298">
        <f t="shared" si="137"/>
        <v>-1655</v>
      </c>
      <c r="K116" s="299">
        <f t="shared" si="138"/>
        <v>2400</v>
      </c>
      <c r="L116" s="297">
        <v>863.11</v>
      </c>
      <c r="M116" s="298">
        <f t="shared" si="139"/>
        <v>-1536.89</v>
      </c>
      <c r="N116" s="299">
        <f t="shared" si="140"/>
        <v>3000</v>
      </c>
      <c r="O116" s="297">
        <v>0.0</v>
      </c>
      <c r="P116" s="298">
        <f t="shared" si="141"/>
        <v>-3000</v>
      </c>
      <c r="Q116" s="299">
        <f t="shared" si="142"/>
        <v>3000</v>
      </c>
      <c r="R116" s="297">
        <v>0.0</v>
      </c>
      <c r="S116" s="300">
        <f t="shared" si="143"/>
        <v>-3000</v>
      </c>
    </row>
    <row r="117" hidden="1">
      <c r="A117" s="301" t="s">
        <v>54</v>
      </c>
      <c r="B117" s="296">
        <v>650.0</v>
      </c>
      <c r="C117" s="297">
        <v>1452.24</v>
      </c>
      <c r="D117" s="298">
        <f t="shared" si="133"/>
        <v>802.24</v>
      </c>
      <c r="E117" s="299">
        <f t="shared" si="134"/>
        <v>1300</v>
      </c>
      <c r="F117" s="297">
        <v>2111.21</v>
      </c>
      <c r="G117" s="298">
        <f t="shared" si="135"/>
        <v>811.21</v>
      </c>
      <c r="H117" s="299">
        <f t="shared" si="136"/>
        <v>1950</v>
      </c>
      <c r="I117" s="297">
        <v>2326.21</v>
      </c>
      <c r="J117" s="298">
        <f t="shared" si="137"/>
        <v>376.21</v>
      </c>
      <c r="K117" s="299">
        <f t="shared" si="138"/>
        <v>2600</v>
      </c>
      <c r="L117" s="297">
        <v>3128.55</v>
      </c>
      <c r="M117" s="298">
        <f t="shared" si="139"/>
        <v>528.55</v>
      </c>
      <c r="N117" s="299">
        <f t="shared" si="140"/>
        <v>3250</v>
      </c>
      <c r="O117" s="297">
        <v>0.0</v>
      </c>
      <c r="P117" s="298">
        <f t="shared" si="141"/>
        <v>-3250</v>
      </c>
      <c r="Q117" s="299">
        <f t="shared" si="142"/>
        <v>3250</v>
      </c>
      <c r="R117" s="297">
        <v>0.0</v>
      </c>
      <c r="S117" s="300">
        <f t="shared" si="143"/>
        <v>-3250</v>
      </c>
    </row>
    <row r="118" hidden="1">
      <c r="A118" s="302" t="s">
        <v>58</v>
      </c>
      <c r="B118" s="303">
        <v>650.0</v>
      </c>
      <c r="C118" s="297">
        <v>0.0</v>
      </c>
      <c r="D118" s="305">
        <f t="shared" si="133"/>
        <v>-650</v>
      </c>
      <c r="E118" s="306">
        <f t="shared" si="134"/>
        <v>1300</v>
      </c>
      <c r="F118" s="297">
        <v>0.0</v>
      </c>
      <c r="G118" s="305">
        <f t="shared" si="135"/>
        <v>-1300</v>
      </c>
      <c r="H118" s="306">
        <f t="shared" si="136"/>
        <v>1950</v>
      </c>
      <c r="I118" s="297">
        <v>106.11</v>
      </c>
      <c r="J118" s="298">
        <f t="shared" si="137"/>
        <v>-1843.89</v>
      </c>
      <c r="K118" s="306">
        <f t="shared" si="138"/>
        <v>2600</v>
      </c>
      <c r="L118" s="297">
        <v>354.34</v>
      </c>
      <c r="M118" s="305">
        <f t="shared" si="139"/>
        <v>-2245.66</v>
      </c>
      <c r="N118" s="306">
        <f t="shared" si="140"/>
        <v>3250</v>
      </c>
      <c r="O118" s="297">
        <v>0.0</v>
      </c>
      <c r="P118" s="305">
        <f t="shared" si="141"/>
        <v>-3250</v>
      </c>
      <c r="Q118" s="306">
        <f t="shared" si="142"/>
        <v>3250</v>
      </c>
      <c r="R118" s="297">
        <v>0.0</v>
      </c>
      <c r="S118" s="300">
        <f t="shared" si="143"/>
        <v>-3250</v>
      </c>
    </row>
    <row r="119" hidden="1">
      <c r="A119" s="308"/>
      <c r="B119" s="309">
        <v>0.0</v>
      </c>
      <c r="C119" s="297">
        <v>0.0</v>
      </c>
      <c r="D119" s="311">
        <f t="shared" si="133"/>
        <v>0</v>
      </c>
      <c r="E119" s="312">
        <f t="shared" si="134"/>
        <v>0</v>
      </c>
      <c r="F119" s="297">
        <v>0.0</v>
      </c>
      <c r="G119" s="311">
        <f t="shared" si="135"/>
        <v>0</v>
      </c>
      <c r="H119" s="312">
        <f t="shared" si="136"/>
        <v>0</v>
      </c>
      <c r="I119" s="297">
        <v>0.0</v>
      </c>
      <c r="J119" s="298">
        <f t="shared" si="137"/>
        <v>0</v>
      </c>
      <c r="K119" s="312">
        <f t="shared" si="138"/>
        <v>0</v>
      </c>
      <c r="L119" s="297">
        <v>0.0</v>
      </c>
      <c r="M119" s="311">
        <f t="shared" si="139"/>
        <v>0</v>
      </c>
      <c r="N119" s="312">
        <f t="shared" si="140"/>
        <v>0</v>
      </c>
      <c r="O119" s="297">
        <v>0.0</v>
      </c>
      <c r="P119" s="311">
        <f t="shared" si="141"/>
        <v>0</v>
      </c>
      <c r="Q119" s="312">
        <f t="shared" si="142"/>
        <v>0</v>
      </c>
      <c r="R119" s="297">
        <v>0.0</v>
      </c>
      <c r="S119" s="300">
        <f t="shared" si="143"/>
        <v>0</v>
      </c>
    </row>
    <row r="120" hidden="1">
      <c r="A120" s="283"/>
      <c r="B120" s="284"/>
      <c r="C120" s="285" t="s">
        <v>73</v>
      </c>
      <c r="D120" s="286"/>
      <c r="E120" s="284"/>
      <c r="F120" s="284"/>
      <c r="G120" s="314"/>
      <c r="H120" s="315"/>
      <c r="I120" s="316"/>
      <c r="J120" s="317"/>
      <c r="K120" s="284"/>
      <c r="L120" s="284"/>
      <c r="M120" s="286"/>
      <c r="N120" s="284"/>
      <c r="O120" s="284"/>
      <c r="P120" s="286"/>
      <c r="Q120" s="284"/>
      <c r="R120" s="318">
        <v>677.36</v>
      </c>
      <c r="S120" s="286"/>
    </row>
    <row r="121" hidden="1">
      <c r="A121" s="288">
        <v>46009.0</v>
      </c>
      <c r="B121" s="289">
        <v>4000.0</v>
      </c>
      <c r="C121" s="290">
        <f>SUM(C122:C128)</f>
        <v>2600.74</v>
      </c>
      <c r="D121" s="291">
        <f t="shared" ref="D121:D128" si="144">C121-B121</f>
        <v>-1399.26</v>
      </c>
      <c r="E121" s="292">
        <f t="shared" ref="E121:E128" si="145">B121*2</f>
        <v>8000</v>
      </c>
      <c r="F121" s="290">
        <f>SUM(F122:F128)</f>
        <v>6101.06</v>
      </c>
      <c r="G121" s="291">
        <f t="shared" ref="G121:G128" si="146">F121-E121</f>
        <v>-1898.94</v>
      </c>
      <c r="H121" s="292">
        <f t="shared" ref="H121:H128" si="147">B121*3</f>
        <v>12000</v>
      </c>
      <c r="I121" s="290">
        <f>SUM(I122:I128)</f>
        <v>0</v>
      </c>
      <c r="J121" s="291">
        <f t="shared" ref="J121:J128" si="148">I121-H121</f>
        <v>-12000</v>
      </c>
      <c r="K121" s="292">
        <f t="shared" ref="K121:K128" si="149">B121*4</f>
        <v>16000</v>
      </c>
      <c r="L121" s="290">
        <f>SUM(L122:L128)</f>
        <v>12261.21</v>
      </c>
      <c r="M121" s="291">
        <f t="shared" ref="M121:M128" si="150">L121-K121</f>
        <v>-3738.79</v>
      </c>
      <c r="N121" s="292">
        <f t="shared" ref="N121:N128" si="151">B121*5</f>
        <v>20000</v>
      </c>
      <c r="O121" s="290">
        <f>SUM(O122:O128)</f>
        <v>14619.81</v>
      </c>
      <c r="P121" s="291">
        <f t="shared" ref="P121:P128" si="152">O121-N121</f>
        <v>-5380.19</v>
      </c>
      <c r="Q121" s="292">
        <f t="shared" ref="Q121:Q128" si="153">N121</f>
        <v>20000</v>
      </c>
      <c r="R121" s="293">
        <v>18374.99</v>
      </c>
      <c r="S121" s="300">
        <f t="shared" ref="S121:S128" si="154">R121-Q121</f>
        <v>-1625.01</v>
      </c>
    </row>
    <row r="122" hidden="1">
      <c r="A122" s="295" t="s">
        <v>60</v>
      </c>
      <c r="B122" s="296">
        <v>1000.0</v>
      </c>
      <c r="C122" s="297">
        <v>63.2</v>
      </c>
      <c r="D122" s="298">
        <f t="shared" si="144"/>
        <v>-936.8</v>
      </c>
      <c r="E122" s="299">
        <f t="shared" si="145"/>
        <v>2000</v>
      </c>
      <c r="F122" s="297">
        <v>317.07</v>
      </c>
      <c r="G122" s="298">
        <f t="shared" si="146"/>
        <v>-1682.93</v>
      </c>
      <c r="H122" s="299">
        <f t="shared" si="147"/>
        <v>3000</v>
      </c>
      <c r="I122" s="297">
        <v>0.0</v>
      </c>
      <c r="J122" s="298">
        <f t="shared" si="148"/>
        <v>-3000</v>
      </c>
      <c r="K122" s="299">
        <f t="shared" si="149"/>
        <v>4000</v>
      </c>
      <c r="L122" s="297">
        <v>1607.3</v>
      </c>
      <c r="M122" s="298">
        <f t="shared" si="150"/>
        <v>-2392.7</v>
      </c>
      <c r="N122" s="299">
        <f t="shared" si="151"/>
        <v>5000</v>
      </c>
      <c r="O122" s="297">
        <v>2411.29</v>
      </c>
      <c r="P122" s="298">
        <f t="shared" si="152"/>
        <v>-2588.71</v>
      </c>
      <c r="Q122" s="299">
        <f t="shared" si="153"/>
        <v>5000</v>
      </c>
      <c r="R122" s="297">
        <v>0.0</v>
      </c>
      <c r="S122" s="300">
        <f t="shared" si="154"/>
        <v>-5000</v>
      </c>
    </row>
    <row r="123" hidden="1">
      <c r="A123" s="301" t="s">
        <v>62</v>
      </c>
      <c r="B123" s="296">
        <v>1350.0</v>
      </c>
      <c r="C123" s="297">
        <v>836.2</v>
      </c>
      <c r="D123" s="298">
        <f t="shared" si="144"/>
        <v>-513.8</v>
      </c>
      <c r="E123" s="299">
        <f t="shared" si="145"/>
        <v>2700</v>
      </c>
      <c r="F123" s="297">
        <v>2006.4</v>
      </c>
      <c r="G123" s="298">
        <f t="shared" si="146"/>
        <v>-693.6</v>
      </c>
      <c r="H123" s="299">
        <f t="shared" si="147"/>
        <v>4050</v>
      </c>
      <c r="I123" s="297">
        <v>0.0</v>
      </c>
      <c r="J123" s="298">
        <f t="shared" si="148"/>
        <v>-4050</v>
      </c>
      <c r="K123" s="299">
        <f t="shared" si="149"/>
        <v>5400</v>
      </c>
      <c r="L123" s="297">
        <v>4457.89</v>
      </c>
      <c r="M123" s="298">
        <f t="shared" si="150"/>
        <v>-942.11</v>
      </c>
      <c r="N123" s="299">
        <f t="shared" si="151"/>
        <v>6750</v>
      </c>
      <c r="O123" s="297">
        <v>4919.49</v>
      </c>
      <c r="P123" s="298">
        <f t="shared" si="152"/>
        <v>-1830.51</v>
      </c>
      <c r="Q123" s="299">
        <f t="shared" si="153"/>
        <v>6750</v>
      </c>
      <c r="R123" s="297">
        <v>0.0</v>
      </c>
      <c r="S123" s="300">
        <f t="shared" si="154"/>
        <v>-6750</v>
      </c>
    </row>
    <row r="124" hidden="1">
      <c r="A124" s="301" t="s">
        <v>44</v>
      </c>
      <c r="B124" s="296">
        <v>750.0</v>
      </c>
      <c r="C124" s="297">
        <v>310.21</v>
      </c>
      <c r="D124" s="298">
        <f t="shared" si="144"/>
        <v>-439.79</v>
      </c>
      <c r="E124" s="299">
        <f t="shared" si="145"/>
        <v>1500</v>
      </c>
      <c r="F124" s="297">
        <v>310.21</v>
      </c>
      <c r="G124" s="298">
        <f t="shared" si="146"/>
        <v>-1189.79</v>
      </c>
      <c r="H124" s="299">
        <f t="shared" si="147"/>
        <v>2250</v>
      </c>
      <c r="I124" s="297">
        <v>0.0</v>
      </c>
      <c r="J124" s="298">
        <f t="shared" si="148"/>
        <v>-2250</v>
      </c>
      <c r="K124" s="299">
        <f t="shared" si="149"/>
        <v>3000</v>
      </c>
      <c r="L124" s="297">
        <v>1021.21</v>
      </c>
      <c r="M124" s="298">
        <f t="shared" si="150"/>
        <v>-1978.79</v>
      </c>
      <c r="N124" s="299">
        <f t="shared" si="151"/>
        <v>3750</v>
      </c>
      <c r="O124" s="297">
        <v>1903.23</v>
      </c>
      <c r="P124" s="298">
        <f t="shared" si="152"/>
        <v>-1846.77</v>
      </c>
      <c r="Q124" s="299">
        <f t="shared" si="153"/>
        <v>3750</v>
      </c>
      <c r="R124" s="297">
        <v>0.0</v>
      </c>
      <c r="S124" s="300">
        <f t="shared" si="154"/>
        <v>-3750</v>
      </c>
    </row>
    <row r="125" hidden="1">
      <c r="A125" s="301" t="s">
        <v>74</v>
      </c>
      <c r="B125" s="296">
        <v>600.0</v>
      </c>
      <c r="C125" s="297">
        <v>469.25</v>
      </c>
      <c r="D125" s="298">
        <f t="shared" si="144"/>
        <v>-130.75</v>
      </c>
      <c r="E125" s="299">
        <f t="shared" si="145"/>
        <v>1200</v>
      </c>
      <c r="F125" s="297">
        <v>1257.58</v>
      </c>
      <c r="G125" s="298">
        <f t="shared" si="146"/>
        <v>57.58</v>
      </c>
      <c r="H125" s="299">
        <f t="shared" si="147"/>
        <v>1800</v>
      </c>
      <c r="I125" s="297">
        <v>0.0</v>
      </c>
      <c r="J125" s="298">
        <f t="shared" si="148"/>
        <v>-1800</v>
      </c>
      <c r="K125" s="299">
        <f t="shared" si="149"/>
        <v>2400</v>
      </c>
      <c r="L125" s="297">
        <v>1297.58</v>
      </c>
      <c r="M125" s="298">
        <f t="shared" si="150"/>
        <v>-1102.42</v>
      </c>
      <c r="N125" s="299">
        <f t="shared" si="151"/>
        <v>3000</v>
      </c>
      <c r="O125" s="297">
        <v>1367.57</v>
      </c>
      <c r="P125" s="298">
        <f t="shared" si="152"/>
        <v>-1632.43</v>
      </c>
      <c r="Q125" s="299">
        <f t="shared" si="153"/>
        <v>3000</v>
      </c>
      <c r="R125" s="297">
        <v>0.0</v>
      </c>
      <c r="S125" s="300">
        <f t="shared" si="154"/>
        <v>-3000</v>
      </c>
    </row>
    <row r="126" hidden="1">
      <c r="A126" s="301" t="s">
        <v>54</v>
      </c>
      <c r="B126" s="296">
        <v>650.0</v>
      </c>
      <c r="C126" s="297">
        <v>867.88</v>
      </c>
      <c r="D126" s="298">
        <f t="shared" si="144"/>
        <v>217.88</v>
      </c>
      <c r="E126" s="299">
        <f t="shared" si="145"/>
        <v>1300</v>
      </c>
      <c r="F126" s="297">
        <v>2081.8</v>
      </c>
      <c r="G126" s="298">
        <f t="shared" si="146"/>
        <v>781.8</v>
      </c>
      <c r="H126" s="299">
        <f t="shared" si="147"/>
        <v>1950</v>
      </c>
      <c r="I126" s="297">
        <v>0.0</v>
      </c>
      <c r="J126" s="298">
        <f t="shared" si="148"/>
        <v>-1950</v>
      </c>
      <c r="K126" s="299">
        <f t="shared" si="149"/>
        <v>2600</v>
      </c>
      <c r="L126" s="297">
        <v>3608.91</v>
      </c>
      <c r="M126" s="298">
        <f t="shared" si="150"/>
        <v>1008.91</v>
      </c>
      <c r="N126" s="299">
        <f t="shared" si="151"/>
        <v>3250</v>
      </c>
      <c r="O126" s="297">
        <v>3749.91</v>
      </c>
      <c r="P126" s="298">
        <f t="shared" si="152"/>
        <v>499.91</v>
      </c>
      <c r="Q126" s="299">
        <f t="shared" si="153"/>
        <v>3250</v>
      </c>
      <c r="R126" s="297">
        <v>0.0</v>
      </c>
      <c r="S126" s="300">
        <f t="shared" si="154"/>
        <v>-3250</v>
      </c>
    </row>
    <row r="127" hidden="1">
      <c r="A127" s="302" t="s">
        <v>58</v>
      </c>
      <c r="B127" s="303">
        <v>650.0</v>
      </c>
      <c r="C127" s="297">
        <v>54.0</v>
      </c>
      <c r="D127" s="305">
        <f t="shared" si="144"/>
        <v>-596</v>
      </c>
      <c r="E127" s="306">
        <f t="shared" si="145"/>
        <v>1300</v>
      </c>
      <c r="F127" s="297">
        <v>128.0</v>
      </c>
      <c r="G127" s="305">
        <f t="shared" si="146"/>
        <v>-1172</v>
      </c>
      <c r="H127" s="306">
        <f t="shared" si="147"/>
        <v>1950</v>
      </c>
      <c r="I127" s="297">
        <v>0.0</v>
      </c>
      <c r="J127" s="298">
        <f t="shared" si="148"/>
        <v>-1950</v>
      </c>
      <c r="K127" s="306">
        <f t="shared" si="149"/>
        <v>2600</v>
      </c>
      <c r="L127" s="297">
        <v>268.32</v>
      </c>
      <c r="M127" s="305">
        <f t="shared" si="150"/>
        <v>-2331.68</v>
      </c>
      <c r="N127" s="306">
        <f t="shared" si="151"/>
        <v>3250</v>
      </c>
      <c r="O127" s="297">
        <v>268.32</v>
      </c>
      <c r="P127" s="305">
        <f t="shared" si="152"/>
        <v>-2981.68</v>
      </c>
      <c r="Q127" s="306">
        <f t="shared" si="153"/>
        <v>3250</v>
      </c>
      <c r="R127" s="297">
        <v>0.0</v>
      </c>
      <c r="S127" s="300">
        <f t="shared" si="154"/>
        <v>-3250</v>
      </c>
    </row>
    <row r="128" hidden="1">
      <c r="A128" s="308"/>
      <c r="B128" s="309">
        <v>0.0</v>
      </c>
      <c r="C128" s="297">
        <v>0.0</v>
      </c>
      <c r="D128" s="311">
        <f t="shared" si="144"/>
        <v>0</v>
      </c>
      <c r="E128" s="312">
        <f t="shared" si="145"/>
        <v>0</v>
      </c>
      <c r="F128" s="297">
        <v>0.0</v>
      </c>
      <c r="G128" s="311">
        <f t="shared" si="146"/>
        <v>0</v>
      </c>
      <c r="H128" s="312">
        <f t="shared" si="147"/>
        <v>0</v>
      </c>
      <c r="I128" s="297">
        <v>0.0</v>
      </c>
      <c r="J128" s="298">
        <f t="shared" si="148"/>
        <v>0</v>
      </c>
      <c r="K128" s="312">
        <f t="shared" si="149"/>
        <v>0</v>
      </c>
      <c r="L128" s="297">
        <v>0.0</v>
      </c>
      <c r="M128" s="311">
        <f t="shared" si="150"/>
        <v>0</v>
      </c>
      <c r="N128" s="312">
        <f t="shared" si="151"/>
        <v>0</v>
      </c>
      <c r="O128" s="297">
        <v>0.0</v>
      </c>
      <c r="P128" s="311">
        <f t="shared" si="152"/>
        <v>0</v>
      </c>
      <c r="Q128" s="312">
        <f t="shared" si="153"/>
        <v>0</v>
      </c>
      <c r="R128" s="297">
        <v>0.0</v>
      </c>
      <c r="S128" s="300">
        <f t="shared" si="154"/>
        <v>0</v>
      </c>
    </row>
    <row r="129" hidden="1">
      <c r="A129" s="283"/>
      <c r="B129" s="284"/>
      <c r="C129" s="285" t="s">
        <v>73</v>
      </c>
      <c r="D129" s="286"/>
      <c r="E129" s="284"/>
      <c r="F129" s="284"/>
      <c r="G129" s="314"/>
      <c r="H129" s="315"/>
      <c r="I129" s="316"/>
      <c r="J129" s="317"/>
      <c r="K129" s="284"/>
      <c r="L129" s="284"/>
      <c r="M129" s="286"/>
      <c r="N129" s="284"/>
      <c r="O129" s="284"/>
      <c r="P129" s="286"/>
      <c r="Q129" s="284"/>
      <c r="R129" s="318">
        <v>677.36</v>
      </c>
      <c r="S129" s="286"/>
    </row>
    <row r="130" hidden="1">
      <c r="A130" s="288">
        <v>46010.0</v>
      </c>
      <c r="B130" s="289">
        <v>4000.0</v>
      </c>
      <c r="C130" s="290">
        <f>SUM(C131:C137)</f>
        <v>1585.88</v>
      </c>
      <c r="D130" s="291">
        <f t="shared" ref="D130:D137" si="155">C130-B130</f>
        <v>-2414.12</v>
      </c>
      <c r="E130" s="292">
        <f t="shared" ref="E130:E137" si="156">B130*2</f>
        <v>8000</v>
      </c>
      <c r="F130" s="290">
        <f>SUM(F131:F137)</f>
        <v>3116.11</v>
      </c>
      <c r="G130" s="291">
        <f t="shared" ref="G130:G137" si="157">F130-E130</f>
        <v>-4883.89</v>
      </c>
      <c r="H130" s="292">
        <f t="shared" ref="H130:H137" si="158">B130*3</f>
        <v>12000</v>
      </c>
      <c r="I130" s="290">
        <f>SUM(I131:I137)</f>
        <v>0</v>
      </c>
      <c r="J130" s="291">
        <f t="shared" ref="J130:J137" si="159">I130-H130</f>
        <v>-12000</v>
      </c>
      <c r="K130" s="292">
        <f t="shared" ref="K130:K137" si="160">B130*4</f>
        <v>16000</v>
      </c>
      <c r="L130" s="290">
        <f>SUM(L131:L137)</f>
        <v>6932.94</v>
      </c>
      <c r="M130" s="291">
        <f t="shared" ref="M130:M137" si="161">L130-K130</f>
        <v>-9067.06</v>
      </c>
      <c r="N130" s="292">
        <f t="shared" ref="N130:N137" si="162">B130*5</f>
        <v>20000</v>
      </c>
      <c r="O130" s="290">
        <f>SUM(O131:O137)</f>
        <v>7737.33</v>
      </c>
      <c r="P130" s="291">
        <f t="shared" ref="P130:P137" si="163">O130-N130</f>
        <v>-12262.67</v>
      </c>
      <c r="Q130" s="292">
        <f t="shared" ref="Q130:Q137" si="164">N130</f>
        <v>20000</v>
      </c>
      <c r="R130" s="293">
        <v>18374.99</v>
      </c>
      <c r="S130" s="300">
        <f t="shared" ref="S130:S137" si="165">R130-Q130</f>
        <v>-1625.01</v>
      </c>
    </row>
    <row r="131" hidden="1">
      <c r="A131" s="295" t="s">
        <v>60</v>
      </c>
      <c r="B131" s="296">
        <v>1000.0</v>
      </c>
      <c r="C131" s="297">
        <v>0.0</v>
      </c>
      <c r="D131" s="298">
        <f t="shared" si="155"/>
        <v>-1000</v>
      </c>
      <c r="E131" s="299">
        <f t="shared" si="156"/>
        <v>2000</v>
      </c>
      <c r="F131" s="297">
        <v>364.53</v>
      </c>
      <c r="G131" s="298">
        <f t="shared" si="157"/>
        <v>-1635.47</v>
      </c>
      <c r="H131" s="299">
        <f t="shared" si="158"/>
        <v>3000</v>
      </c>
      <c r="I131" s="297">
        <v>0.0</v>
      </c>
      <c r="J131" s="298">
        <f t="shared" si="159"/>
        <v>-3000</v>
      </c>
      <c r="K131" s="299">
        <f t="shared" si="160"/>
        <v>4000</v>
      </c>
      <c r="L131" s="297">
        <v>829.41</v>
      </c>
      <c r="M131" s="298">
        <f t="shared" si="161"/>
        <v>-3170.59</v>
      </c>
      <c r="N131" s="299">
        <f t="shared" si="162"/>
        <v>5000</v>
      </c>
      <c r="O131" s="297">
        <v>1193.8</v>
      </c>
      <c r="P131" s="298">
        <f t="shared" si="163"/>
        <v>-3806.2</v>
      </c>
      <c r="Q131" s="299">
        <f t="shared" si="164"/>
        <v>5000</v>
      </c>
      <c r="R131" s="297">
        <v>0.0</v>
      </c>
      <c r="S131" s="300">
        <f t="shared" si="165"/>
        <v>-5000</v>
      </c>
    </row>
    <row r="132" hidden="1">
      <c r="A132" s="301" t="s">
        <v>62</v>
      </c>
      <c r="B132" s="296">
        <v>1350.0</v>
      </c>
      <c r="C132" s="297">
        <v>788.0</v>
      </c>
      <c r="D132" s="298">
        <f t="shared" si="155"/>
        <v>-562</v>
      </c>
      <c r="E132" s="299">
        <f t="shared" si="156"/>
        <v>2700</v>
      </c>
      <c r="F132" s="297">
        <v>1395.0</v>
      </c>
      <c r="G132" s="298">
        <f t="shared" si="157"/>
        <v>-1305</v>
      </c>
      <c r="H132" s="299">
        <f t="shared" si="158"/>
        <v>4050</v>
      </c>
      <c r="I132" s="297">
        <v>0.0</v>
      </c>
      <c r="J132" s="298">
        <f t="shared" si="159"/>
        <v>-4050</v>
      </c>
      <c r="K132" s="299">
        <f t="shared" si="160"/>
        <v>5400</v>
      </c>
      <c r="L132" s="297">
        <v>3046.07</v>
      </c>
      <c r="M132" s="298">
        <f t="shared" si="161"/>
        <v>-2353.93</v>
      </c>
      <c r="N132" s="299">
        <f t="shared" si="162"/>
        <v>6750</v>
      </c>
      <c r="O132" s="297">
        <v>3141.07</v>
      </c>
      <c r="P132" s="298">
        <f t="shared" si="163"/>
        <v>-3608.93</v>
      </c>
      <c r="Q132" s="299">
        <f t="shared" si="164"/>
        <v>6750</v>
      </c>
      <c r="R132" s="297">
        <v>0.0</v>
      </c>
      <c r="S132" s="300">
        <f t="shared" si="165"/>
        <v>-6750</v>
      </c>
    </row>
    <row r="133" hidden="1">
      <c r="A133" s="301" t="s">
        <v>44</v>
      </c>
      <c r="B133" s="296">
        <v>750.0</v>
      </c>
      <c r="C133" s="297">
        <v>300.46</v>
      </c>
      <c r="D133" s="298">
        <f t="shared" si="155"/>
        <v>-449.54</v>
      </c>
      <c r="E133" s="299">
        <f t="shared" si="156"/>
        <v>1500</v>
      </c>
      <c r="F133" s="297">
        <v>540.84</v>
      </c>
      <c r="G133" s="298">
        <f t="shared" si="157"/>
        <v>-959.16</v>
      </c>
      <c r="H133" s="299">
        <f t="shared" si="158"/>
        <v>2250</v>
      </c>
      <c r="I133" s="297">
        <v>0.0</v>
      </c>
      <c r="J133" s="298">
        <f t="shared" si="159"/>
        <v>-2250</v>
      </c>
      <c r="K133" s="299">
        <f t="shared" si="160"/>
        <v>3000</v>
      </c>
      <c r="L133" s="297">
        <v>988.62</v>
      </c>
      <c r="M133" s="298">
        <f t="shared" si="161"/>
        <v>-2011.38</v>
      </c>
      <c r="N133" s="299">
        <f t="shared" si="162"/>
        <v>3750</v>
      </c>
      <c r="O133" s="297">
        <v>1323.62</v>
      </c>
      <c r="P133" s="298">
        <f t="shared" si="163"/>
        <v>-2426.38</v>
      </c>
      <c r="Q133" s="299">
        <f t="shared" si="164"/>
        <v>3750</v>
      </c>
      <c r="R133" s="297">
        <v>0.0</v>
      </c>
      <c r="S133" s="300">
        <f t="shared" si="165"/>
        <v>-3750</v>
      </c>
    </row>
    <row r="134" hidden="1">
      <c r="A134" s="301" t="s">
        <v>74</v>
      </c>
      <c r="B134" s="296">
        <v>600.0</v>
      </c>
      <c r="C134" s="297">
        <v>110.47</v>
      </c>
      <c r="D134" s="298">
        <f t="shared" si="155"/>
        <v>-489.53</v>
      </c>
      <c r="E134" s="299">
        <f t="shared" si="156"/>
        <v>1200</v>
      </c>
      <c r="F134" s="297">
        <v>110.47</v>
      </c>
      <c r="G134" s="298">
        <f t="shared" si="157"/>
        <v>-1089.53</v>
      </c>
      <c r="H134" s="299">
        <f t="shared" si="158"/>
        <v>1800</v>
      </c>
      <c r="I134" s="297">
        <v>0.0</v>
      </c>
      <c r="J134" s="298">
        <f t="shared" si="159"/>
        <v>-1800</v>
      </c>
      <c r="K134" s="299">
        <f t="shared" si="160"/>
        <v>2400</v>
      </c>
      <c r="L134" s="297">
        <v>399.35</v>
      </c>
      <c r="M134" s="298">
        <f t="shared" si="161"/>
        <v>-2000.65</v>
      </c>
      <c r="N134" s="299">
        <f t="shared" si="162"/>
        <v>3000</v>
      </c>
      <c r="O134" s="297">
        <v>339.35</v>
      </c>
      <c r="P134" s="298">
        <f t="shared" si="163"/>
        <v>-2660.65</v>
      </c>
      <c r="Q134" s="299">
        <f t="shared" si="164"/>
        <v>3000</v>
      </c>
      <c r="R134" s="297">
        <v>0.0</v>
      </c>
      <c r="S134" s="300">
        <f t="shared" si="165"/>
        <v>-3000</v>
      </c>
    </row>
    <row r="135" hidden="1">
      <c r="A135" s="301" t="s">
        <v>54</v>
      </c>
      <c r="B135" s="296">
        <v>650.0</v>
      </c>
      <c r="C135" s="297">
        <v>386.95</v>
      </c>
      <c r="D135" s="298">
        <f t="shared" si="155"/>
        <v>-263.05</v>
      </c>
      <c r="E135" s="299">
        <f t="shared" si="156"/>
        <v>1300</v>
      </c>
      <c r="F135" s="297">
        <v>436.95</v>
      </c>
      <c r="G135" s="298">
        <f t="shared" si="157"/>
        <v>-863.05</v>
      </c>
      <c r="H135" s="299">
        <f t="shared" si="158"/>
        <v>1950</v>
      </c>
      <c r="I135" s="297">
        <v>0.0</v>
      </c>
      <c r="J135" s="298">
        <f t="shared" si="159"/>
        <v>-1950</v>
      </c>
      <c r="K135" s="299">
        <f t="shared" si="160"/>
        <v>2600</v>
      </c>
      <c r="L135" s="297">
        <v>1669.49</v>
      </c>
      <c r="M135" s="298">
        <f t="shared" si="161"/>
        <v>-930.51</v>
      </c>
      <c r="N135" s="299">
        <f t="shared" si="162"/>
        <v>3250</v>
      </c>
      <c r="O135" s="297">
        <v>1669.49</v>
      </c>
      <c r="P135" s="298">
        <f t="shared" si="163"/>
        <v>-1580.51</v>
      </c>
      <c r="Q135" s="299">
        <f t="shared" si="164"/>
        <v>3250</v>
      </c>
      <c r="R135" s="297">
        <v>0.0</v>
      </c>
      <c r="S135" s="300">
        <f t="shared" si="165"/>
        <v>-3250</v>
      </c>
    </row>
    <row r="136" hidden="1">
      <c r="A136" s="302" t="s">
        <v>58</v>
      </c>
      <c r="B136" s="303">
        <v>650.0</v>
      </c>
      <c r="C136" s="297">
        <v>0.0</v>
      </c>
      <c r="D136" s="305">
        <f t="shared" si="155"/>
        <v>-650</v>
      </c>
      <c r="E136" s="306">
        <f t="shared" si="156"/>
        <v>1300</v>
      </c>
      <c r="F136" s="297">
        <v>268.32</v>
      </c>
      <c r="G136" s="305">
        <f t="shared" si="157"/>
        <v>-1031.68</v>
      </c>
      <c r="H136" s="306">
        <f t="shared" si="158"/>
        <v>1950</v>
      </c>
      <c r="I136" s="297">
        <v>0.0</v>
      </c>
      <c r="J136" s="298">
        <f t="shared" si="159"/>
        <v>-1950</v>
      </c>
      <c r="K136" s="306">
        <f t="shared" si="160"/>
        <v>2600</v>
      </c>
      <c r="L136" s="297">
        <v>0.0</v>
      </c>
      <c r="M136" s="305">
        <f t="shared" si="161"/>
        <v>-2600</v>
      </c>
      <c r="N136" s="306">
        <f t="shared" si="162"/>
        <v>3250</v>
      </c>
      <c r="O136" s="297">
        <v>70.0</v>
      </c>
      <c r="P136" s="305">
        <f t="shared" si="163"/>
        <v>-3180</v>
      </c>
      <c r="Q136" s="306">
        <f t="shared" si="164"/>
        <v>3250</v>
      </c>
      <c r="R136" s="297">
        <v>0.0</v>
      </c>
      <c r="S136" s="300">
        <f t="shared" si="165"/>
        <v>-3250</v>
      </c>
    </row>
    <row r="137" hidden="1">
      <c r="A137" s="308"/>
      <c r="B137" s="309">
        <v>0.0</v>
      </c>
      <c r="C137" s="297">
        <v>0.0</v>
      </c>
      <c r="D137" s="311">
        <f t="shared" si="155"/>
        <v>0</v>
      </c>
      <c r="E137" s="312">
        <f t="shared" si="156"/>
        <v>0</v>
      </c>
      <c r="F137" s="297">
        <v>0.0</v>
      </c>
      <c r="G137" s="311">
        <f t="shared" si="157"/>
        <v>0</v>
      </c>
      <c r="H137" s="312">
        <f t="shared" si="158"/>
        <v>0</v>
      </c>
      <c r="I137" s="297">
        <v>0.0</v>
      </c>
      <c r="J137" s="298">
        <f t="shared" si="159"/>
        <v>0</v>
      </c>
      <c r="K137" s="312">
        <f t="shared" si="160"/>
        <v>0</v>
      </c>
      <c r="L137" s="297">
        <v>0.0</v>
      </c>
      <c r="M137" s="311">
        <f t="shared" si="161"/>
        <v>0</v>
      </c>
      <c r="N137" s="312">
        <f t="shared" si="162"/>
        <v>0</v>
      </c>
      <c r="O137" s="297">
        <v>0.0</v>
      </c>
      <c r="P137" s="311">
        <f t="shared" si="163"/>
        <v>0</v>
      </c>
      <c r="Q137" s="312">
        <f t="shared" si="164"/>
        <v>0</v>
      </c>
      <c r="R137" s="297">
        <v>0.0</v>
      </c>
      <c r="S137" s="300">
        <f t="shared" si="165"/>
        <v>0</v>
      </c>
    </row>
    <row r="138" hidden="1">
      <c r="A138" s="283"/>
      <c r="B138" s="284"/>
      <c r="C138" s="285" t="s">
        <v>73</v>
      </c>
      <c r="D138" s="286"/>
      <c r="E138" s="284"/>
      <c r="F138" s="284"/>
      <c r="G138" s="314"/>
      <c r="H138" s="315"/>
      <c r="I138" s="316"/>
      <c r="J138" s="317"/>
      <c r="K138" s="284"/>
      <c r="L138" s="284"/>
      <c r="M138" s="286"/>
      <c r="N138" s="284"/>
      <c r="O138" s="284"/>
      <c r="P138" s="286"/>
      <c r="Q138" s="284"/>
      <c r="R138" s="318">
        <v>677.36</v>
      </c>
      <c r="S138" s="286"/>
    </row>
    <row r="139" hidden="1">
      <c r="A139" s="288">
        <v>46011.0</v>
      </c>
      <c r="B139" s="289">
        <v>4000.0</v>
      </c>
      <c r="C139" s="290">
        <f>SUM(C140:C146)</f>
        <v>1184.1</v>
      </c>
      <c r="D139" s="291">
        <f t="shared" ref="D139:D146" si="166">C139-B139</f>
        <v>-2815.9</v>
      </c>
      <c r="E139" s="292">
        <f t="shared" ref="E139:E146" si="167">B139*2</f>
        <v>8000</v>
      </c>
      <c r="F139" s="290">
        <f>SUM(F140:F146)</f>
        <v>3463.87</v>
      </c>
      <c r="G139" s="291">
        <f t="shared" ref="G139:G146" si="168">F139-E139</f>
        <v>-4536.13</v>
      </c>
      <c r="H139" s="292">
        <f t="shared" ref="H139:H146" si="169">B139*3</f>
        <v>12000</v>
      </c>
      <c r="I139" s="290">
        <f>SUM(I140:I146)</f>
        <v>5055.87</v>
      </c>
      <c r="J139" s="291">
        <f t="shared" ref="J139:J146" si="170">I139-H139</f>
        <v>-6944.13</v>
      </c>
      <c r="K139" s="292">
        <f t="shared" ref="K139:K146" si="171">B139*4</f>
        <v>16000</v>
      </c>
      <c r="L139" s="290">
        <f>SUM(L140:L146)</f>
        <v>0</v>
      </c>
      <c r="M139" s="291">
        <f t="shared" ref="M139:M146" si="172">L139-K139</f>
        <v>-16000</v>
      </c>
      <c r="N139" s="292">
        <f t="shared" ref="N139:N146" si="173">B139*5</f>
        <v>20000</v>
      </c>
      <c r="O139" s="290">
        <f>SUM(O140:O146)</f>
        <v>0</v>
      </c>
      <c r="P139" s="291">
        <f t="shared" ref="P139:P146" si="174">O139-N139</f>
        <v>-20000</v>
      </c>
      <c r="Q139" s="292">
        <f t="shared" ref="Q139:Q146" si="175">N139</f>
        <v>20000</v>
      </c>
      <c r="R139" s="293">
        <v>18374.99</v>
      </c>
      <c r="S139" s="300">
        <f t="shared" ref="S139:S146" si="176">R139-Q139</f>
        <v>-1625.01</v>
      </c>
    </row>
    <row r="140" hidden="1">
      <c r="A140" s="295" t="s">
        <v>60</v>
      </c>
      <c r="B140" s="296">
        <v>800.0</v>
      </c>
      <c r="C140" s="297">
        <v>0.0</v>
      </c>
      <c r="D140" s="298">
        <f t="shared" si="166"/>
        <v>-800</v>
      </c>
      <c r="E140" s="299">
        <f t="shared" si="167"/>
        <v>1600</v>
      </c>
      <c r="F140" s="297">
        <v>597.6</v>
      </c>
      <c r="G140" s="298">
        <f t="shared" si="168"/>
        <v>-1002.4</v>
      </c>
      <c r="H140" s="299">
        <f t="shared" si="169"/>
        <v>2400</v>
      </c>
      <c r="I140" s="297">
        <v>677.8</v>
      </c>
      <c r="J140" s="298">
        <f t="shared" si="170"/>
        <v>-1722.2</v>
      </c>
      <c r="K140" s="299">
        <f t="shared" si="171"/>
        <v>3200</v>
      </c>
      <c r="L140" s="297">
        <v>0.0</v>
      </c>
      <c r="M140" s="298">
        <f t="shared" si="172"/>
        <v>-3200</v>
      </c>
      <c r="N140" s="299">
        <f t="shared" si="173"/>
        <v>4000</v>
      </c>
      <c r="O140" s="297">
        <v>0.0</v>
      </c>
      <c r="P140" s="298">
        <f t="shared" si="174"/>
        <v>-4000</v>
      </c>
      <c r="Q140" s="299">
        <f t="shared" si="175"/>
        <v>4000</v>
      </c>
      <c r="R140" s="297">
        <v>0.0</v>
      </c>
      <c r="S140" s="300">
        <f t="shared" si="176"/>
        <v>-4000</v>
      </c>
    </row>
    <row r="141" hidden="1">
      <c r="A141" s="301" t="s">
        <v>62</v>
      </c>
      <c r="B141" s="296">
        <v>800.0</v>
      </c>
      <c r="C141" s="297">
        <v>665.23</v>
      </c>
      <c r="D141" s="298">
        <f t="shared" si="166"/>
        <v>-134.77</v>
      </c>
      <c r="E141" s="299">
        <f t="shared" si="167"/>
        <v>1600</v>
      </c>
      <c r="F141" s="297">
        <v>1361.24</v>
      </c>
      <c r="G141" s="298">
        <f t="shared" si="168"/>
        <v>-238.76</v>
      </c>
      <c r="H141" s="299">
        <f t="shared" si="169"/>
        <v>2400</v>
      </c>
      <c r="I141" s="297">
        <v>2873.04</v>
      </c>
      <c r="J141" s="298">
        <f t="shared" si="170"/>
        <v>473.04</v>
      </c>
      <c r="K141" s="299">
        <f t="shared" si="171"/>
        <v>3200</v>
      </c>
      <c r="L141" s="297">
        <v>0.0</v>
      </c>
      <c r="M141" s="298">
        <f t="shared" si="172"/>
        <v>-3200</v>
      </c>
      <c r="N141" s="299">
        <f t="shared" si="173"/>
        <v>4000</v>
      </c>
      <c r="O141" s="297">
        <v>0.0</v>
      </c>
      <c r="P141" s="298">
        <f t="shared" si="174"/>
        <v>-4000</v>
      </c>
      <c r="Q141" s="299">
        <f t="shared" si="175"/>
        <v>4000</v>
      </c>
      <c r="R141" s="297">
        <v>0.0</v>
      </c>
      <c r="S141" s="300">
        <f t="shared" si="176"/>
        <v>-4000</v>
      </c>
    </row>
    <row r="142" hidden="1">
      <c r="A142" s="301" t="s">
        <v>44</v>
      </c>
      <c r="B142" s="296">
        <v>700.0</v>
      </c>
      <c r="C142" s="297">
        <v>105.87</v>
      </c>
      <c r="D142" s="298">
        <f t="shared" si="166"/>
        <v>-594.13</v>
      </c>
      <c r="E142" s="299">
        <f t="shared" si="167"/>
        <v>1400</v>
      </c>
      <c r="F142" s="297">
        <v>172.06</v>
      </c>
      <c r="G142" s="298">
        <f t="shared" si="168"/>
        <v>-1227.94</v>
      </c>
      <c r="H142" s="299">
        <f t="shared" si="169"/>
        <v>2100</v>
      </c>
      <c r="I142" s="297">
        <v>172.06</v>
      </c>
      <c r="J142" s="298">
        <f t="shared" si="170"/>
        <v>-1927.94</v>
      </c>
      <c r="K142" s="299">
        <f t="shared" si="171"/>
        <v>2800</v>
      </c>
      <c r="L142" s="297">
        <v>0.0</v>
      </c>
      <c r="M142" s="298">
        <f t="shared" si="172"/>
        <v>-2800</v>
      </c>
      <c r="N142" s="299">
        <f t="shared" si="173"/>
        <v>3500</v>
      </c>
      <c r="O142" s="297">
        <v>0.0</v>
      </c>
      <c r="P142" s="298">
        <f t="shared" si="174"/>
        <v>-3500</v>
      </c>
      <c r="Q142" s="299">
        <f t="shared" si="175"/>
        <v>3500</v>
      </c>
      <c r="R142" s="297">
        <v>0.0</v>
      </c>
      <c r="S142" s="300">
        <f t="shared" si="176"/>
        <v>-3500</v>
      </c>
    </row>
    <row r="143" hidden="1">
      <c r="A143" s="301" t="s">
        <v>74</v>
      </c>
      <c r="B143" s="296">
        <v>600.0</v>
      </c>
      <c r="C143" s="297">
        <v>0.0</v>
      </c>
      <c r="D143" s="298">
        <f t="shared" si="166"/>
        <v>-600</v>
      </c>
      <c r="E143" s="299">
        <f t="shared" si="167"/>
        <v>1200</v>
      </c>
      <c r="F143" s="297">
        <v>0.0</v>
      </c>
      <c r="G143" s="298">
        <f t="shared" si="168"/>
        <v>-1200</v>
      </c>
      <c r="H143" s="299">
        <f t="shared" si="169"/>
        <v>1800</v>
      </c>
      <c r="I143" s="297">
        <v>0.0</v>
      </c>
      <c r="J143" s="298">
        <f t="shared" si="170"/>
        <v>-1800</v>
      </c>
      <c r="K143" s="299">
        <f t="shared" si="171"/>
        <v>2400</v>
      </c>
      <c r="L143" s="297">
        <v>0.0</v>
      </c>
      <c r="M143" s="298">
        <f t="shared" si="172"/>
        <v>-2400</v>
      </c>
      <c r="N143" s="299">
        <f t="shared" si="173"/>
        <v>3000</v>
      </c>
      <c r="O143" s="297">
        <v>0.0</v>
      </c>
      <c r="P143" s="298">
        <f t="shared" si="174"/>
        <v>-3000</v>
      </c>
      <c r="Q143" s="299">
        <f t="shared" si="175"/>
        <v>3000</v>
      </c>
      <c r="R143" s="297">
        <v>0.0</v>
      </c>
      <c r="S143" s="300">
        <f t="shared" si="176"/>
        <v>-3000</v>
      </c>
    </row>
    <row r="144" hidden="1">
      <c r="A144" s="301" t="s">
        <v>54</v>
      </c>
      <c r="B144" s="296">
        <v>600.0</v>
      </c>
      <c r="C144" s="297">
        <v>413.0</v>
      </c>
      <c r="D144" s="298">
        <f t="shared" si="166"/>
        <v>-187</v>
      </c>
      <c r="E144" s="299">
        <f t="shared" si="167"/>
        <v>1200</v>
      </c>
      <c r="F144" s="297">
        <v>1332.97</v>
      </c>
      <c r="G144" s="298">
        <f t="shared" si="168"/>
        <v>132.97</v>
      </c>
      <c r="H144" s="299">
        <f t="shared" si="169"/>
        <v>1800</v>
      </c>
      <c r="I144" s="297">
        <v>1332.97</v>
      </c>
      <c r="J144" s="298">
        <f t="shared" si="170"/>
        <v>-467.03</v>
      </c>
      <c r="K144" s="299">
        <f t="shared" si="171"/>
        <v>2400</v>
      </c>
      <c r="L144" s="297">
        <v>0.0</v>
      </c>
      <c r="M144" s="298">
        <f t="shared" si="172"/>
        <v>-2400</v>
      </c>
      <c r="N144" s="299">
        <f t="shared" si="173"/>
        <v>3000</v>
      </c>
      <c r="O144" s="297">
        <v>0.0</v>
      </c>
      <c r="P144" s="298">
        <f t="shared" si="174"/>
        <v>-3000</v>
      </c>
      <c r="Q144" s="299">
        <f t="shared" si="175"/>
        <v>3000</v>
      </c>
      <c r="R144" s="297">
        <v>0.0</v>
      </c>
      <c r="S144" s="300">
        <f t="shared" si="176"/>
        <v>-3000</v>
      </c>
    </row>
    <row r="145" hidden="1">
      <c r="A145" s="302" t="s">
        <v>58</v>
      </c>
      <c r="B145" s="303">
        <v>0.0</v>
      </c>
      <c r="C145" s="297">
        <v>0.0</v>
      </c>
      <c r="D145" s="305">
        <f t="shared" si="166"/>
        <v>0</v>
      </c>
      <c r="E145" s="306">
        <f t="shared" si="167"/>
        <v>0</v>
      </c>
      <c r="F145" s="297">
        <v>0.0</v>
      </c>
      <c r="G145" s="305">
        <f t="shared" si="168"/>
        <v>0</v>
      </c>
      <c r="H145" s="306">
        <f t="shared" si="169"/>
        <v>0</v>
      </c>
      <c r="I145" s="297">
        <v>0.0</v>
      </c>
      <c r="J145" s="298">
        <f t="shared" si="170"/>
        <v>0</v>
      </c>
      <c r="K145" s="306">
        <f t="shared" si="171"/>
        <v>0</v>
      </c>
      <c r="L145" s="297">
        <v>0.0</v>
      </c>
      <c r="M145" s="305">
        <f t="shared" si="172"/>
        <v>0</v>
      </c>
      <c r="N145" s="306">
        <f t="shared" si="173"/>
        <v>0</v>
      </c>
      <c r="O145" s="297">
        <v>0.0</v>
      </c>
      <c r="P145" s="305">
        <f t="shared" si="174"/>
        <v>0</v>
      </c>
      <c r="Q145" s="306">
        <f t="shared" si="175"/>
        <v>0</v>
      </c>
      <c r="R145" s="297">
        <v>0.0</v>
      </c>
      <c r="S145" s="300">
        <f t="shared" si="176"/>
        <v>0</v>
      </c>
    </row>
    <row r="146" hidden="1">
      <c r="A146" s="308"/>
      <c r="B146" s="309">
        <v>0.0</v>
      </c>
      <c r="C146" s="297">
        <v>0.0</v>
      </c>
      <c r="D146" s="311">
        <f t="shared" si="166"/>
        <v>0</v>
      </c>
      <c r="E146" s="312">
        <f t="shared" si="167"/>
        <v>0</v>
      </c>
      <c r="F146" s="297">
        <v>0.0</v>
      </c>
      <c r="G146" s="311">
        <f t="shared" si="168"/>
        <v>0</v>
      </c>
      <c r="H146" s="312">
        <f t="shared" si="169"/>
        <v>0</v>
      </c>
      <c r="I146" s="297">
        <v>0.0</v>
      </c>
      <c r="J146" s="298">
        <f t="shared" si="170"/>
        <v>0</v>
      </c>
      <c r="K146" s="312">
        <f t="shared" si="171"/>
        <v>0</v>
      </c>
      <c r="L146" s="297">
        <v>0.0</v>
      </c>
      <c r="M146" s="311">
        <f t="shared" si="172"/>
        <v>0</v>
      </c>
      <c r="N146" s="312">
        <f t="shared" si="173"/>
        <v>0</v>
      </c>
      <c r="O146" s="297">
        <v>0.0</v>
      </c>
      <c r="P146" s="311">
        <f t="shared" si="174"/>
        <v>0</v>
      </c>
      <c r="Q146" s="312">
        <f t="shared" si="175"/>
        <v>0</v>
      </c>
      <c r="R146" s="297">
        <v>0.0</v>
      </c>
      <c r="S146" s="300">
        <f t="shared" si="176"/>
        <v>0</v>
      </c>
    </row>
    <row r="147" hidden="1">
      <c r="A147" s="283"/>
      <c r="B147" s="284"/>
      <c r="C147" s="285" t="s">
        <v>73</v>
      </c>
      <c r="D147" s="286"/>
      <c r="E147" s="284"/>
      <c r="F147" s="284"/>
      <c r="G147" s="314"/>
      <c r="H147" s="315"/>
      <c r="I147" s="316"/>
      <c r="J147" s="317"/>
      <c r="K147" s="284"/>
      <c r="L147" s="284"/>
      <c r="M147" s="286"/>
      <c r="N147" s="284"/>
      <c r="O147" s="284"/>
      <c r="P147" s="286"/>
      <c r="Q147" s="284"/>
      <c r="R147" s="318">
        <v>677.36</v>
      </c>
      <c r="S147" s="286"/>
    </row>
    <row r="148" hidden="1">
      <c r="A148" s="288">
        <v>46013.0</v>
      </c>
      <c r="B148" s="289">
        <v>4000.0</v>
      </c>
      <c r="C148" s="290">
        <f>SUM(C149:C155)</f>
        <v>1153.98</v>
      </c>
      <c r="D148" s="291">
        <f t="shared" ref="D148:D155" si="177">C148-B148</f>
        <v>-2846.02</v>
      </c>
      <c r="E148" s="292">
        <f t="shared" ref="E148:E155" si="178">B148*2</f>
        <v>8000</v>
      </c>
      <c r="F148" s="290">
        <f>SUM(F149:F155)</f>
        <v>3917.82</v>
      </c>
      <c r="G148" s="291">
        <f t="shared" ref="G148:G155" si="179">F148-E148</f>
        <v>-4082.18</v>
      </c>
      <c r="H148" s="292">
        <f t="shared" ref="H148:H155" si="180">B148*3</f>
        <v>12000</v>
      </c>
      <c r="I148" s="290">
        <f>SUM(I149:I155)</f>
        <v>6095.56</v>
      </c>
      <c r="J148" s="291">
        <f t="shared" ref="J148:J155" si="181">I148-H148</f>
        <v>-5904.44</v>
      </c>
      <c r="K148" s="292">
        <f t="shared" ref="K148:K155" si="182">B148*4</f>
        <v>16000</v>
      </c>
      <c r="L148" s="290">
        <f>SUM(L149:L155)</f>
        <v>12067.75</v>
      </c>
      <c r="M148" s="291">
        <f t="shared" ref="M148:M155" si="183">L148-K148</f>
        <v>-3932.25</v>
      </c>
      <c r="N148" s="292">
        <f t="shared" ref="N148:N155" si="184">B148*5</f>
        <v>20000</v>
      </c>
      <c r="O148" s="290">
        <f>SUM(O149:O155)</f>
        <v>17637.16</v>
      </c>
      <c r="P148" s="291">
        <f t="shared" ref="P148:P155" si="185">O148-N148</f>
        <v>-2362.84</v>
      </c>
      <c r="Q148" s="292">
        <f t="shared" ref="Q148:Q155" si="186">N148</f>
        <v>20000</v>
      </c>
      <c r="R148" s="293">
        <v>18374.99</v>
      </c>
      <c r="S148" s="300">
        <f t="shared" ref="S148:S155" si="187">R148-Q148</f>
        <v>-1625.01</v>
      </c>
    </row>
    <row r="149" hidden="1">
      <c r="A149" s="295" t="s">
        <v>60</v>
      </c>
      <c r="B149" s="296">
        <v>800.0</v>
      </c>
      <c r="C149" s="297">
        <v>0.0</v>
      </c>
      <c r="D149" s="298">
        <f t="shared" si="177"/>
        <v>-800</v>
      </c>
      <c r="E149" s="299">
        <f t="shared" si="178"/>
        <v>1600</v>
      </c>
      <c r="F149" s="297">
        <v>477.82</v>
      </c>
      <c r="G149" s="298">
        <f t="shared" si="179"/>
        <v>-1122.18</v>
      </c>
      <c r="H149" s="299">
        <f t="shared" si="180"/>
        <v>2400</v>
      </c>
      <c r="I149" s="297">
        <v>1299.32</v>
      </c>
      <c r="J149" s="298">
        <f t="shared" si="181"/>
        <v>-1100.68</v>
      </c>
      <c r="K149" s="299">
        <f t="shared" si="182"/>
        <v>3200</v>
      </c>
      <c r="L149" s="297">
        <v>2197.01</v>
      </c>
      <c r="M149" s="298">
        <f t="shared" si="183"/>
        <v>-1002.99</v>
      </c>
      <c r="N149" s="299">
        <f t="shared" si="184"/>
        <v>4000</v>
      </c>
      <c r="O149" s="297">
        <v>2304.1</v>
      </c>
      <c r="P149" s="298">
        <f t="shared" si="185"/>
        <v>-1695.9</v>
      </c>
      <c r="Q149" s="299">
        <f t="shared" si="186"/>
        <v>4000</v>
      </c>
      <c r="R149" s="297">
        <v>0.0</v>
      </c>
      <c r="S149" s="300">
        <f t="shared" si="187"/>
        <v>-4000</v>
      </c>
    </row>
    <row r="150" hidden="1">
      <c r="A150" s="301" t="s">
        <v>62</v>
      </c>
      <c r="B150" s="296">
        <v>800.0</v>
      </c>
      <c r="C150" s="297">
        <v>540.0</v>
      </c>
      <c r="D150" s="298">
        <f t="shared" si="177"/>
        <v>-260</v>
      </c>
      <c r="E150" s="299">
        <f t="shared" si="178"/>
        <v>1600</v>
      </c>
      <c r="F150" s="297">
        <v>1556.49</v>
      </c>
      <c r="G150" s="298">
        <f t="shared" si="179"/>
        <v>-43.51</v>
      </c>
      <c r="H150" s="299">
        <f t="shared" si="180"/>
        <v>2400</v>
      </c>
      <c r="I150" s="297">
        <v>2432.73</v>
      </c>
      <c r="J150" s="298">
        <f t="shared" si="181"/>
        <v>32.73</v>
      </c>
      <c r="K150" s="299">
        <f t="shared" si="182"/>
        <v>3200</v>
      </c>
      <c r="L150" s="297">
        <v>3240.99</v>
      </c>
      <c r="M150" s="298">
        <f t="shared" si="183"/>
        <v>40.99</v>
      </c>
      <c r="N150" s="299">
        <f t="shared" si="184"/>
        <v>4000</v>
      </c>
      <c r="O150" s="297">
        <v>5202.35</v>
      </c>
      <c r="P150" s="298">
        <f t="shared" si="185"/>
        <v>1202.35</v>
      </c>
      <c r="Q150" s="299">
        <f t="shared" si="186"/>
        <v>4000</v>
      </c>
      <c r="R150" s="297">
        <v>0.0</v>
      </c>
      <c r="S150" s="300">
        <f t="shared" si="187"/>
        <v>-4000</v>
      </c>
    </row>
    <row r="151" hidden="1">
      <c r="A151" s="301" t="s">
        <v>44</v>
      </c>
      <c r="B151" s="296">
        <v>700.0</v>
      </c>
      <c r="C151" s="297">
        <v>243.88</v>
      </c>
      <c r="D151" s="298">
        <f t="shared" si="177"/>
        <v>-456.12</v>
      </c>
      <c r="E151" s="299">
        <f t="shared" si="178"/>
        <v>1400</v>
      </c>
      <c r="F151" s="297">
        <v>424.84</v>
      </c>
      <c r="G151" s="298">
        <f t="shared" si="179"/>
        <v>-975.16</v>
      </c>
      <c r="H151" s="299">
        <f t="shared" si="180"/>
        <v>2100</v>
      </c>
      <c r="I151" s="297">
        <v>854.84</v>
      </c>
      <c r="J151" s="298">
        <f t="shared" si="181"/>
        <v>-1245.16</v>
      </c>
      <c r="K151" s="299">
        <f t="shared" si="182"/>
        <v>2800</v>
      </c>
      <c r="L151" s="297">
        <v>1161.65</v>
      </c>
      <c r="M151" s="298">
        <f t="shared" si="183"/>
        <v>-1638.35</v>
      </c>
      <c r="N151" s="299">
        <f t="shared" si="184"/>
        <v>3500</v>
      </c>
      <c r="O151" s="297">
        <v>1535.96</v>
      </c>
      <c r="P151" s="298">
        <f t="shared" si="185"/>
        <v>-1964.04</v>
      </c>
      <c r="Q151" s="299">
        <f t="shared" si="186"/>
        <v>3500</v>
      </c>
      <c r="R151" s="297">
        <v>0.0</v>
      </c>
      <c r="S151" s="300">
        <f t="shared" si="187"/>
        <v>-3500</v>
      </c>
    </row>
    <row r="152" hidden="1">
      <c r="A152" s="301" t="s">
        <v>74</v>
      </c>
      <c r="B152" s="296">
        <v>600.0</v>
      </c>
      <c r="C152" s="297">
        <v>0.0</v>
      </c>
      <c r="D152" s="298">
        <f t="shared" si="177"/>
        <v>-600</v>
      </c>
      <c r="E152" s="299">
        <f t="shared" si="178"/>
        <v>1200</v>
      </c>
      <c r="F152" s="297">
        <v>178.3</v>
      </c>
      <c r="G152" s="298">
        <f t="shared" si="179"/>
        <v>-1021.7</v>
      </c>
      <c r="H152" s="299">
        <f t="shared" si="180"/>
        <v>1800</v>
      </c>
      <c r="I152" s="297">
        <v>178.3</v>
      </c>
      <c r="J152" s="298">
        <f t="shared" si="181"/>
        <v>-1621.7</v>
      </c>
      <c r="K152" s="299">
        <f t="shared" si="182"/>
        <v>2400</v>
      </c>
      <c r="L152" s="297">
        <v>317.99</v>
      </c>
      <c r="M152" s="298">
        <f t="shared" si="183"/>
        <v>-2082.01</v>
      </c>
      <c r="N152" s="299">
        <f t="shared" si="184"/>
        <v>3000</v>
      </c>
      <c r="O152" s="297">
        <v>985.09</v>
      </c>
      <c r="P152" s="298">
        <f t="shared" si="185"/>
        <v>-2014.91</v>
      </c>
      <c r="Q152" s="299">
        <f t="shared" si="186"/>
        <v>3000</v>
      </c>
      <c r="R152" s="297">
        <v>0.0</v>
      </c>
      <c r="S152" s="300">
        <f t="shared" si="187"/>
        <v>-3000</v>
      </c>
    </row>
    <row r="153" hidden="1">
      <c r="A153" s="301" t="s">
        <v>54</v>
      </c>
      <c r="B153" s="296">
        <v>600.0</v>
      </c>
      <c r="C153" s="297">
        <v>370.1</v>
      </c>
      <c r="D153" s="298">
        <f t="shared" si="177"/>
        <v>-229.9</v>
      </c>
      <c r="E153" s="299">
        <f t="shared" si="178"/>
        <v>1200</v>
      </c>
      <c r="F153" s="297">
        <v>420.47</v>
      </c>
      <c r="G153" s="298">
        <f t="shared" si="179"/>
        <v>-779.53</v>
      </c>
      <c r="H153" s="299">
        <f t="shared" si="180"/>
        <v>1800</v>
      </c>
      <c r="I153" s="297">
        <v>470.47</v>
      </c>
      <c r="J153" s="298">
        <f t="shared" si="181"/>
        <v>-1329.53</v>
      </c>
      <c r="K153" s="299">
        <f t="shared" si="182"/>
        <v>2400</v>
      </c>
      <c r="L153" s="297">
        <v>2590.4</v>
      </c>
      <c r="M153" s="298">
        <f t="shared" si="183"/>
        <v>190.4</v>
      </c>
      <c r="N153" s="299">
        <f t="shared" si="184"/>
        <v>3000</v>
      </c>
      <c r="O153" s="297">
        <v>4957.37</v>
      </c>
      <c r="P153" s="298">
        <f t="shared" si="185"/>
        <v>1957.37</v>
      </c>
      <c r="Q153" s="299">
        <f t="shared" si="186"/>
        <v>3000</v>
      </c>
      <c r="R153" s="297">
        <v>0.0</v>
      </c>
      <c r="S153" s="300">
        <f t="shared" si="187"/>
        <v>-3000</v>
      </c>
    </row>
    <row r="154" hidden="1">
      <c r="A154" s="302" t="s">
        <v>58</v>
      </c>
      <c r="B154" s="303">
        <v>0.0</v>
      </c>
      <c r="C154" s="297">
        <v>0.0</v>
      </c>
      <c r="D154" s="305">
        <f t="shared" si="177"/>
        <v>0</v>
      </c>
      <c r="E154" s="306">
        <f t="shared" si="178"/>
        <v>0</v>
      </c>
      <c r="F154" s="297">
        <v>859.9</v>
      </c>
      <c r="G154" s="305">
        <f t="shared" si="179"/>
        <v>859.9</v>
      </c>
      <c r="H154" s="306">
        <f t="shared" si="180"/>
        <v>0</v>
      </c>
      <c r="I154" s="297">
        <v>859.9</v>
      </c>
      <c r="J154" s="298">
        <f t="shared" si="181"/>
        <v>859.9</v>
      </c>
      <c r="K154" s="306">
        <f t="shared" si="182"/>
        <v>0</v>
      </c>
      <c r="L154" s="297">
        <v>2559.71</v>
      </c>
      <c r="M154" s="305">
        <f t="shared" si="183"/>
        <v>2559.71</v>
      </c>
      <c r="N154" s="306">
        <f t="shared" si="184"/>
        <v>0</v>
      </c>
      <c r="O154" s="297">
        <v>2652.29</v>
      </c>
      <c r="P154" s="305">
        <f t="shared" si="185"/>
        <v>2652.29</v>
      </c>
      <c r="Q154" s="306">
        <f t="shared" si="186"/>
        <v>0</v>
      </c>
      <c r="R154" s="297">
        <v>0.0</v>
      </c>
      <c r="S154" s="300">
        <f t="shared" si="187"/>
        <v>0</v>
      </c>
    </row>
    <row r="155" hidden="1">
      <c r="A155" s="308"/>
      <c r="B155" s="309">
        <v>0.0</v>
      </c>
      <c r="C155" s="297">
        <v>0.0</v>
      </c>
      <c r="D155" s="311">
        <f t="shared" si="177"/>
        <v>0</v>
      </c>
      <c r="E155" s="312">
        <f t="shared" si="178"/>
        <v>0</v>
      </c>
      <c r="F155" s="297">
        <v>0.0</v>
      </c>
      <c r="G155" s="311">
        <f t="shared" si="179"/>
        <v>0</v>
      </c>
      <c r="H155" s="312">
        <f t="shared" si="180"/>
        <v>0</v>
      </c>
      <c r="I155" s="297">
        <v>0.0</v>
      </c>
      <c r="J155" s="298">
        <f t="shared" si="181"/>
        <v>0</v>
      </c>
      <c r="K155" s="312">
        <f t="shared" si="182"/>
        <v>0</v>
      </c>
      <c r="L155" s="297">
        <v>0.0</v>
      </c>
      <c r="M155" s="311">
        <f t="shared" si="183"/>
        <v>0</v>
      </c>
      <c r="N155" s="312">
        <f t="shared" si="184"/>
        <v>0</v>
      </c>
      <c r="O155" s="297">
        <v>0.0</v>
      </c>
      <c r="P155" s="311">
        <f t="shared" si="185"/>
        <v>0</v>
      </c>
      <c r="Q155" s="312">
        <f t="shared" si="186"/>
        <v>0</v>
      </c>
      <c r="R155" s="297">
        <v>0.0</v>
      </c>
      <c r="S155" s="300">
        <f t="shared" si="187"/>
        <v>0</v>
      </c>
    </row>
    <row r="156">
      <c r="A156" s="283"/>
      <c r="B156" s="284"/>
      <c r="C156" s="285" t="s">
        <v>73</v>
      </c>
      <c r="D156" s="286"/>
      <c r="E156" s="284"/>
      <c r="F156" s="284"/>
      <c r="G156" s="314"/>
      <c r="H156" s="315"/>
      <c r="I156" s="316"/>
      <c r="J156" s="317"/>
      <c r="K156" s="284"/>
      <c r="L156" s="284"/>
      <c r="M156" s="286"/>
      <c r="N156" s="284"/>
      <c r="O156" s="284"/>
      <c r="P156" s="286"/>
      <c r="Q156" s="284"/>
      <c r="R156" s="318">
        <v>677.36</v>
      </c>
      <c r="S156" s="286"/>
    </row>
    <row r="157">
      <c r="A157" s="288">
        <v>46013.0</v>
      </c>
      <c r="B157" s="289">
        <v>4000.0</v>
      </c>
      <c r="C157" s="290">
        <f>SUM(C158:C164)</f>
        <v>2225.24</v>
      </c>
      <c r="D157" s="291">
        <f t="shared" ref="D157:D164" si="188">C157-B157</f>
        <v>-1774.76</v>
      </c>
      <c r="E157" s="292">
        <f t="shared" ref="E157:E164" si="189">B157*2</f>
        <v>8000</v>
      </c>
      <c r="F157" s="290">
        <f>SUM(F158:F164)</f>
        <v>3806.53</v>
      </c>
      <c r="G157" s="291">
        <f t="shared" ref="G157:G164" si="190">F157-E157</f>
        <v>-4193.47</v>
      </c>
      <c r="H157" s="292">
        <f t="shared" ref="H157:H164" si="191">B157*3</f>
        <v>12000</v>
      </c>
      <c r="I157" s="290">
        <f>SUM(I158:I164)</f>
        <v>0</v>
      </c>
      <c r="J157" s="291">
        <f t="shared" ref="J157:J164" si="192">I157-H157</f>
        <v>-12000</v>
      </c>
      <c r="K157" s="292">
        <f t="shared" ref="K157:K164" si="193">B157*4</f>
        <v>16000</v>
      </c>
      <c r="L157" s="290">
        <f>SUM(L158:L164)</f>
        <v>0</v>
      </c>
      <c r="M157" s="291">
        <f t="shared" ref="M157:M164" si="194">L157-K157</f>
        <v>-16000</v>
      </c>
      <c r="N157" s="292">
        <f t="shared" ref="N157:N164" si="195">B157*5</f>
        <v>20000</v>
      </c>
      <c r="O157" s="290">
        <f>SUM(O158:O164)</f>
        <v>0</v>
      </c>
      <c r="P157" s="291">
        <f t="shared" ref="P157:P164" si="196">O157-N157</f>
        <v>-20000</v>
      </c>
      <c r="Q157" s="292">
        <f t="shared" ref="Q157:Q164" si="197">N157</f>
        <v>20000</v>
      </c>
      <c r="R157" s="293">
        <v>18374.99</v>
      </c>
      <c r="S157" s="300">
        <f t="shared" ref="S157:S164" si="198">R157-Q157</f>
        <v>-1625.01</v>
      </c>
    </row>
    <row r="158">
      <c r="A158" s="295" t="s">
        <v>60</v>
      </c>
      <c r="B158" s="296">
        <v>800.0</v>
      </c>
      <c r="C158" s="297">
        <v>525.59</v>
      </c>
      <c r="D158" s="298">
        <f t="shared" si="188"/>
        <v>-274.41</v>
      </c>
      <c r="E158" s="299">
        <f t="shared" si="189"/>
        <v>1600</v>
      </c>
      <c r="F158" s="297">
        <v>822.25</v>
      </c>
      <c r="G158" s="298">
        <f t="shared" si="190"/>
        <v>-777.75</v>
      </c>
      <c r="H158" s="299">
        <f t="shared" si="191"/>
        <v>2400</v>
      </c>
      <c r="I158" s="297">
        <v>0.0</v>
      </c>
      <c r="J158" s="298">
        <f t="shared" si="192"/>
        <v>-2400</v>
      </c>
      <c r="K158" s="299">
        <f t="shared" si="193"/>
        <v>3200</v>
      </c>
      <c r="L158" s="297">
        <v>0.0</v>
      </c>
      <c r="M158" s="298">
        <f t="shared" si="194"/>
        <v>-3200</v>
      </c>
      <c r="N158" s="299">
        <f t="shared" si="195"/>
        <v>4000</v>
      </c>
      <c r="O158" s="297">
        <v>0.0</v>
      </c>
      <c r="P158" s="298">
        <f t="shared" si="196"/>
        <v>-4000</v>
      </c>
      <c r="Q158" s="299">
        <f t="shared" si="197"/>
        <v>4000</v>
      </c>
      <c r="R158" s="297">
        <v>0.0</v>
      </c>
      <c r="S158" s="300">
        <f t="shared" si="198"/>
        <v>-4000</v>
      </c>
    </row>
    <row r="159">
      <c r="A159" s="301" t="s">
        <v>62</v>
      </c>
      <c r="B159" s="296">
        <v>800.0</v>
      </c>
      <c r="C159" s="297">
        <v>488.75</v>
      </c>
      <c r="D159" s="298">
        <f t="shared" si="188"/>
        <v>-311.25</v>
      </c>
      <c r="E159" s="299">
        <f t="shared" si="189"/>
        <v>1600</v>
      </c>
      <c r="F159" s="297">
        <v>890.49</v>
      </c>
      <c r="G159" s="298">
        <f t="shared" si="190"/>
        <v>-709.51</v>
      </c>
      <c r="H159" s="299">
        <f t="shared" si="191"/>
        <v>2400</v>
      </c>
      <c r="I159" s="297">
        <v>0.0</v>
      </c>
      <c r="J159" s="298">
        <f t="shared" si="192"/>
        <v>-2400</v>
      </c>
      <c r="K159" s="299">
        <f t="shared" si="193"/>
        <v>3200</v>
      </c>
      <c r="L159" s="297">
        <v>0.0</v>
      </c>
      <c r="M159" s="298">
        <f t="shared" si="194"/>
        <v>-3200</v>
      </c>
      <c r="N159" s="299">
        <f t="shared" si="195"/>
        <v>4000</v>
      </c>
      <c r="O159" s="297">
        <v>0.0</v>
      </c>
      <c r="P159" s="298">
        <f t="shared" si="196"/>
        <v>-4000</v>
      </c>
      <c r="Q159" s="299">
        <f t="shared" si="197"/>
        <v>4000</v>
      </c>
      <c r="R159" s="297">
        <v>0.0</v>
      </c>
      <c r="S159" s="300">
        <f t="shared" si="198"/>
        <v>-4000</v>
      </c>
    </row>
    <row r="160">
      <c r="A160" s="301" t="s">
        <v>44</v>
      </c>
      <c r="B160" s="296">
        <v>700.0</v>
      </c>
      <c r="C160" s="297">
        <v>0.0</v>
      </c>
      <c r="D160" s="298">
        <f t="shared" si="188"/>
        <v>-700</v>
      </c>
      <c r="E160" s="299">
        <f t="shared" si="189"/>
        <v>1400</v>
      </c>
      <c r="F160" s="297">
        <v>521.82</v>
      </c>
      <c r="G160" s="298">
        <f t="shared" si="190"/>
        <v>-878.18</v>
      </c>
      <c r="H160" s="299">
        <f t="shared" si="191"/>
        <v>2100</v>
      </c>
      <c r="I160" s="297">
        <v>0.0</v>
      </c>
      <c r="J160" s="298">
        <f t="shared" si="192"/>
        <v>-2100</v>
      </c>
      <c r="K160" s="299">
        <f t="shared" si="193"/>
        <v>2800</v>
      </c>
      <c r="L160" s="297">
        <v>0.0</v>
      </c>
      <c r="M160" s="298">
        <f t="shared" si="194"/>
        <v>-2800</v>
      </c>
      <c r="N160" s="299">
        <f t="shared" si="195"/>
        <v>3500</v>
      </c>
      <c r="O160" s="297">
        <v>0.0</v>
      </c>
      <c r="P160" s="298">
        <f t="shared" si="196"/>
        <v>-3500</v>
      </c>
      <c r="Q160" s="299">
        <f t="shared" si="197"/>
        <v>3500</v>
      </c>
      <c r="R160" s="297">
        <v>0.0</v>
      </c>
      <c r="S160" s="300">
        <f t="shared" si="198"/>
        <v>-3500</v>
      </c>
    </row>
    <row r="161">
      <c r="A161" s="301" t="s">
        <v>74</v>
      </c>
      <c r="B161" s="296">
        <v>600.0</v>
      </c>
      <c r="C161" s="297">
        <v>0.0</v>
      </c>
      <c r="D161" s="298">
        <f t="shared" si="188"/>
        <v>-600</v>
      </c>
      <c r="E161" s="299">
        <f t="shared" si="189"/>
        <v>1200</v>
      </c>
      <c r="F161" s="297">
        <v>0.0</v>
      </c>
      <c r="G161" s="298">
        <f t="shared" si="190"/>
        <v>-1200</v>
      </c>
      <c r="H161" s="299">
        <f t="shared" si="191"/>
        <v>1800</v>
      </c>
      <c r="I161" s="297">
        <v>0.0</v>
      </c>
      <c r="J161" s="298">
        <f t="shared" si="192"/>
        <v>-1800</v>
      </c>
      <c r="K161" s="299">
        <f t="shared" si="193"/>
        <v>2400</v>
      </c>
      <c r="L161" s="297">
        <v>0.0</v>
      </c>
      <c r="M161" s="298">
        <f t="shared" si="194"/>
        <v>-2400</v>
      </c>
      <c r="N161" s="299">
        <f t="shared" si="195"/>
        <v>3000</v>
      </c>
      <c r="O161" s="297">
        <v>0.0</v>
      </c>
      <c r="P161" s="298">
        <f t="shared" si="196"/>
        <v>-3000</v>
      </c>
      <c r="Q161" s="299">
        <f t="shared" si="197"/>
        <v>3000</v>
      </c>
      <c r="R161" s="297">
        <v>0.0</v>
      </c>
      <c r="S161" s="300">
        <f t="shared" si="198"/>
        <v>-3000</v>
      </c>
    </row>
    <row r="162">
      <c r="A162" s="301" t="s">
        <v>54</v>
      </c>
      <c r="B162" s="296">
        <v>600.0</v>
      </c>
      <c r="C162" s="297">
        <v>927.0</v>
      </c>
      <c r="D162" s="298">
        <f t="shared" si="188"/>
        <v>327</v>
      </c>
      <c r="E162" s="299">
        <f t="shared" si="189"/>
        <v>1200</v>
      </c>
      <c r="F162" s="297">
        <v>1189.89</v>
      </c>
      <c r="G162" s="298">
        <f t="shared" si="190"/>
        <v>-10.11</v>
      </c>
      <c r="H162" s="299">
        <f t="shared" si="191"/>
        <v>1800</v>
      </c>
      <c r="I162" s="297">
        <v>0.0</v>
      </c>
      <c r="J162" s="298">
        <f t="shared" si="192"/>
        <v>-1800</v>
      </c>
      <c r="K162" s="299">
        <f t="shared" si="193"/>
        <v>2400</v>
      </c>
      <c r="L162" s="297">
        <v>0.0</v>
      </c>
      <c r="M162" s="298">
        <f t="shared" si="194"/>
        <v>-2400</v>
      </c>
      <c r="N162" s="299">
        <f t="shared" si="195"/>
        <v>3000</v>
      </c>
      <c r="O162" s="297">
        <v>0.0</v>
      </c>
      <c r="P162" s="298">
        <f t="shared" si="196"/>
        <v>-3000</v>
      </c>
      <c r="Q162" s="299">
        <f t="shared" si="197"/>
        <v>3000</v>
      </c>
      <c r="R162" s="297">
        <v>0.0</v>
      </c>
      <c r="S162" s="300">
        <f t="shared" si="198"/>
        <v>-3000</v>
      </c>
    </row>
    <row r="163">
      <c r="A163" s="302" t="s">
        <v>58</v>
      </c>
      <c r="B163" s="303">
        <v>0.0</v>
      </c>
      <c r="C163" s="297">
        <v>283.9</v>
      </c>
      <c r="D163" s="305">
        <f t="shared" si="188"/>
        <v>283.9</v>
      </c>
      <c r="E163" s="306">
        <f t="shared" si="189"/>
        <v>0</v>
      </c>
      <c r="F163" s="297">
        <v>382.08</v>
      </c>
      <c r="G163" s="305">
        <f t="shared" si="190"/>
        <v>382.08</v>
      </c>
      <c r="H163" s="306">
        <f t="shared" si="191"/>
        <v>0</v>
      </c>
      <c r="I163" s="297">
        <v>0.0</v>
      </c>
      <c r="J163" s="298">
        <f t="shared" si="192"/>
        <v>0</v>
      </c>
      <c r="K163" s="306">
        <f t="shared" si="193"/>
        <v>0</v>
      </c>
      <c r="L163" s="297">
        <v>0.0</v>
      </c>
      <c r="M163" s="305">
        <f t="shared" si="194"/>
        <v>0</v>
      </c>
      <c r="N163" s="306">
        <f t="shared" si="195"/>
        <v>0</v>
      </c>
      <c r="O163" s="297">
        <v>0.0</v>
      </c>
      <c r="P163" s="305">
        <f t="shared" si="196"/>
        <v>0</v>
      </c>
      <c r="Q163" s="306">
        <f t="shared" si="197"/>
        <v>0</v>
      </c>
      <c r="R163" s="297">
        <v>0.0</v>
      </c>
      <c r="S163" s="300">
        <f t="shared" si="198"/>
        <v>0</v>
      </c>
    </row>
    <row r="164">
      <c r="A164" s="308"/>
      <c r="B164" s="309">
        <v>0.0</v>
      </c>
      <c r="C164" s="297">
        <v>0.0</v>
      </c>
      <c r="D164" s="311">
        <f t="shared" si="188"/>
        <v>0</v>
      </c>
      <c r="E164" s="312">
        <f t="shared" si="189"/>
        <v>0</v>
      </c>
      <c r="F164" s="297">
        <v>0.0</v>
      </c>
      <c r="G164" s="311">
        <f t="shared" si="190"/>
        <v>0</v>
      </c>
      <c r="H164" s="312">
        <f t="shared" si="191"/>
        <v>0</v>
      </c>
      <c r="I164" s="297">
        <v>0.0</v>
      </c>
      <c r="J164" s="298">
        <f t="shared" si="192"/>
        <v>0</v>
      </c>
      <c r="K164" s="312">
        <f t="shared" si="193"/>
        <v>0</v>
      </c>
      <c r="L164" s="297">
        <v>0.0</v>
      </c>
      <c r="M164" s="311">
        <f t="shared" si="194"/>
        <v>0</v>
      </c>
      <c r="N164" s="312">
        <f t="shared" si="195"/>
        <v>0</v>
      </c>
      <c r="O164" s="297">
        <v>0.0</v>
      </c>
      <c r="P164" s="311">
        <f t="shared" si="196"/>
        <v>0</v>
      </c>
      <c r="Q164" s="312">
        <f t="shared" si="197"/>
        <v>0</v>
      </c>
      <c r="R164" s="297">
        <v>0.0</v>
      </c>
      <c r="S164" s="300">
        <f t="shared" si="198"/>
        <v>0</v>
      </c>
    </row>
    <row r="165">
      <c r="A165" s="283"/>
      <c r="B165" s="284"/>
      <c r="C165" s="285" t="s">
        <v>73</v>
      </c>
      <c r="D165" s="286"/>
      <c r="E165" s="284"/>
      <c r="F165" s="284"/>
      <c r="G165" s="314"/>
      <c r="H165" s="315"/>
      <c r="I165" s="316"/>
      <c r="J165" s="317"/>
      <c r="K165" s="284"/>
      <c r="L165" s="284"/>
      <c r="M165" s="286"/>
      <c r="N165" s="284"/>
      <c r="O165" s="284"/>
      <c r="P165" s="286"/>
      <c r="Q165" s="284"/>
      <c r="R165" s="318">
        <v>677.36</v>
      </c>
      <c r="S165" s="286"/>
    </row>
  </sheetData>
  <mergeCells count="6">
    <mergeCell ref="B1:D1"/>
    <mergeCell ref="E1:G1"/>
    <mergeCell ref="H1:J1"/>
    <mergeCell ref="K1:M1"/>
    <mergeCell ref="N1:P1"/>
    <mergeCell ref="Q1:S1"/>
  </mergeCells>
  <conditionalFormatting sqref="D1:D1000 G1:G1000 J1:J1000 M1:M1000 P1:P1000 S1:S1000">
    <cfRule type="cellIs" dxfId="11" priority="1" operator="greater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  <col customWidth="1" min="14" max="14" width="16.13"/>
  </cols>
  <sheetData>
    <row r="1">
      <c r="A1" s="319" t="s">
        <v>77</v>
      </c>
      <c r="B1" s="320"/>
      <c r="C1" s="320"/>
      <c r="D1" s="320"/>
      <c r="E1" s="320"/>
      <c r="F1" s="321"/>
    </row>
    <row r="2">
      <c r="A2" s="322" t="s">
        <v>78</v>
      </c>
      <c r="B2" s="322" t="s">
        <v>8</v>
      </c>
      <c r="C2" s="322" t="s">
        <v>72</v>
      </c>
      <c r="D2" s="322" t="s">
        <v>77</v>
      </c>
      <c r="E2" s="322" t="s">
        <v>79</v>
      </c>
      <c r="F2" s="322" t="s">
        <v>80</v>
      </c>
    </row>
    <row r="3">
      <c r="A3" s="323" t="s">
        <v>59</v>
      </c>
      <c r="B3" s="324" t="s">
        <v>81</v>
      </c>
      <c r="C3" s="324" t="s">
        <v>82</v>
      </c>
      <c r="D3" s="324" t="s">
        <v>83</v>
      </c>
      <c r="E3" s="323" t="s">
        <v>84</v>
      </c>
      <c r="F3" s="323" t="s">
        <v>85</v>
      </c>
    </row>
    <row r="4">
      <c r="A4" s="323" t="s">
        <v>61</v>
      </c>
      <c r="B4" s="324" t="s">
        <v>86</v>
      </c>
      <c r="C4" s="324" t="s">
        <v>87</v>
      </c>
      <c r="D4" s="324" t="s">
        <v>88</v>
      </c>
      <c r="E4" s="323" t="s">
        <v>89</v>
      </c>
      <c r="F4" s="323" t="s">
        <v>90</v>
      </c>
    </row>
    <row r="5">
      <c r="A5" s="323" t="s">
        <v>43</v>
      </c>
      <c r="B5" s="324" t="s">
        <v>91</v>
      </c>
      <c r="C5" s="324" t="s">
        <v>92</v>
      </c>
      <c r="D5" s="324" t="s">
        <v>93</v>
      </c>
      <c r="E5" s="323" t="s">
        <v>94</v>
      </c>
      <c r="F5" s="323" t="s">
        <v>95</v>
      </c>
    </row>
    <row r="6">
      <c r="A6" s="323" t="s">
        <v>53</v>
      </c>
      <c r="B6" s="324" t="s">
        <v>96</v>
      </c>
      <c r="C6" s="324" t="s">
        <v>97</v>
      </c>
      <c r="D6" s="324" t="s">
        <v>98</v>
      </c>
      <c r="E6" s="323" t="s">
        <v>99</v>
      </c>
      <c r="F6" s="323" t="s">
        <v>100</v>
      </c>
    </row>
    <row r="7">
      <c r="A7" s="323" t="s">
        <v>101</v>
      </c>
      <c r="B7" s="324" t="s">
        <v>102</v>
      </c>
      <c r="C7" s="324" t="s">
        <v>103</v>
      </c>
      <c r="D7" s="324" t="s">
        <v>104</v>
      </c>
      <c r="E7" s="323" t="s">
        <v>105</v>
      </c>
      <c r="F7" s="323" t="s">
        <v>106</v>
      </c>
    </row>
    <row r="8">
      <c r="A8" s="323" t="s">
        <v>63</v>
      </c>
      <c r="B8" s="324" t="s">
        <v>107</v>
      </c>
      <c r="C8" s="324" t="s">
        <v>108</v>
      </c>
      <c r="D8" s="324" t="s">
        <v>109</v>
      </c>
      <c r="E8" s="323" t="s">
        <v>110</v>
      </c>
      <c r="F8" s="323" t="s">
        <v>111</v>
      </c>
      <c r="I8" s="319" t="s">
        <v>77</v>
      </c>
      <c r="J8" s="320"/>
      <c r="K8" s="320"/>
      <c r="L8" s="320"/>
      <c r="M8" s="320"/>
      <c r="N8" s="321"/>
    </row>
    <row r="9">
      <c r="I9" s="322" t="s">
        <v>78</v>
      </c>
      <c r="J9" s="322" t="s">
        <v>8</v>
      </c>
      <c r="K9" s="322" t="s">
        <v>72</v>
      </c>
      <c r="L9" s="322" t="s">
        <v>77</v>
      </c>
      <c r="M9" s="322" t="s">
        <v>79</v>
      </c>
      <c r="N9" s="322" t="s">
        <v>80</v>
      </c>
    </row>
    <row r="10">
      <c r="I10" s="323" t="s">
        <v>59</v>
      </c>
      <c r="J10" s="324" t="s">
        <v>81</v>
      </c>
      <c r="K10" s="324" t="s">
        <v>82</v>
      </c>
      <c r="L10" s="324" t="s">
        <v>83</v>
      </c>
      <c r="M10" s="323" t="s">
        <v>84</v>
      </c>
      <c r="N10" s="323" t="s">
        <v>85</v>
      </c>
    </row>
    <row r="11">
      <c r="A11" s="319" t="s">
        <v>112</v>
      </c>
      <c r="B11" s="320"/>
      <c r="C11" s="320"/>
      <c r="D11" s="320"/>
      <c r="E11" s="320"/>
      <c r="F11" s="321"/>
      <c r="I11" s="319" t="s">
        <v>112</v>
      </c>
      <c r="J11" s="320"/>
      <c r="K11" s="320"/>
      <c r="L11" s="320"/>
      <c r="M11" s="320"/>
      <c r="N11" s="321"/>
    </row>
    <row r="12">
      <c r="A12" s="322" t="s">
        <v>78</v>
      </c>
      <c r="B12" s="322" t="s">
        <v>8</v>
      </c>
      <c r="C12" s="322" t="s">
        <v>72</v>
      </c>
      <c r="D12" s="322" t="s">
        <v>112</v>
      </c>
      <c r="E12" s="322" t="s">
        <v>113</v>
      </c>
      <c r="F12" s="322" t="s">
        <v>80</v>
      </c>
      <c r="I12" s="322" t="s">
        <v>78</v>
      </c>
      <c r="J12" s="322" t="s">
        <v>8</v>
      </c>
      <c r="K12" s="322" t="s">
        <v>72</v>
      </c>
      <c r="L12" s="322" t="s">
        <v>112</v>
      </c>
      <c r="M12" s="322" t="s">
        <v>113</v>
      </c>
      <c r="N12" s="322" t="s">
        <v>80</v>
      </c>
    </row>
    <row r="13">
      <c r="A13" s="323" t="s">
        <v>59</v>
      </c>
      <c r="B13" s="324" t="s">
        <v>81</v>
      </c>
      <c r="C13" s="324" t="s">
        <v>82</v>
      </c>
      <c r="D13" s="324" t="s">
        <v>114</v>
      </c>
      <c r="E13" s="323" t="s">
        <v>115</v>
      </c>
      <c r="F13" s="323" t="s">
        <v>116</v>
      </c>
      <c r="I13" s="323" t="s">
        <v>59</v>
      </c>
      <c r="J13" s="324" t="s">
        <v>81</v>
      </c>
      <c r="K13" s="324" t="s">
        <v>82</v>
      </c>
      <c r="L13" s="324" t="s">
        <v>114</v>
      </c>
      <c r="M13" s="323" t="s">
        <v>115</v>
      </c>
      <c r="N13" s="323" t="s">
        <v>116</v>
      </c>
    </row>
    <row r="14">
      <c r="A14" s="323" t="s">
        <v>61</v>
      </c>
      <c r="B14" s="324" t="s">
        <v>86</v>
      </c>
      <c r="C14" s="324" t="s">
        <v>87</v>
      </c>
      <c r="D14" s="324" t="s">
        <v>117</v>
      </c>
      <c r="E14" s="323" t="s">
        <v>118</v>
      </c>
      <c r="F14" s="323" t="s">
        <v>119</v>
      </c>
    </row>
    <row r="15">
      <c r="A15" s="323" t="s">
        <v>43</v>
      </c>
      <c r="B15" s="324" t="s">
        <v>91</v>
      </c>
      <c r="C15" s="324" t="s">
        <v>92</v>
      </c>
      <c r="D15" s="324" t="s">
        <v>120</v>
      </c>
      <c r="E15" s="323" t="s">
        <v>121</v>
      </c>
      <c r="F15" s="323" t="s">
        <v>122</v>
      </c>
    </row>
    <row r="16">
      <c r="A16" s="323" t="s">
        <v>53</v>
      </c>
      <c r="B16" s="324" t="s">
        <v>96</v>
      </c>
      <c r="C16" s="324" t="s">
        <v>97</v>
      </c>
      <c r="D16" s="324" t="s">
        <v>123</v>
      </c>
      <c r="E16" s="323" t="s">
        <v>124</v>
      </c>
      <c r="F16" s="323" t="s">
        <v>125</v>
      </c>
    </row>
    <row r="17">
      <c r="A17" s="323" t="s">
        <v>101</v>
      </c>
      <c r="B17" s="324" t="s">
        <v>102</v>
      </c>
      <c r="C17" s="324" t="s">
        <v>103</v>
      </c>
      <c r="D17" s="324" t="s">
        <v>126</v>
      </c>
      <c r="E17" s="323" t="s">
        <v>127</v>
      </c>
      <c r="F17" s="323" t="s">
        <v>128</v>
      </c>
      <c r="I17" s="319" t="s">
        <v>77</v>
      </c>
      <c r="J17" s="320"/>
      <c r="K17" s="320"/>
      <c r="L17" s="320"/>
      <c r="M17" s="320"/>
      <c r="N17" s="321"/>
    </row>
    <row r="18">
      <c r="A18" s="323" t="s">
        <v>63</v>
      </c>
      <c r="B18" s="324" t="s">
        <v>107</v>
      </c>
      <c r="C18" s="324" t="s">
        <v>108</v>
      </c>
      <c r="D18" s="324" t="s">
        <v>102</v>
      </c>
      <c r="E18" s="323" t="s">
        <v>129</v>
      </c>
      <c r="F18" s="323" t="s">
        <v>130</v>
      </c>
      <c r="I18" s="322" t="s">
        <v>78</v>
      </c>
      <c r="J18" s="322" t="s">
        <v>8</v>
      </c>
      <c r="K18" s="322" t="s">
        <v>72</v>
      </c>
      <c r="L18" s="322" t="s">
        <v>77</v>
      </c>
      <c r="M18" s="322" t="s">
        <v>79</v>
      </c>
      <c r="N18" s="322" t="s">
        <v>80</v>
      </c>
    </row>
    <row r="19">
      <c r="I19" s="323" t="s">
        <v>61</v>
      </c>
      <c r="J19" s="324" t="s">
        <v>86</v>
      </c>
      <c r="K19" s="324" t="s">
        <v>87</v>
      </c>
      <c r="L19" s="324" t="s">
        <v>88</v>
      </c>
      <c r="M19" s="323" t="s">
        <v>89</v>
      </c>
      <c r="N19" s="323" t="s">
        <v>90</v>
      </c>
    </row>
    <row r="20">
      <c r="I20" s="319" t="s">
        <v>112</v>
      </c>
      <c r="J20" s="320"/>
      <c r="K20" s="320"/>
      <c r="L20" s="320"/>
      <c r="M20" s="320"/>
      <c r="N20" s="321"/>
    </row>
    <row r="21">
      <c r="I21" s="322" t="s">
        <v>78</v>
      </c>
      <c r="J21" s="322" t="s">
        <v>8</v>
      </c>
      <c r="K21" s="322" t="s">
        <v>72</v>
      </c>
      <c r="L21" s="322" t="s">
        <v>112</v>
      </c>
      <c r="M21" s="322" t="s">
        <v>113</v>
      </c>
      <c r="N21" s="322" t="s">
        <v>80</v>
      </c>
    </row>
    <row r="22">
      <c r="I22" s="323" t="s">
        <v>61</v>
      </c>
      <c r="J22" s="324" t="s">
        <v>86</v>
      </c>
      <c r="K22" s="324" t="s">
        <v>87</v>
      </c>
      <c r="L22" s="324" t="s">
        <v>117</v>
      </c>
      <c r="M22" s="323" t="s">
        <v>118</v>
      </c>
      <c r="N22" s="323" t="s">
        <v>119</v>
      </c>
    </row>
    <row r="26">
      <c r="I26" s="319" t="s">
        <v>77</v>
      </c>
      <c r="J26" s="320"/>
      <c r="K26" s="320"/>
      <c r="L26" s="320"/>
      <c r="M26" s="320"/>
      <c r="N26" s="321"/>
    </row>
    <row r="27">
      <c r="I27" s="322" t="s">
        <v>78</v>
      </c>
      <c r="J27" s="322" t="s">
        <v>8</v>
      </c>
      <c r="K27" s="322" t="s">
        <v>72</v>
      </c>
      <c r="L27" s="322" t="s">
        <v>77</v>
      </c>
      <c r="M27" s="322" t="s">
        <v>79</v>
      </c>
      <c r="N27" s="322" t="s">
        <v>80</v>
      </c>
    </row>
    <row r="28">
      <c r="I28" s="323" t="s">
        <v>43</v>
      </c>
      <c r="J28" s="324" t="s">
        <v>91</v>
      </c>
      <c r="K28" s="324" t="s">
        <v>92</v>
      </c>
      <c r="L28" s="324" t="s">
        <v>93</v>
      </c>
      <c r="M28" s="323" t="s">
        <v>94</v>
      </c>
      <c r="N28" s="323" t="s">
        <v>95</v>
      </c>
    </row>
    <row r="29">
      <c r="I29" s="319" t="s">
        <v>112</v>
      </c>
      <c r="J29" s="320"/>
      <c r="K29" s="320"/>
      <c r="L29" s="320"/>
      <c r="M29" s="320"/>
      <c r="N29" s="321"/>
    </row>
    <row r="30">
      <c r="I30" s="322" t="s">
        <v>78</v>
      </c>
      <c r="J30" s="322" t="s">
        <v>8</v>
      </c>
      <c r="K30" s="322" t="s">
        <v>72</v>
      </c>
      <c r="L30" s="322" t="s">
        <v>112</v>
      </c>
      <c r="M30" s="322" t="s">
        <v>113</v>
      </c>
      <c r="N30" s="322" t="s">
        <v>80</v>
      </c>
    </row>
    <row r="31">
      <c r="I31" s="323" t="s">
        <v>43</v>
      </c>
      <c r="J31" s="324" t="s">
        <v>91</v>
      </c>
      <c r="K31" s="324" t="s">
        <v>92</v>
      </c>
      <c r="L31" s="324" t="s">
        <v>120</v>
      </c>
      <c r="M31" s="323" t="s">
        <v>121</v>
      </c>
      <c r="N31" s="323" t="s">
        <v>122</v>
      </c>
    </row>
    <row r="35">
      <c r="I35" s="319" t="s">
        <v>77</v>
      </c>
      <c r="J35" s="320"/>
      <c r="K35" s="320"/>
      <c r="L35" s="320"/>
      <c r="M35" s="320"/>
      <c r="N35" s="321"/>
    </row>
    <row r="36">
      <c r="I36" s="322" t="s">
        <v>78</v>
      </c>
      <c r="J36" s="322" t="s">
        <v>8</v>
      </c>
      <c r="K36" s="322" t="s">
        <v>72</v>
      </c>
      <c r="L36" s="322" t="s">
        <v>77</v>
      </c>
      <c r="M36" s="322" t="s">
        <v>79</v>
      </c>
      <c r="N36" s="322" t="s">
        <v>80</v>
      </c>
    </row>
    <row r="37">
      <c r="I37" s="323" t="s">
        <v>53</v>
      </c>
      <c r="J37" s="324" t="s">
        <v>96</v>
      </c>
      <c r="K37" s="324" t="s">
        <v>97</v>
      </c>
      <c r="L37" s="324" t="s">
        <v>98</v>
      </c>
      <c r="M37" s="323" t="s">
        <v>99</v>
      </c>
      <c r="N37" s="323" t="s">
        <v>100</v>
      </c>
    </row>
    <row r="38">
      <c r="I38" s="319" t="s">
        <v>112</v>
      </c>
      <c r="J38" s="320"/>
      <c r="K38" s="320"/>
      <c r="L38" s="320"/>
      <c r="M38" s="320"/>
      <c r="N38" s="321"/>
    </row>
    <row r="39">
      <c r="I39" s="322" t="s">
        <v>78</v>
      </c>
      <c r="J39" s="322" t="s">
        <v>8</v>
      </c>
      <c r="K39" s="322" t="s">
        <v>72</v>
      </c>
      <c r="L39" s="322" t="s">
        <v>112</v>
      </c>
      <c r="M39" s="322" t="s">
        <v>113</v>
      </c>
      <c r="N39" s="322" t="s">
        <v>80</v>
      </c>
    </row>
    <row r="40">
      <c r="I40" s="323" t="s">
        <v>53</v>
      </c>
      <c r="J40" s="324" t="s">
        <v>96</v>
      </c>
      <c r="K40" s="324" t="s">
        <v>97</v>
      </c>
      <c r="L40" s="324" t="s">
        <v>123</v>
      </c>
      <c r="M40" s="323" t="s">
        <v>124</v>
      </c>
      <c r="N40" s="323" t="s">
        <v>125</v>
      </c>
    </row>
    <row r="44">
      <c r="I44" s="319" t="s">
        <v>77</v>
      </c>
      <c r="J44" s="320"/>
      <c r="K44" s="320"/>
      <c r="L44" s="320"/>
      <c r="M44" s="320"/>
      <c r="N44" s="321"/>
    </row>
    <row r="45">
      <c r="I45" s="322" t="s">
        <v>78</v>
      </c>
      <c r="J45" s="322" t="s">
        <v>8</v>
      </c>
      <c r="K45" s="322" t="s">
        <v>72</v>
      </c>
      <c r="L45" s="322" t="s">
        <v>77</v>
      </c>
      <c r="M45" s="322" t="s">
        <v>79</v>
      </c>
      <c r="N45" s="322" t="s">
        <v>80</v>
      </c>
    </row>
    <row r="46">
      <c r="I46" s="323" t="s">
        <v>101</v>
      </c>
      <c r="J46" s="324" t="s">
        <v>102</v>
      </c>
      <c r="K46" s="324" t="s">
        <v>103</v>
      </c>
      <c r="L46" s="324" t="s">
        <v>104</v>
      </c>
      <c r="M46" s="323" t="s">
        <v>105</v>
      </c>
      <c r="N46" s="323" t="s">
        <v>106</v>
      </c>
    </row>
    <row r="47">
      <c r="I47" s="319" t="s">
        <v>112</v>
      </c>
      <c r="J47" s="320"/>
      <c r="K47" s="320"/>
      <c r="L47" s="320"/>
      <c r="M47" s="320"/>
      <c r="N47" s="321"/>
    </row>
    <row r="48">
      <c r="I48" s="322" t="s">
        <v>78</v>
      </c>
      <c r="J48" s="322" t="s">
        <v>8</v>
      </c>
      <c r="K48" s="322" t="s">
        <v>72</v>
      </c>
      <c r="L48" s="322" t="s">
        <v>112</v>
      </c>
      <c r="M48" s="322" t="s">
        <v>113</v>
      </c>
      <c r="N48" s="322" t="s">
        <v>80</v>
      </c>
    </row>
    <row r="49">
      <c r="I49" s="323" t="s">
        <v>101</v>
      </c>
      <c r="J49" s="324" t="s">
        <v>102</v>
      </c>
      <c r="K49" s="324" t="s">
        <v>103</v>
      </c>
      <c r="L49" s="324" t="s">
        <v>126</v>
      </c>
      <c r="M49" s="323" t="s">
        <v>127</v>
      </c>
      <c r="N49" s="323" t="s">
        <v>128</v>
      </c>
    </row>
    <row r="53">
      <c r="I53" s="319" t="s">
        <v>77</v>
      </c>
      <c r="J53" s="320"/>
      <c r="K53" s="320"/>
      <c r="L53" s="320"/>
      <c r="M53" s="320"/>
      <c r="N53" s="321"/>
    </row>
    <row r="54">
      <c r="I54" s="322" t="s">
        <v>78</v>
      </c>
      <c r="J54" s="322" t="s">
        <v>8</v>
      </c>
      <c r="K54" s="322" t="s">
        <v>72</v>
      </c>
      <c r="L54" s="322" t="s">
        <v>77</v>
      </c>
      <c r="M54" s="322" t="s">
        <v>79</v>
      </c>
      <c r="N54" s="322" t="s">
        <v>80</v>
      </c>
    </row>
    <row r="55">
      <c r="I55" s="323" t="s">
        <v>63</v>
      </c>
      <c r="J55" s="324" t="s">
        <v>107</v>
      </c>
      <c r="K55" s="324" t="s">
        <v>108</v>
      </c>
      <c r="L55" s="324" t="s">
        <v>109</v>
      </c>
      <c r="M55" s="323" t="s">
        <v>110</v>
      </c>
      <c r="N55" s="323" t="s">
        <v>111</v>
      </c>
    </row>
    <row r="56">
      <c r="I56" s="319" t="s">
        <v>112</v>
      </c>
      <c r="J56" s="320"/>
      <c r="K56" s="320"/>
      <c r="L56" s="320"/>
      <c r="M56" s="320"/>
      <c r="N56" s="321"/>
    </row>
    <row r="57">
      <c r="I57" s="322" t="s">
        <v>78</v>
      </c>
      <c r="J57" s="322" t="s">
        <v>8</v>
      </c>
      <c r="K57" s="322" t="s">
        <v>72</v>
      </c>
      <c r="L57" s="322" t="s">
        <v>112</v>
      </c>
      <c r="M57" s="322" t="s">
        <v>113</v>
      </c>
      <c r="N57" s="322" t="s">
        <v>80</v>
      </c>
    </row>
    <row r="58">
      <c r="I58" s="323" t="s">
        <v>63</v>
      </c>
      <c r="J58" s="324" t="s">
        <v>107</v>
      </c>
      <c r="K58" s="324" t="s">
        <v>108</v>
      </c>
      <c r="L58" s="324" t="s">
        <v>102</v>
      </c>
      <c r="M58" s="323" t="s">
        <v>129</v>
      </c>
      <c r="N58" s="323" t="s">
        <v>130</v>
      </c>
    </row>
  </sheetData>
  <mergeCells count="14">
    <mergeCell ref="I29:N29"/>
    <mergeCell ref="I35:N35"/>
    <mergeCell ref="I38:N38"/>
    <mergeCell ref="I44:N44"/>
    <mergeCell ref="I47:N47"/>
    <mergeCell ref="I53:N53"/>
    <mergeCell ref="I56:N56"/>
    <mergeCell ref="A11:F11"/>
    <mergeCell ref="A1:F1"/>
    <mergeCell ref="I11:N11"/>
    <mergeCell ref="I8:N8"/>
    <mergeCell ref="I17:N17"/>
    <mergeCell ref="I20:N20"/>
    <mergeCell ref="I26:N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3"/>
  <cols>
    <col customWidth="1" min="1" max="1" width="11.13"/>
    <col customWidth="1" min="2" max="2" width="9.25"/>
    <col customWidth="1" min="3" max="3" width="4.75"/>
    <col customWidth="1" min="4" max="4" width="5.13"/>
    <col customWidth="1" min="5" max="5" width="9.25"/>
    <col customWidth="1" min="6" max="6" width="4.75"/>
    <col customWidth="1" min="7" max="7" width="4.25"/>
    <col customWidth="1" min="8" max="8" width="11.13"/>
    <col customWidth="1" min="9" max="9" width="10.5"/>
    <col customWidth="1" min="10" max="10" width="11.13"/>
    <col customWidth="1" min="11" max="11" width="12.0"/>
    <col customWidth="1" min="12" max="12" width="4.75"/>
    <col customWidth="1" min="13" max="13" width="4.88"/>
    <col customWidth="1" min="14" max="14" width="11.0"/>
    <col customWidth="1" min="15" max="15" width="6.38"/>
    <col customWidth="1" min="16" max="16" width="8.75"/>
    <col customWidth="1" min="18" max="18" width="16.25"/>
  </cols>
  <sheetData>
    <row r="1">
      <c r="A1" s="5" t="s">
        <v>0</v>
      </c>
      <c r="B1" s="5" t="s">
        <v>1</v>
      </c>
      <c r="E1" s="5" t="s">
        <v>2</v>
      </c>
      <c r="H1" s="5" t="s">
        <v>3</v>
      </c>
      <c r="K1" s="5" t="s">
        <v>4</v>
      </c>
      <c r="N1" s="5" t="s">
        <v>5</v>
      </c>
      <c r="Q1" s="90"/>
      <c r="R1" s="90"/>
      <c r="S1" s="91"/>
      <c r="T1" s="90"/>
      <c r="U1" s="90"/>
      <c r="V1" s="90"/>
      <c r="W1" s="90"/>
      <c r="X1" s="90"/>
      <c r="Y1" s="90"/>
      <c r="Z1" s="90"/>
      <c r="AA1" s="90"/>
      <c r="AB1" s="90"/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92" t="s">
        <v>38</v>
      </c>
      <c r="M2" s="5" t="s">
        <v>39</v>
      </c>
      <c r="N2" s="5" t="s">
        <v>40</v>
      </c>
      <c r="O2" s="93" t="s">
        <v>41</v>
      </c>
      <c r="P2" s="5" t="s">
        <v>42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5">
        <v>2025.0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S3" s="94"/>
    </row>
    <row r="4" outlineLevel="1">
      <c r="A4" s="5" t="s">
        <v>11</v>
      </c>
      <c r="B4" s="17">
        <f t="shared" ref="B4:C4" si="1">B5+B36+B67</f>
        <v>3112</v>
      </c>
      <c r="C4" s="17">
        <f t="shared" si="1"/>
        <v>1760</v>
      </c>
      <c r="D4" s="17">
        <f t="shared" ref="D4:L4" si="2">D5+D36</f>
        <v>914</v>
      </c>
      <c r="E4" s="17">
        <f t="shared" si="2"/>
        <v>569</v>
      </c>
      <c r="F4" s="17">
        <f t="shared" si="2"/>
        <v>456</v>
      </c>
      <c r="G4" s="17">
        <f t="shared" si="2"/>
        <v>113</v>
      </c>
      <c r="H4" s="96">
        <f t="shared" si="2"/>
        <v>157072.11</v>
      </c>
      <c r="I4" s="96">
        <f t="shared" si="2"/>
        <v>114000</v>
      </c>
      <c r="J4" s="96">
        <f t="shared" si="2"/>
        <v>43072.11</v>
      </c>
      <c r="K4" s="98">
        <f t="shared" si="2"/>
        <v>0.5194821046</v>
      </c>
      <c r="L4" s="98">
        <f t="shared" si="2"/>
        <v>0.6</v>
      </c>
      <c r="M4" s="98">
        <f t="shared" ref="M4:M5" si="5">K4-L4</f>
        <v>-0.08051789544</v>
      </c>
      <c r="N4" s="96">
        <f t="shared" ref="N4:P4" si="3">N5+N36</f>
        <v>540.754479</v>
      </c>
      <c r="O4" s="99">
        <f t="shared" si="3"/>
        <v>500</v>
      </c>
      <c r="P4" s="96">
        <f t="shared" si="3"/>
        <v>40.75447899</v>
      </c>
      <c r="S4" s="94"/>
    </row>
    <row r="5" outlineLevel="1">
      <c r="A5" s="100" t="s">
        <v>43</v>
      </c>
      <c r="B5" s="325">
        <f t="shared" ref="B5:J5" si="4">SUM(B6:B35)</f>
        <v>1743</v>
      </c>
      <c r="C5" s="325">
        <f t="shared" si="4"/>
        <v>1280</v>
      </c>
      <c r="D5" s="325">
        <f t="shared" si="4"/>
        <v>463</v>
      </c>
      <c r="E5" s="325">
        <f t="shared" si="4"/>
        <v>348</v>
      </c>
      <c r="F5" s="325">
        <f t="shared" si="4"/>
        <v>384</v>
      </c>
      <c r="G5" s="325">
        <f t="shared" si="4"/>
        <v>-36</v>
      </c>
      <c r="H5" s="326">
        <f t="shared" si="4"/>
        <v>102935.03</v>
      </c>
      <c r="I5" s="326">
        <f t="shared" si="4"/>
        <v>96000</v>
      </c>
      <c r="J5" s="326">
        <f t="shared" si="4"/>
        <v>6935.03</v>
      </c>
      <c r="K5" s="110">
        <f t="shared" ref="K5:K97" si="6">IFERROR(E5/B5,"")</f>
        <v>0.1996557659</v>
      </c>
      <c r="L5" s="110">
        <v>0.3</v>
      </c>
      <c r="M5" s="110">
        <f t="shared" si="5"/>
        <v>-0.1003442341</v>
      </c>
      <c r="N5" s="326">
        <f t="shared" ref="N5:N35" si="7">IFERROR(H5/E5,"")</f>
        <v>295.7903161</v>
      </c>
      <c r="O5" s="327">
        <v>250.0</v>
      </c>
      <c r="P5" s="326">
        <f t="shared" ref="P5:P97" si="8">N5-O5</f>
        <v>45.79031609</v>
      </c>
      <c r="S5" s="94"/>
    </row>
    <row r="6" outlineLevel="2">
      <c r="A6" s="105">
        <v>45901.0</v>
      </c>
      <c r="B6" s="106">
        <v>52.0</v>
      </c>
      <c r="C6" s="107">
        <v>80.0</v>
      </c>
      <c r="D6" s="107">
        <f t="shared" ref="D6:D11" si="9">B6-C6</f>
        <v>-28</v>
      </c>
      <c r="E6" s="106">
        <v>13.0</v>
      </c>
      <c r="F6" s="107">
        <f t="shared" ref="F6:F11" si="10">C6*30%</f>
        <v>24</v>
      </c>
      <c r="G6" s="107">
        <f t="shared" ref="G6:G11" si="11">E6-F6</f>
        <v>-11</v>
      </c>
      <c r="H6" s="108">
        <v>3316.26</v>
      </c>
      <c r="I6" s="109">
        <f t="shared" ref="I6:I35" si="12">F6*O6</f>
        <v>6000</v>
      </c>
      <c r="J6" s="109">
        <f t="shared" ref="J6:J11" si="13">H6-I6</f>
        <v>-2683.74</v>
      </c>
      <c r="K6" s="111">
        <f t="shared" si="6"/>
        <v>0.25</v>
      </c>
      <c r="L6" s="111">
        <v>0.3</v>
      </c>
      <c r="M6" s="111">
        <f t="shared" ref="M6:M11" si="14">L6-K6</f>
        <v>0.05</v>
      </c>
      <c r="N6" s="109">
        <f t="shared" si="7"/>
        <v>255.0969231</v>
      </c>
      <c r="O6" s="112">
        <v>250.0</v>
      </c>
      <c r="P6" s="109">
        <f t="shared" si="8"/>
        <v>5.096923077</v>
      </c>
      <c r="R6" s="115" t="s">
        <v>131</v>
      </c>
    </row>
    <row r="7" outlineLevel="2">
      <c r="A7" s="105">
        <v>45902.0</v>
      </c>
      <c r="B7" s="106">
        <v>91.0</v>
      </c>
      <c r="C7" s="107">
        <v>80.0</v>
      </c>
      <c r="D7" s="107">
        <f t="shared" si="9"/>
        <v>11</v>
      </c>
      <c r="E7" s="106">
        <v>19.0</v>
      </c>
      <c r="F7" s="107">
        <f t="shared" si="10"/>
        <v>24</v>
      </c>
      <c r="G7" s="107">
        <f t="shared" si="11"/>
        <v>-5</v>
      </c>
      <c r="H7" s="108">
        <v>4072.51</v>
      </c>
      <c r="I7" s="109">
        <f t="shared" si="12"/>
        <v>6000</v>
      </c>
      <c r="J7" s="109">
        <f t="shared" si="13"/>
        <v>-1927.49</v>
      </c>
      <c r="K7" s="111">
        <f t="shared" si="6"/>
        <v>0.2087912088</v>
      </c>
      <c r="L7" s="111">
        <v>0.3</v>
      </c>
      <c r="M7" s="111">
        <f t="shared" si="14"/>
        <v>0.09120879121</v>
      </c>
      <c r="N7" s="109">
        <f t="shared" si="7"/>
        <v>214.3426316</v>
      </c>
      <c r="O7" s="112">
        <v>250.0</v>
      </c>
      <c r="P7" s="109">
        <f t="shared" si="8"/>
        <v>-35.65736842</v>
      </c>
      <c r="R7" s="113" t="s">
        <v>8</v>
      </c>
      <c r="S7" s="116">
        <v>110000.0</v>
      </c>
    </row>
    <row r="8" outlineLevel="2">
      <c r="A8" s="105">
        <v>45903.0</v>
      </c>
      <c r="B8" s="106">
        <v>52.0</v>
      </c>
      <c r="C8" s="107">
        <v>80.0</v>
      </c>
      <c r="D8" s="107">
        <f t="shared" si="9"/>
        <v>-28</v>
      </c>
      <c r="E8" s="106">
        <v>15.0</v>
      </c>
      <c r="F8" s="107">
        <f t="shared" si="10"/>
        <v>24</v>
      </c>
      <c r="G8" s="107">
        <f t="shared" si="11"/>
        <v>-9</v>
      </c>
      <c r="H8" s="108">
        <v>5709.56</v>
      </c>
      <c r="I8" s="109">
        <f t="shared" si="12"/>
        <v>6000</v>
      </c>
      <c r="J8" s="109">
        <f t="shared" si="13"/>
        <v>-290.44</v>
      </c>
      <c r="K8" s="111">
        <f t="shared" si="6"/>
        <v>0.2884615385</v>
      </c>
      <c r="L8" s="111">
        <v>0.3</v>
      </c>
      <c r="M8" s="111">
        <f t="shared" si="14"/>
        <v>0.01153846154</v>
      </c>
      <c r="N8" s="109">
        <f t="shared" si="7"/>
        <v>380.6373333</v>
      </c>
      <c r="O8" s="112">
        <v>250.0</v>
      </c>
      <c r="P8" s="109">
        <f t="shared" si="8"/>
        <v>130.6373333</v>
      </c>
      <c r="R8" s="113" t="s">
        <v>45</v>
      </c>
      <c r="S8" s="117">
        <f>S7/30</f>
        <v>3666.666667</v>
      </c>
    </row>
    <row r="9" outlineLevel="2">
      <c r="A9" s="105">
        <v>45904.0</v>
      </c>
      <c r="B9" s="106">
        <v>30.0</v>
      </c>
      <c r="C9" s="107">
        <v>80.0</v>
      </c>
      <c r="D9" s="107">
        <f t="shared" si="9"/>
        <v>-50</v>
      </c>
      <c r="E9" s="106">
        <v>22.0</v>
      </c>
      <c r="F9" s="107">
        <f t="shared" si="10"/>
        <v>24</v>
      </c>
      <c r="G9" s="107">
        <f t="shared" si="11"/>
        <v>-2</v>
      </c>
      <c r="H9" s="108">
        <v>6197.98</v>
      </c>
      <c r="I9" s="109">
        <f t="shared" si="12"/>
        <v>6000</v>
      </c>
      <c r="J9" s="109">
        <f t="shared" si="13"/>
        <v>197.98</v>
      </c>
      <c r="K9" s="111">
        <f t="shared" si="6"/>
        <v>0.7333333333</v>
      </c>
      <c r="L9" s="111">
        <v>0.3</v>
      </c>
      <c r="M9" s="111">
        <f t="shared" si="14"/>
        <v>-0.4333333333</v>
      </c>
      <c r="N9" s="109">
        <f t="shared" si="7"/>
        <v>281.7263636</v>
      </c>
      <c r="O9" s="112">
        <v>250.0</v>
      </c>
      <c r="P9" s="109">
        <f t="shared" si="8"/>
        <v>31.72636364</v>
      </c>
      <c r="R9" s="113" t="s">
        <v>46</v>
      </c>
      <c r="S9" s="117">
        <f>S7/22</f>
        <v>5000</v>
      </c>
    </row>
    <row r="10" outlineLevel="2">
      <c r="A10" s="105">
        <v>45905.0</v>
      </c>
      <c r="B10" s="106">
        <v>48.0</v>
      </c>
      <c r="C10" s="107">
        <v>80.0</v>
      </c>
      <c r="D10" s="107">
        <f t="shared" si="9"/>
        <v>-32</v>
      </c>
      <c r="E10" s="106">
        <v>12.0</v>
      </c>
      <c r="F10" s="107">
        <f t="shared" si="10"/>
        <v>24</v>
      </c>
      <c r="G10" s="107">
        <f t="shared" si="11"/>
        <v>-12</v>
      </c>
      <c r="H10" s="108">
        <v>2511.67</v>
      </c>
      <c r="I10" s="109">
        <f t="shared" si="12"/>
        <v>6000</v>
      </c>
      <c r="J10" s="109">
        <f t="shared" si="13"/>
        <v>-3488.33</v>
      </c>
      <c r="K10" s="111">
        <f t="shared" si="6"/>
        <v>0.25</v>
      </c>
      <c r="L10" s="111">
        <v>0.3</v>
      </c>
      <c r="M10" s="111">
        <f t="shared" si="14"/>
        <v>0.05</v>
      </c>
      <c r="N10" s="109">
        <f t="shared" si="7"/>
        <v>209.3058333</v>
      </c>
      <c r="O10" s="112">
        <v>250.0</v>
      </c>
      <c r="P10" s="109">
        <f t="shared" si="8"/>
        <v>-40.69416667</v>
      </c>
      <c r="R10" s="113" t="s">
        <v>7</v>
      </c>
      <c r="S10" s="117">
        <f>H5</f>
        <v>102935.03</v>
      </c>
    </row>
    <row r="11" outlineLevel="2">
      <c r="A11" s="105">
        <v>45906.0</v>
      </c>
      <c r="B11" s="106">
        <v>20.0</v>
      </c>
      <c r="C11" s="107">
        <v>80.0</v>
      </c>
      <c r="D11" s="107">
        <f t="shared" si="9"/>
        <v>-60</v>
      </c>
      <c r="E11" s="106">
        <v>4.0</v>
      </c>
      <c r="F11" s="107">
        <f t="shared" si="10"/>
        <v>24</v>
      </c>
      <c r="G11" s="107">
        <f t="shared" si="11"/>
        <v>-20</v>
      </c>
      <c r="H11" s="108">
        <v>1478.28</v>
      </c>
      <c r="I11" s="109">
        <f t="shared" si="12"/>
        <v>6000</v>
      </c>
      <c r="J11" s="109">
        <f t="shared" si="13"/>
        <v>-4521.72</v>
      </c>
      <c r="K11" s="111">
        <f t="shared" si="6"/>
        <v>0.2</v>
      </c>
      <c r="L11" s="111">
        <v>0.3</v>
      </c>
      <c r="M11" s="111">
        <f t="shared" si="14"/>
        <v>0.1</v>
      </c>
      <c r="N11" s="109">
        <f t="shared" si="7"/>
        <v>369.57</v>
      </c>
      <c r="O11" s="112">
        <v>250.0</v>
      </c>
      <c r="P11" s="109">
        <f t="shared" si="8"/>
        <v>119.57</v>
      </c>
      <c r="R11" s="113" t="s">
        <v>47</v>
      </c>
      <c r="S11" s="119">
        <f>S10/S7</f>
        <v>0.935773</v>
      </c>
    </row>
    <row r="12" outlineLevel="2">
      <c r="A12" s="105">
        <v>45907.0</v>
      </c>
      <c r="B12" s="328"/>
      <c r="C12" s="107"/>
      <c r="D12" s="107"/>
      <c r="E12" s="328"/>
      <c r="F12" s="107"/>
      <c r="G12" s="107"/>
      <c r="H12" s="328"/>
      <c r="I12" s="109">
        <f t="shared" si="12"/>
        <v>0</v>
      </c>
      <c r="J12" s="109"/>
      <c r="K12" s="111" t="str">
        <f t="shared" si="6"/>
        <v/>
      </c>
      <c r="L12" s="111"/>
      <c r="M12" s="114"/>
      <c r="N12" s="109" t="str">
        <f t="shared" si="7"/>
        <v/>
      </c>
      <c r="O12" s="112"/>
      <c r="P12" s="109">
        <f t="shared" si="8"/>
        <v>0</v>
      </c>
      <c r="R12" s="113" t="s">
        <v>48</v>
      </c>
      <c r="S12" s="120">
        <v>1.0</v>
      </c>
    </row>
    <row r="13" outlineLevel="2">
      <c r="A13" s="105">
        <v>45908.0</v>
      </c>
      <c r="B13" s="106">
        <v>72.0</v>
      </c>
      <c r="C13" s="107">
        <v>80.0</v>
      </c>
      <c r="D13" s="107">
        <f t="shared" ref="D13:D35" si="15">B13-C13</f>
        <v>-8</v>
      </c>
      <c r="E13" s="106">
        <v>23.0</v>
      </c>
      <c r="F13" s="107">
        <f t="shared" ref="F13:F35" si="16">C13*30%</f>
        <v>24</v>
      </c>
      <c r="G13" s="107">
        <f t="shared" ref="G13:G35" si="17">E13-F13</f>
        <v>-1</v>
      </c>
      <c r="H13" s="108">
        <v>6251.59</v>
      </c>
      <c r="I13" s="109">
        <f t="shared" si="12"/>
        <v>6000</v>
      </c>
      <c r="J13" s="109">
        <f t="shared" ref="J13:J35" si="18">H13-I13</f>
        <v>251.59</v>
      </c>
      <c r="K13" s="111">
        <f t="shared" si="6"/>
        <v>0.3194444444</v>
      </c>
      <c r="L13" s="111">
        <v>0.3</v>
      </c>
      <c r="M13" s="111">
        <f t="shared" ref="M13:M35" si="19">L13-K13</f>
        <v>-0.01944444444</v>
      </c>
      <c r="N13" s="109">
        <f t="shared" si="7"/>
        <v>271.8082609</v>
      </c>
      <c r="O13" s="112">
        <v>250.0</v>
      </c>
      <c r="P13" s="109">
        <f t="shared" si="8"/>
        <v>21.80826087</v>
      </c>
      <c r="R13" s="113" t="s">
        <v>49</v>
      </c>
      <c r="S13" s="121">
        <f>(S7-S10)/S12</f>
        <v>7064.97</v>
      </c>
    </row>
    <row r="14" outlineLevel="2">
      <c r="A14" s="105">
        <v>45909.0</v>
      </c>
      <c r="B14" s="106">
        <v>89.0</v>
      </c>
      <c r="C14" s="107">
        <v>80.0</v>
      </c>
      <c r="D14" s="107">
        <f t="shared" si="15"/>
        <v>9</v>
      </c>
      <c r="E14" s="106">
        <v>23.0</v>
      </c>
      <c r="F14" s="107">
        <f t="shared" si="16"/>
        <v>24</v>
      </c>
      <c r="G14" s="107">
        <f t="shared" si="17"/>
        <v>-1</v>
      </c>
      <c r="H14" s="108">
        <v>6222.4</v>
      </c>
      <c r="I14" s="109">
        <f t="shared" si="12"/>
        <v>6000</v>
      </c>
      <c r="J14" s="109">
        <f t="shared" si="18"/>
        <v>222.4</v>
      </c>
      <c r="K14" s="111">
        <f t="shared" si="6"/>
        <v>0.2584269663</v>
      </c>
      <c r="L14" s="111">
        <v>0.3</v>
      </c>
      <c r="M14" s="111">
        <f t="shared" si="19"/>
        <v>0.04157303371</v>
      </c>
      <c r="N14" s="109">
        <f t="shared" si="7"/>
        <v>270.5391304</v>
      </c>
      <c r="O14" s="112">
        <v>250.0</v>
      </c>
      <c r="P14" s="109">
        <f t="shared" si="8"/>
        <v>20.53913043</v>
      </c>
      <c r="R14" s="113" t="s">
        <v>50</v>
      </c>
      <c r="S14" s="122">
        <f>N5</f>
        <v>295.7903161</v>
      </c>
    </row>
    <row r="15" outlineLevel="2">
      <c r="A15" s="105">
        <v>45910.0</v>
      </c>
      <c r="B15" s="106">
        <v>40.0</v>
      </c>
      <c r="C15" s="107">
        <v>80.0</v>
      </c>
      <c r="D15" s="107">
        <f t="shared" si="15"/>
        <v>-40</v>
      </c>
      <c r="E15" s="106">
        <v>17.0</v>
      </c>
      <c r="F15" s="107">
        <f t="shared" si="16"/>
        <v>24</v>
      </c>
      <c r="G15" s="107">
        <f t="shared" si="17"/>
        <v>-7</v>
      </c>
      <c r="H15" s="108">
        <v>5354.22</v>
      </c>
      <c r="I15" s="109">
        <f t="shared" si="12"/>
        <v>6000</v>
      </c>
      <c r="J15" s="109">
        <f t="shared" si="18"/>
        <v>-645.78</v>
      </c>
      <c r="K15" s="111">
        <f t="shared" si="6"/>
        <v>0.425</v>
      </c>
      <c r="L15" s="111">
        <v>0.3</v>
      </c>
      <c r="M15" s="111">
        <f t="shared" si="19"/>
        <v>-0.125</v>
      </c>
      <c r="N15" s="109">
        <f t="shared" si="7"/>
        <v>314.9541176</v>
      </c>
      <c r="O15" s="112">
        <v>250.0</v>
      </c>
      <c r="P15" s="109">
        <f t="shared" si="8"/>
        <v>64.95411765</v>
      </c>
      <c r="R15" s="113" t="s">
        <v>51</v>
      </c>
      <c r="S15" s="128">
        <f>B5</f>
        <v>1743</v>
      </c>
    </row>
    <row r="16" outlineLevel="2">
      <c r="A16" s="132">
        <v>45911.0</v>
      </c>
      <c r="B16" s="329">
        <v>47.0</v>
      </c>
      <c r="C16" s="123">
        <v>80.0</v>
      </c>
      <c r="D16" s="123">
        <f t="shared" si="15"/>
        <v>-33</v>
      </c>
      <c r="E16" s="329">
        <v>13.0</v>
      </c>
      <c r="F16" s="123">
        <f t="shared" si="16"/>
        <v>24</v>
      </c>
      <c r="G16" s="123">
        <f t="shared" si="17"/>
        <v>-11</v>
      </c>
      <c r="H16" s="330">
        <v>2187.49</v>
      </c>
      <c r="I16" s="124">
        <f t="shared" si="12"/>
        <v>6000</v>
      </c>
      <c r="J16" s="124">
        <f t="shared" si="18"/>
        <v>-3812.51</v>
      </c>
      <c r="K16" s="125">
        <f t="shared" si="6"/>
        <v>0.2765957447</v>
      </c>
      <c r="L16" s="125">
        <v>0.3</v>
      </c>
      <c r="M16" s="125">
        <f t="shared" si="19"/>
        <v>0.02340425532</v>
      </c>
      <c r="N16" s="124">
        <f t="shared" si="7"/>
        <v>168.2684615</v>
      </c>
      <c r="O16" s="126">
        <v>250.0</v>
      </c>
      <c r="P16" s="124">
        <f t="shared" si="8"/>
        <v>-81.73153846</v>
      </c>
      <c r="R16" s="113" t="s">
        <v>52</v>
      </c>
      <c r="S16" s="128">
        <f>E5</f>
        <v>348</v>
      </c>
    </row>
    <row r="17" outlineLevel="2">
      <c r="A17" s="132">
        <v>45912.0</v>
      </c>
      <c r="B17" s="329">
        <v>55.0</v>
      </c>
      <c r="C17" s="123">
        <v>80.0</v>
      </c>
      <c r="D17" s="123">
        <f t="shared" si="15"/>
        <v>-25</v>
      </c>
      <c r="E17" s="329">
        <v>9.0</v>
      </c>
      <c r="F17" s="123">
        <f t="shared" si="16"/>
        <v>24</v>
      </c>
      <c r="G17" s="123">
        <f t="shared" si="17"/>
        <v>-15</v>
      </c>
      <c r="H17" s="330">
        <v>2188.49</v>
      </c>
      <c r="I17" s="124">
        <f t="shared" si="12"/>
        <v>6000</v>
      </c>
      <c r="J17" s="124">
        <f t="shared" si="18"/>
        <v>-3811.51</v>
      </c>
      <c r="K17" s="125">
        <f t="shared" si="6"/>
        <v>0.1636363636</v>
      </c>
      <c r="L17" s="125">
        <v>0.3</v>
      </c>
      <c r="M17" s="125">
        <f t="shared" si="19"/>
        <v>0.1363636364</v>
      </c>
      <c r="N17" s="124">
        <f t="shared" si="7"/>
        <v>243.1655556</v>
      </c>
      <c r="O17" s="126">
        <v>250.0</v>
      </c>
      <c r="P17" s="124">
        <f t="shared" si="8"/>
        <v>-6.834444444</v>
      </c>
      <c r="R17" s="113" t="s">
        <v>4</v>
      </c>
      <c r="S17" s="119">
        <f>E5/B5</f>
        <v>0.1996557659</v>
      </c>
    </row>
    <row r="18" outlineLevel="2">
      <c r="A18" s="132">
        <v>45913.0</v>
      </c>
      <c r="B18" s="331"/>
      <c r="C18" s="332"/>
      <c r="D18" s="123">
        <f t="shared" si="15"/>
        <v>0</v>
      </c>
      <c r="E18" s="331"/>
      <c r="F18" s="123">
        <f t="shared" si="16"/>
        <v>0</v>
      </c>
      <c r="G18" s="123">
        <f t="shared" si="17"/>
        <v>0</v>
      </c>
      <c r="H18" s="333"/>
      <c r="I18" s="124">
        <f t="shared" si="12"/>
        <v>0</v>
      </c>
      <c r="J18" s="124">
        <f t="shared" si="18"/>
        <v>0</v>
      </c>
      <c r="K18" s="125" t="str">
        <f t="shared" si="6"/>
        <v/>
      </c>
      <c r="L18" s="125">
        <v>0.3</v>
      </c>
      <c r="M18" s="125">
        <f t="shared" si="19"/>
        <v>0.3</v>
      </c>
      <c r="N18" s="124" t="str">
        <f t="shared" si="7"/>
        <v/>
      </c>
      <c r="O18" s="126">
        <v>250.0</v>
      </c>
      <c r="P18" s="124">
        <f t="shared" si="8"/>
        <v>-250</v>
      </c>
      <c r="S18" s="94"/>
    </row>
    <row r="19" outlineLevel="2">
      <c r="A19" s="132">
        <v>45914.0</v>
      </c>
      <c r="B19" s="331"/>
      <c r="C19" s="332"/>
      <c r="D19" s="123">
        <f t="shared" si="15"/>
        <v>0</v>
      </c>
      <c r="E19" s="329"/>
      <c r="F19" s="123">
        <f t="shared" si="16"/>
        <v>0</v>
      </c>
      <c r="G19" s="123">
        <f t="shared" si="17"/>
        <v>0</v>
      </c>
      <c r="H19" s="333"/>
      <c r="I19" s="124">
        <f t="shared" si="12"/>
        <v>0</v>
      </c>
      <c r="J19" s="124">
        <f t="shared" si="18"/>
        <v>0</v>
      </c>
      <c r="K19" s="125" t="str">
        <f t="shared" si="6"/>
        <v/>
      </c>
      <c r="L19" s="125">
        <v>0.3</v>
      </c>
      <c r="M19" s="125">
        <f t="shared" si="19"/>
        <v>0.3</v>
      </c>
      <c r="N19" s="124" t="str">
        <f t="shared" si="7"/>
        <v/>
      </c>
      <c r="O19" s="126">
        <v>250.0</v>
      </c>
      <c r="P19" s="124">
        <f t="shared" si="8"/>
        <v>-250</v>
      </c>
      <c r="S19" s="94"/>
    </row>
    <row r="20" outlineLevel="2">
      <c r="A20" s="132">
        <v>45915.0</v>
      </c>
      <c r="B20" s="329">
        <v>132.0</v>
      </c>
      <c r="C20" s="123">
        <v>80.0</v>
      </c>
      <c r="D20" s="123">
        <f t="shared" si="15"/>
        <v>52</v>
      </c>
      <c r="E20" s="329">
        <v>21.0</v>
      </c>
      <c r="F20" s="123">
        <f t="shared" si="16"/>
        <v>24</v>
      </c>
      <c r="G20" s="123">
        <f t="shared" si="17"/>
        <v>-3</v>
      </c>
      <c r="H20" s="334">
        <v>7423.24</v>
      </c>
      <c r="I20" s="124">
        <f t="shared" si="12"/>
        <v>6000</v>
      </c>
      <c r="J20" s="124">
        <f t="shared" si="18"/>
        <v>1423.24</v>
      </c>
      <c r="K20" s="125">
        <f t="shared" si="6"/>
        <v>0.1590909091</v>
      </c>
      <c r="L20" s="125">
        <v>0.3</v>
      </c>
      <c r="M20" s="125">
        <f t="shared" si="19"/>
        <v>0.1409090909</v>
      </c>
      <c r="N20" s="124">
        <f t="shared" si="7"/>
        <v>353.487619</v>
      </c>
      <c r="O20" s="126">
        <v>250.0</v>
      </c>
      <c r="P20" s="124">
        <f t="shared" si="8"/>
        <v>103.487619</v>
      </c>
      <c r="S20" s="94"/>
    </row>
    <row r="21" outlineLevel="2">
      <c r="A21" s="132">
        <v>45916.0</v>
      </c>
      <c r="B21" s="329">
        <v>71.0</v>
      </c>
      <c r="C21" s="123">
        <v>80.0</v>
      </c>
      <c r="D21" s="123">
        <f t="shared" si="15"/>
        <v>-9</v>
      </c>
      <c r="E21" s="329">
        <v>24.0</v>
      </c>
      <c r="F21" s="123">
        <f t="shared" si="16"/>
        <v>24</v>
      </c>
      <c r="G21" s="123">
        <f t="shared" si="17"/>
        <v>0</v>
      </c>
      <c r="H21" s="334">
        <v>8452.51</v>
      </c>
      <c r="I21" s="124">
        <f t="shared" si="12"/>
        <v>6000</v>
      </c>
      <c r="J21" s="124">
        <f t="shared" si="18"/>
        <v>2452.51</v>
      </c>
      <c r="K21" s="125">
        <f t="shared" si="6"/>
        <v>0.338028169</v>
      </c>
      <c r="L21" s="125">
        <v>0.3</v>
      </c>
      <c r="M21" s="125">
        <f t="shared" si="19"/>
        <v>-0.03802816901</v>
      </c>
      <c r="N21" s="124">
        <f t="shared" si="7"/>
        <v>352.1879167</v>
      </c>
      <c r="O21" s="126">
        <v>250.0</v>
      </c>
      <c r="P21" s="124">
        <f t="shared" si="8"/>
        <v>102.1879167</v>
      </c>
      <c r="S21" s="94"/>
    </row>
    <row r="22" outlineLevel="2">
      <c r="A22" s="132">
        <v>45917.0</v>
      </c>
      <c r="B22" s="329">
        <v>101.0</v>
      </c>
      <c r="C22" s="123">
        <v>80.0</v>
      </c>
      <c r="D22" s="123">
        <f t="shared" si="15"/>
        <v>21</v>
      </c>
      <c r="E22" s="329">
        <v>11.0</v>
      </c>
      <c r="F22" s="123">
        <f t="shared" si="16"/>
        <v>24</v>
      </c>
      <c r="G22" s="123">
        <f t="shared" si="17"/>
        <v>-13</v>
      </c>
      <c r="H22" s="334">
        <v>4245.4</v>
      </c>
      <c r="I22" s="124">
        <f t="shared" si="12"/>
        <v>6000</v>
      </c>
      <c r="J22" s="124">
        <f t="shared" si="18"/>
        <v>-1754.6</v>
      </c>
      <c r="K22" s="125">
        <f t="shared" si="6"/>
        <v>0.1089108911</v>
      </c>
      <c r="L22" s="125">
        <v>0.3</v>
      </c>
      <c r="M22" s="125">
        <f t="shared" si="19"/>
        <v>0.1910891089</v>
      </c>
      <c r="N22" s="124">
        <f t="shared" si="7"/>
        <v>385.9454545</v>
      </c>
      <c r="O22" s="126">
        <v>250.0</v>
      </c>
      <c r="P22" s="124">
        <f t="shared" si="8"/>
        <v>135.9454545</v>
      </c>
      <c r="S22" s="94"/>
    </row>
    <row r="23" outlineLevel="2">
      <c r="A23" s="132">
        <v>45918.0</v>
      </c>
      <c r="B23" s="329">
        <v>125.0</v>
      </c>
      <c r="C23" s="123">
        <v>80.0</v>
      </c>
      <c r="D23" s="123">
        <f t="shared" si="15"/>
        <v>45</v>
      </c>
      <c r="E23" s="329">
        <v>16.0</v>
      </c>
      <c r="F23" s="123">
        <f t="shared" si="16"/>
        <v>24</v>
      </c>
      <c r="G23" s="123">
        <f t="shared" si="17"/>
        <v>-8</v>
      </c>
      <c r="H23" s="334">
        <v>5146.17</v>
      </c>
      <c r="I23" s="124">
        <f t="shared" si="12"/>
        <v>6000</v>
      </c>
      <c r="J23" s="124">
        <f t="shared" si="18"/>
        <v>-853.83</v>
      </c>
      <c r="K23" s="125">
        <f t="shared" si="6"/>
        <v>0.128</v>
      </c>
      <c r="L23" s="125">
        <v>0.3</v>
      </c>
      <c r="M23" s="125">
        <f t="shared" si="19"/>
        <v>0.172</v>
      </c>
      <c r="N23" s="124">
        <f t="shared" si="7"/>
        <v>321.635625</v>
      </c>
      <c r="O23" s="126">
        <v>250.0</v>
      </c>
      <c r="P23" s="124">
        <f t="shared" si="8"/>
        <v>71.635625</v>
      </c>
      <c r="S23" s="94"/>
    </row>
    <row r="24" outlineLevel="2">
      <c r="A24" s="132">
        <v>45919.0</v>
      </c>
      <c r="B24" s="329">
        <v>61.0</v>
      </c>
      <c r="C24" s="123">
        <v>80.0</v>
      </c>
      <c r="D24" s="123">
        <f t="shared" si="15"/>
        <v>-19</v>
      </c>
      <c r="E24" s="329">
        <v>14.0</v>
      </c>
      <c r="F24" s="123">
        <f t="shared" si="16"/>
        <v>24</v>
      </c>
      <c r="G24" s="123">
        <f t="shared" si="17"/>
        <v>-10</v>
      </c>
      <c r="H24" s="334">
        <v>3868.46</v>
      </c>
      <c r="I24" s="124">
        <f t="shared" si="12"/>
        <v>6000</v>
      </c>
      <c r="J24" s="124">
        <f t="shared" si="18"/>
        <v>-2131.54</v>
      </c>
      <c r="K24" s="125">
        <f t="shared" si="6"/>
        <v>0.2295081967</v>
      </c>
      <c r="L24" s="125">
        <v>0.3</v>
      </c>
      <c r="M24" s="125">
        <f t="shared" si="19"/>
        <v>0.07049180328</v>
      </c>
      <c r="N24" s="124">
        <f t="shared" si="7"/>
        <v>276.3185714</v>
      </c>
      <c r="O24" s="126">
        <v>250.0</v>
      </c>
      <c r="P24" s="124">
        <f t="shared" si="8"/>
        <v>26.31857143</v>
      </c>
      <c r="S24" s="94"/>
    </row>
    <row r="25" outlineLevel="2">
      <c r="A25" s="132">
        <v>45920.0</v>
      </c>
      <c r="B25" s="329">
        <v>7.0</v>
      </c>
      <c r="C25" s="332"/>
      <c r="D25" s="123">
        <f t="shared" si="15"/>
        <v>7</v>
      </c>
      <c r="E25" s="329">
        <v>2.0</v>
      </c>
      <c r="F25" s="123">
        <f t="shared" si="16"/>
        <v>0</v>
      </c>
      <c r="G25" s="123">
        <f t="shared" si="17"/>
        <v>2</v>
      </c>
      <c r="H25" s="334">
        <v>238.24</v>
      </c>
      <c r="I25" s="124">
        <f t="shared" si="12"/>
        <v>0</v>
      </c>
      <c r="J25" s="124">
        <f t="shared" si="18"/>
        <v>238.24</v>
      </c>
      <c r="K25" s="125">
        <f t="shared" si="6"/>
        <v>0.2857142857</v>
      </c>
      <c r="L25" s="125">
        <v>0.3</v>
      </c>
      <c r="M25" s="125">
        <f t="shared" si="19"/>
        <v>0.01428571429</v>
      </c>
      <c r="N25" s="124">
        <f t="shared" si="7"/>
        <v>119.12</v>
      </c>
      <c r="O25" s="126">
        <v>250.0</v>
      </c>
      <c r="P25" s="124">
        <f t="shared" si="8"/>
        <v>-130.88</v>
      </c>
      <c r="S25" s="94"/>
    </row>
    <row r="26" outlineLevel="2">
      <c r="A26" s="132">
        <v>45921.0</v>
      </c>
      <c r="B26" s="331"/>
      <c r="C26" s="332"/>
      <c r="D26" s="123">
        <f t="shared" si="15"/>
        <v>0</v>
      </c>
      <c r="E26" s="331"/>
      <c r="F26" s="123">
        <f t="shared" si="16"/>
        <v>0</v>
      </c>
      <c r="G26" s="123">
        <f t="shared" si="17"/>
        <v>0</v>
      </c>
      <c r="H26" s="333"/>
      <c r="I26" s="124">
        <f t="shared" si="12"/>
        <v>0</v>
      </c>
      <c r="J26" s="124">
        <f t="shared" si="18"/>
        <v>0</v>
      </c>
      <c r="K26" s="125" t="str">
        <f t="shared" si="6"/>
        <v/>
      </c>
      <c r="L26" s="125">
        <v>0.3</v>
      </c>
      <c r="M26" s="125">
        <f t="shared" si="19"/>
        <v>0.3</v>
      </c>
      <c r="N26" s="124" t="str">
        <f t="shared" si="7"/>
        <v/>
      </c>
      <c r="O26" s="126">
        <v>250.0</v>
      </c>
      <c r="P26" s="124">
        <f t="shared" si="8"/>
        <v>-250</v>
      </c>
      <c r="S26" s="94"/>
    </row>
    <row r="27" outlineLevel="2">
      <c r="A27" s="132">
        <v>45922.0</v>
      </c>
      <c r="B27" s="329">
        <v>87.0</v>
      </c>
      <c r="C27" s="332"/>
      <c r="D27" s="123">
        <f t="shared" si="15"/>
        <v>87</v>
      </c>
      <c r="E27" s="329">
        <v>11.0</v>
      </c>
      <c r="F27" s="123">
        <f t="shared" si="16"/>
        <v>0</v>
      </c>
      <c r="G27" s="123">
        <f t="shared" si="17"/>
        <v>11</v>
      </c>
      <c r="H27" s="334">
        <v>2812.98</v>
      </c>
      <c r="I27" s="124">
        <f t="shared" si="12"/>
        <v>0</v>
      </c>
      <c r="J27" s="124">
        <f t="shared" si="18"/>
        <v>2812.98</v>
      </c>
      <c r="K27" s="125">
        <f t="shared" si="6"/>
        <v>0.1264367816</v>
      </c>
      <c r="L27" s="125">
        <v>0.3</v>
      </c>
      <c r="M27" s="125">
        <f t="shared" si="19"/>
        <v>0.1735632184</v>
      </c>
      <c r="N27" s="124">
        <f t="shared" si="7"/>
        <v>255.7254545</v>
      </c>
      <c r="O27" s="126">
        <v>250.0</v>
      </c>
      <c r="P27" s="124">
        <f t="shared" si="8"/>
        <v>5.725454545</v>
      </c>
      <c r="S27" s="94"/>
    </row>
    <row r="28" outlineLevel="2">
      <c r="A28" s="132">
        <v>45923.0</v>
      </c>
      <c r="B28" s="329">
        <v>111.0</v>
      </c>
      <c r="C28" s="332"/>
      <c r="D28" s="123">
        <f t="shared" si="15"/>
        <v>111</v>
      </c>
      <c r="E28" s="329">
        <v>16.0</v>
      </c>
      <c r="F28" s="123">
        <f t="shared" si="16"/>
        <v>0</v>
      </c>
      <c r="G28" s="123">
        <f t="shared" si="17"/>
        <v>16</v>
      </c>
      <c r="H28" s="334">
        <v>3654.08</v>
      </c>
      <c r="I28" s="124">
        <f t="shared" si="12"/>
        <v>0</v>
      </c>
      <c r="J28" s="124">
        <f t="shared" si="18"/>
        <v>3654.08</v>
      </c>
      <c r="K28" s="125">
        <f t="shared" si="6"/>
        <v>0.1441441441</v>
      </c>
      <c r="L28" s="125">
        <v>0.3</v>
      </c>
      <c r="M28" s="125">
        <f t="shared" si="19"/>
        <v>0.1558558559</v>
      </c>
      <c r="N28" s="124">
        <f t="shared" si="7"/>
        <v>228.38</v>
      </c>
      <c r="O28" s="126">
        <v>250.0</v>
      </c>
      <c r="P28" s="124">
        <f t="shared" si="8"/>
        <v>-21.62</v>
      </c>
      <c r="S28" s="94"/>
    </row>
    <row r="29" outlineLevel="2">
      <c r="A29" s="132">
        <v>45924.0</v>
      </c>
      <c r="B29" s="329">
        <v>107.0</v>
      </c>
      <c r="C29" s="332"/>
      <c r="D29" s="123">
        <f t="shared" si="15"/>
        <v>107</v>
      </c>
      <c r="E29" s="329">
        <v>15.0</v>
      </c>
      <c r="F29" s="123">
        <f t="shared" si="16"/>
        <v>0</v>
      </c>
      <c r="G29" s="123">
        <f t="shared" si="17"/>
        <v>15</v>
      </c>
      <c r="H29" s="329">
        <v>4850.89</v>
      </c>
      <c r="I29" s="124">
        <f t="shared" si="12"/>
        <v>0</v>
      </c>
      <c r="J29" s="124">
        <f t="shared" si="18"/>
        <v>4850.89</v>
      </c>
      <c r="K29" s="125">
        <f t="shared" si="6"/>
        <v>0.1401869159</v>
      </c>
      <c r="L29" s="125">
        <v>0.3</v>
      </c>
      <c r="M29" s="125">
        <f t="shared" si="19"/>
        <v>0.1598130841</v>
      </c>
      <c r="N29" s="124">
        <f t="shared" si="7"/>
        <v>323.3926667</v>
      </c>
      <c r="O29" s="126">
        <v>250.0</v>
      </c>
      <c r="P29" s="124">
        <f t="shared" si="8"/>
        <v>73.39266667</v>
      </c>
      <c r="S29" s="94"/>
    </row>
    <row r="30" outlineLevel="2">
      <c r="A30" s="132">
        <v>45925.0</v>
      </c>
      <c r="B30" s="329">
        <v>99.0</v>
      </c>
      <c r="C30" s="332"/>
      <c r="D30" s="123">
        <f t="shared" si="15"/>
        <v>99</v>
      </c>
      <c r="E30" s="329">
        <v>16.0</v>
      </c>
      <c r="F30" s="123">
        <f t="shared" si="16"/>
        <v>0</v>
      </c>
      <c r="G30" s="123">
        <f t="shared" si="17"/>
        <v>16</v>
      </c>
      <c r="H30" s="329">
        <v>5321.9</v>
      </c>
      <c r="I30" s="124">
        <f t="shared" si="12"/>
        <v>0</v>
      </c>
      <c r="J30" s="124">
        <f t="shared" si="18"/>
        <v>5321.9</v>
      </c>
      <c r="K30" s="125">
        <f t="shared" si="6"/>
        <v>0.1616161616</v>
      </c>
      <c r="L30" s="125">
        <v>0.3</v>
      </c>
      <c r="M30" s="125">
        <f t="shared" si="19"/>
        <v>0.1383838384</v>
      </c>
      <c r="N30" s="124">
        <f t="shared" si="7"/>
        <v>332.61875</v>
      </c>
      <c r="O30" s="126">
        <v>250.0</v>
      </c>
      <c r="P30" s="124">
        <f t="shared" si="8"/>
        <v>82.61875</v>
      </c>
      <c r="S30" s="94"/>
    </row>
    <row r="31" outlineLevel="2">
      <c r="A31" s="132">
        <v>45926.0</v>
      </c>
      <c r="B31" s="329">
        <v>92.0</v>
      </c>
      <c r="C31" s="332"/>
      <c r="D31" s="123">
        <f t="shared" si="15"/>
        <v>92</v>
      </c>
      <c r="E31" s="329">
        <v>11.0</v>
      </c>
      <c r="F31" s="123">
        <f t="shared" si="16"/>
        <v>0</v>
      </c>
      <c r="G31" s="123">
        <f t="shared" si="17"/>
        <v>11</v>
      </c>
      <c r="H31" s="329">
        <v>4778.03</v>
      </c>
      <c r="I31" s="124">
        <f t="shared" si="12"/>
        <v>0</v>
      </c>
      <c r="J31" s="124">
        <f t="shared" si="18"/>
        <v>4778.03</v>
      </c>
      <c r="K31" s="125">
        <f t="shared" si="6"/>
        <v>0.1195652174</v>
      </c>
      <c r="L31" s="125">
        <v>0.3</v>
      </c>
      <c r="M31" s="125">
        <f t="shared" si="19"/>
        <v>0.1804347826</v>
      </c>
      <c r="N31" s="124">
        <f t="shared" si="7"/>
        <v>434.3663636</v>
      </c>
      <c r="O31" s="126">
        <v>250.0</v>
      </c>
      <c r="P31" s="124">
        <f t="shared" si="8"/>
        <v>184.3663636</v>
      </c>
      <c r="S31" s="94"/>
    </row>
    <row r="32" outlineLevel="2">
      <c r="A32" s="132">
        <v>45927.0</v>
      </c>
      <c r="B32" s="329">
        <v>21.0</v>
      </c>
      <c r="C32" s="332"/>
      <c r="D32" s="123">
        <f t="shared" si="15"/>
        <v>21</v>
      </c>
      <c r="E32" s="329">
        <v>3.0</v>
      </c>
      <c r="F32" s="123">
        <f t="shared" si="16"/>
        <v>0</v>
      </c>
      <c r="G32" s="123">
        <f t="shared" si="17"/>
        <v>3</v>
      </c>
      <c r="H32" s="329">
        <v>616.0</v>
      </c>
      <c r="I32" s="124">
        <f t="shared" si="12"/>
        <v>0</v>
      </c>
      <c r="J32" s="124">
        <f t="shared" si="18"/>
        <v>616</v>
      </c>
      <c r="K32" s="125">
        <f t="shared" si="6"/>
        <v>0.1428571429</v>
      </c>
      <c r="L32" s="125">
        <v>0.3</v>
      </c>
      <c r="M32" s="125">
        <f t="shared" si="19"/>
        <v>0.1571428571</v>
      </c>
      <c r="N32" s="124">
        <f t="shared" si="7"/>
        <v>205.3333333</v>
      </c>
      <c r="O32" s="126">
        <v>250.0</v>
      </c>
      <c r="P32" s="124">
        <f t="shared" si="8"/>
        <v>-44.66666667</v>
      </c>
      <c r="S32" s="94"/>
    </row>
    <row r="33" outlineLevel="2">
      <c r="A33" s="132">
        <v>45928.0</v>
      </c>
      <c r="B33" s="331"/>
      <c r="C33" s="332"/>
      <c r="D33" s="123">
        <f t="shared" si="15"/>
        <v>0</v>
      </c>
      <c r="E33" s="331"/>
      <c r="F33" s="123">
        <f t="shared" si="16"/>
        <v>0</v>
      </c>
      <c r="G33" s="123">
        <f t="shared" si="17"/>
        <v>0</v>
      </c>
      <c r="H33" s="329"/>
      <c r="I33" s="124">
        <f t="shared" si="12"/>
        <v>0</v>
      </c>
      <c r="J33" s="124">
        <f t="shared" si="18"/>
        <v>0</v>
      </c>
      <c r="K33" s="125" t="str">
        <f t="shared" si="6"/>
        <v/>
      </c>
      <c r="L33" s="125">
        <v>0.3</v>
      </c>
      <c r="M33" s="125">
        <f t="shared" si="19"/>
        <v>0.3</v>
      </c>
      <c r="N33" s="124" t="str">
        <f t="shared" si="7"/>
        <v/>
      </c>
      <c r="O33" s="126">
        <v>250.0</v>
      </c>
      <c r="P33" s="124">
        <f t="shared" si="8"/>
        <v>-250</v>
      </c>
      <c r="S33" s="94"/>
    </row>
    <row r="34" outlineLevel="2">
      <c r="A34" s="132">
        <v>45929.0</v>
      </c>
      <c r="B34" s="329">
        <v>61.0</v>
      </c>
      <c r="C34" s="332"/>
      <c r="D34" s="123">
        <f t="shared" si="15"/>
        <v>61</v>
      </c>
      <c r="E34" s="329">
        <v>7.0</v>
      </c>
      <c r="F34" s="123">
        <f t="shared" si="16"/>
        <v>0</v>
      </c>
      <c r="G34" s="123">
        <f t="shared" si="17"/>
        <v>7</v>
      </c>
      <c r="H34" s="329">
        <v>2739.1</v>
      </c>
      <c r="I34" s="124">
        <f t="shared" si="12"/>
        <v>0</v>
      </c>
      <c r="J34" s="124">
        <f t="shared" si="18"/>
        <v>2739.1</v>
      </c>
      <c r="K34" s="125">
        <f t="shared" si="6"/>
        <v>0.1147540984</v>
      </c>
      <c r="L34" s="125">
        <v>0.3</v>
      </c>
      <c r="M34" s="125">
        <f t="shared" si="19"/>
        <v>0.1852459016</v>
      </c>
      <c r="N34" s="124">
        <f t="shared" si="7"/>
        <v>391.3</v>
      </c>
      <c r="O34" s="126">
        <v>250.0</v>
      </c>
      <c r="P34" s="124">
        <f t="shared" si="8"/>
        <v>141.3</v>
      </c>
      <c r="S34" s="94"/>
    </row>
    <row r="35" outlineLevel="2">
      <c r="A35" s="132">
        <v>45930.0</v>
      </c>
      <c r="B35" s="329">
        <v>72.0</v>
      </c>
      <c r="C35" s="332"/>
      <c r="D35" s="123">
        <f t="shared" si="15"/>
        <v>72</v>
      </c>
      <c r="E35" s="329">
        <v>11.0</v>
      </c>
      <c r="F35" s="123">
        <f t="shared" si="16"/>
        <v>0</v>
      </c>
      <c r="G35" s="123">
        <f t="shared" si="17"/>
        <v>11</v>
      </c>
      <c r="H35" s="329">
        <v>3297.58</v>
      </c>
      <c r="I35" s="124">
        <f t="shared" si="12"/>
        <v>0</v>
      </c>
      <c r="J35" s="124">
        <f t="shared" si="18"/>
        <v>3297.58</v>
      </c>
      <c r="K35" s="125">
        <f t="shared" si="6"/>
        <v>0.1527777778</v>
      </c>
      <c r="L35" s="125">
        <v>0.3</v>
      </c>
      <c r="M35" s="125">
        <f t="shared" si="19"/>
        <v>0.1472222222</v>
      </c>
      <c r="N35" s="124">
        <f t="shared" si="7"/>
        <v>299.78</v>
      </c>
      <c r="O35" s="126">
        <v>250.0</v>
      </c>
      <c r="P35" s="124">
        <f t="shared" si="8"/>
        <v>49.78</v>
      </c>
      <c r="S35" s="94"/>
    </row>
    <row r="36" outlineLevel="1" collapsed="1">
      <c r="A36" s="100" t="s">
        <v>132</v>
      </c>
      <c r="B36" s="335">
        <f t="shared" ref="B36:J36" si="20">SUM(B37:B66)</f>
        <v>691</v>
      </c>
      <c r="C36" s="335">
        <f t="shared" si="20"/>
        <v>240</v>
      </c>
      <c r="D36" s="335">
        <f t="shared" si="20"/>
        <v>451</v>
      </c>
      <c r="E36" s="335">
        <f t="shared" si="20"/>
        <v>221</v>
      </c>
      <c r="F36" s="335">
        <f t="shared" si="20"/>
        <v>72</v>
      </c>
      <c r="G36" s="335">
        <f t="shared" si="20"/>
        <v>149</v>
      </c>
      <c r="H36" s="336">
        <f t="shared" si="20"/>
        <v>54137.08</v>
      </c>
      <c r="I36" s="336">
        <f t="shared" si="20"/>
        <v>18000</v>
      </c>
      <c r="J36" s="336">
        <f t="shared" si="20"/>
        <v>36137.08</v>
      </c>
      <c r="K36" s="110">
        <f t="shared" si="6"/>
        <v>0.3198263386</v>
      </c>
      <c r="L36" s="110">
        <v>0.3</v>
      </c>
      <c r="M36" s="110">
        <f>K36-L36</f>
        <v>0.01982633864</v>
      </c>
      <c r="N36" s="336">
        <f>H36/E36</f>
        <v>244.9641629</v>
      </c>
      <c r="O36" s="327">
        <v>250.0</v>
      </c>
      <c r="P36" s="326">
        <f t="shared" si="8"/>
        <v>-5.035837104</v>
      </c>
      <c r="S36" s="94"/>
    </row>
    <row r="37" hidden="1" outlineLevel="3">
      <c r="A37" s="132">
        <v>45901.0</v>
      </c>
      <c r="B37" s="329">
        <v>0.0</v>
      </c>
      <c r="C37" s="123"/>
      <c r="D37" s="123">
        <f t="shared" ref="D37:D42" si="21">B37-C37</f>
        <v>0</v>
      </c>
      <c r="E37" s="329">
        <v>0.0</v>
      </c>
      <c r="F37" s="123">
        <f t="shared" ref="F37:F42" si="22">C37*30%</f>
        <v>0</v>
      </c>
      <c r="G37" s="123">
        <f t="shared" ref="G37:G42" si="23">E37-F37</f>
        <v>0</v>
      </c>
      <c r="H37" s="330">
        <v>0.0</v>
      </c>
      <c r="I37" s="124"/>
      <c r="J37" s="124">
        <f t="shared" ref="J37:J42" si="24">H37-I37</f>
        <v>0</v>
      </c>
      <c r="K37" s="125" t="str">
        <f t="shared" si="6"/>
        <v/>
      </c>
      <c r="L37" s="125">
        <v>0.3</v>
      </c>
      <c r="M37" s="125">
        <f t="shared" ref="M37:M42" si="25">L37-K37</f>
        <v>0.3</v>
      </c>
      <c r="N37" s="124" t="str">
        <f t="shared" ref="N37:N97" si="26">IFERROR(H37/E37,"")</f>
        <v/>
      </c>
      <c r="O37" s="126">
        <v>250.0</v>
      </c>
      <c r="P37" s="124">
        <f t="shared" si="8"/>
        <v>-250</v>
      </c>
    </row>
    <row r="38" hidden="1" outlineLevel="3">
      <c r="A38" s="132">
        <v>45902.0</v>
      </c>
      <c r="B38" s="329">
        <v>0.0</v>
      </c>
      <c r="C38" s="123"/>
      <c r="D38" s="123">
        <f t="shared" si="21"/>
        <v>0</v>
      </c>
      <c r="E38" s="329">
        <v>0.0</v>
      </c>
      <c r="F38" s="123">
        <f t="shared" si="22"/>
        <v>0</v>
      </c>
      <c r="G38" s="123">
        <f t="shared" si="23"/>
        <v>0</v>
      </c>
      <c r="H38" s="330">
        <v>0.0</v>
      </c>
      <c r="I38" s="124"/>
      <c r="J38" s="124">
        <f t="shared" si="24"/>
        <v>0</v>
      </c>
      <c r="K38" s="125" t="str">
        <f t="shared" si="6"/>
        <v/>
      </c>
      <c r="L38" s="125">
        <v>0.3</v>
      </c>
      <c r="M38" s="125">
        <f t="shared" si="25"/>
        <v>0.3</v>
      </c>
      <c r="N38" s="124" t="str">
        <f t="shared" si="26"/>
        <v/>
      </c>
      <c r="O38" s="126">
        <v>250.0</v>
      </c>
      <c r="P38" s="124">
        <f t="shared" si="8"/>
        <v>-250</v>
      </c>
    </row>
    <row r="39" hidden="1" outlineLevel="3">
      <c r="A39" s="132">
        <v>45903.0</v>
      </c>
      <c r="B39" s="329">
        <v>0.0</v>
      </c>
      <c r="C39" s="123"/>
      <c r="D39" s="123">
        <f t="shared" si="21"/>
        <v>0</v>
      </c>
      <c r="E39" s="329">
        <v>0.0</v>
      </c>
      <c r="F39" s="123">
        <f t="shared" si="22"/>
        <v>0</v>
      </c>
      <c r="G39" s="123">
        <f t="shared" si="23"/>
        <v>0</v>
      </c>
      <c r="H39" s="330">
        <v>0.0</v>
      </c>
      <c r="I39" s="124"/>
      <c r="J39" s="124">
        <f t="shared" si="24"/>
        <v>0</v>
      </c>
      <c r="K39" s="125" t="str">
        <f t="shared" si="6"/>
        <v/>
      </c>
      <c r="L39" s="125">
        <v>0.3</v>
      </c>
      <c r="M39" s="125">
        <f t="shared" si="25"/>
        <v>0.3</v>
      </c>
      <c r="N39" s="124" t="str">
        <f t="shared" si="26"/>
        <v/>
      </c>
      <c r="O39" s="126">
        <v>250.0</v>
      </c>
      <c r="P39" s="124">
        <f t="shared" si="8"/>
        <v>-250</v>
      </c>
    </row>
    <row r="40" hidden="1" outlineLevel="3">
      <c r="A40" s="132">
        <v>45904.0</v>
      </c>
      <c r="B40" s="329">
        <v>0.0</v>
      </c>
      <c r="C40" s="123"/>
      <c r="D40" s="123">
        <f t="shared" si="21"/>
        <v>0</v>
      </c>
      <c r="E40" s="329">
        <v>0.0</v>
      </c>
      <c r="F40" s="123">
        <f t="shared" si="22"/>
        <v>0</v>
      </c>
      <c r="G40" s="123">
        <f t="shared" si="23"/>
        <v>0</v>
      </c>
      <c r="H40" s="330">
        <v>0.0</v>
      </c>
      <c r="I40" s="124"/>
      <c r="J40" s="124">
        <f t="shared" si="24"/>
        <v>0</v>
      </c>
      <c r="K40" s="125" t="str">
        <f t="shared" si="6"/>
        <v/>
      </c>
      <c r="L40" s="125">
        <v>0.3</v>
      </c>
      <c r="M40" s="125">
        <f t="shared" si="25"/>
        <v>0.3</v>
      </c>
      <c r="N40" s="124" t="str">
        <f t="shared" si="26"/>
        <v/>
      </c>
      <c r="O40" s="126">
        <v>250.0</v>
      </c>
      <c r="P40" s="124">
        <f t="shared" si="8"/>
        <v>-250</v>
      </c>
    </row>
    <row r="41" hidden="1" outlineLevel="3">
      <c r="A41" s="132">
        <v>45905.0</v>
      </c>
      <c r="B41" s="329">
        <v>0.0</v>
      </c>
      <c r="C41" s="123"/>
      <c r="D41" s="123">
        <f t="shared" si="21"/>
        <v>0</v>
      </c>
      <c r="E41" s="329">
        <v>0.0</v>
      </c>
      <c r="F41" s="123">
        <f t="shared" si="22"/>
        <v>0</v>
      </c>
      <c r="G41" s="123">
        <f t="shared" si="23"/>
        <v>0</v>
      </c>
      <c r="H41" s="330">
        <v>0.0</v>
      </c>
      <c r="I41" s="124"/>
      <c r="J41" s="124">
        <f t="shared" si="24"/>
        <v>0</v>
      </c>
      <c r="K41" s="125" t="str">
        <f t="shared" si="6"/>
        <v/>
      </c>
      <c r="L41" s="125">
        <v>0.3</v>
      </c>
      <c r="M41" s="125">
        <f t="shared" si="25"/>
        <v>0.3</v>
      </c>
      <c r="N41" s="124" t="str">
        <f t="shared" si="26"/>
        <v/>
      </c>
      <c r="O41" s="126">
        <v>250.0</v>
      </c>
      <c r="P41" s="124">
        <f t="shared" si="8"/>
        <v>-250</v>
      </c>
    </row>
    <row r="42" hidden="1" outlineLevel="3">
      <c r="A42" s="132">
        <v>45906.0</v>
      </c>
      <c r="B42" s="329">
        <v>0.0</v>
      </c>
      <c r="C42" s="123"/>
      <c r="D42" s="123">
        <f t="shared" si="21"/>
        <v>0</v>
      </c>
      <c r="E42" s="329">
        <v>0.0</v>
      </c>
      <c r="F42" s="123">
        <f t="shared" si="22"/>
        <v>0</v>
      </c>
      <c r="G42" s="123">
        <f t="shared" si="23"/>
        <v>0</v>
      </c>
      <c r="H42" s="330">
        <v>0.0</v>
      </c>
      <c r="I42" s="124"/>
      <c r="J42" s="124">
        <f t="shared" si="24"/>
        <v>0</v>
      </c>
      <c r="K42" s="125" t="str">
        <f t="shared" si="6"/>
        <v/>
      </c>
      <c r="L42" s="125">
        <v>0.3</v>
      </c>
      <c r="M42" s="125">
        <f t="shared" si="25"/>
        <v>0.3</v>
      </c>
      <c r="N42" s="124" t="str">
        <f t="shared" si="26"/>
        <v/>
      </c>
      <c r="O42" s="126">
        <v>250.0</v>
      </c>
      <c r="P42" s="124">
        <f t="shared" si="8"/>
        <v>-250</v>
      </c>
    </row>
    <row r="43" hidden="1" outlineLevel="3">
      <c r="A43" s="132">
        <v>45907.0</v>
      </c>
      <c r="B43" s="329">
        <v>0.0</v>
      </c>
      <c r="C43" s="123"/>
      <c r="D43" s="123"/>
      <c r="E43" s="329">
        <v>0.0</v>
      </c>
      <c r="F43" s="123"/>
      <c r="G43" s="123"/>
      <c r="H43" s="330">
        <v>0.0</v>
      </c>
      <c r="I43" s="124"/>
      <c r="J43" s="124"/>
      <c r="K43" s="125" t="str">
        <f t="shared" si="6"/>
        <v/>
      </c>
      <c r="L43" s="125"/>
      <c r="M43" s="129"/>
      <c r="N43" s="124" t="str">
        <f t="shared" si="26"/>
        <v/>
      </c>
      <c r="O43" s="126"/>
      <c r="P43" s="124">
        <f t="shared" si="8"/>
        <v>0</v>
      </c>
    </row>
    <row r="44" hidden="1" outlineLevel="3">
      <c r="A44" s="132">
        <v>45908.0</v>
      </c>
      <c r="B44" s="329">
        <v>0.0</v>
      </c>
      <c r="C44" s="123"/>
      <c r="D44" s="123">
        <f t="shared" ref="D44:D66" si="27">B44-C44</f>
        <v>0</v>
      </c>
      <c r="E44" s="329">
        <v>0.0</v>
      </c>
      <c r="F44" s="123">
        <f t="shared" ref="F44:F66" si="28">C44*30%</f>
        <v>0</v>
      </c>
      <c r="G44" s="123">
        <f t="shared" ref="G44:G66" si="29">E44-F44</f>
        <v>0</v>
      </c>
      <c r="H44" s="330">
        <v>0.0</v>
      </c>
      <c r="I44" s="124"/>
      <c r="J44" s="124">
        <f t="shared" ref="J44:J66" si="30">H44-I44</f>
        <v>0</v>
      </c>
      <c r="K44" s="125" t="str">
        <f t="shared" si="6"/>
        <v/>
      </c>
      <c r="L44" s="125">
        <v>0.3</v>
      </c>
      <c r="M44" s="125">
        <f t="shared" ref="M44:M66" si="31">L44-K44</f>
        <v>0.3</v>
      </c>
      <c r="N44" s="124" t="str">
        <f t="shared" si="26"/>
        <v/>
      </c>
      <c r="O44" s="126">
        <v>250.0</v>
      </c>
      <c r="P44" s="124">
        <f t="shared" si="8"/>
        <v>-250</v>
      </c>
    </row>
    <row r="45" hidden="1" outlineLevel="3">
      <c r="A45" s="132">
        <v>45909.0</v>
      </c>
      <c r="B45" s="329">
        <v>0.0</v>
      </c>
      <c r="C45" s="123"/>
      <c r="D45" s="123">
        <f t="shared" si="27"/>
        <v>0</v>
      </c>
      <c r="E45" s="329">
        <v>0.0</v>
      </c>
      <c r="F45" s="123">
        <f t="shared" si="28"/>
        <v>0</v>
      </c>
      <c r="G45" s="123">
        <f t="shared" si="29"/>
        <v>0</v>
      </c>
      <c r="H45" s="330">
        <v>0.0</v>
      </c>
      <c r="I45" s="124"/>
      <c r="J45" s="124">
        <f t="shared" si="30"/>
        <v>0</v>
      </c>
      <c r="K45" s="125" t="str">
        <f t="shared" si="6"/>
        <v/>
      </c>
      <c r="L45" s="125">
        <v>0.3</v>
      </c>
      <c r="M45" s="125">
        <f t="shared" si="31"/>
        <v>0.3</v>
      </c>
      <c r="N45" s="124" t="str">
        <f t="shared" si="26"/>
        <v/>
      </c>
      <c r="O45" s="126">
        <v>250.0</v>
      </c>
      <c r="P45" s="124">
        <f t="shared" si="8"/>
        <v>-250</v>
      </c>
    </row>
    <row r="46" hidden="1" outlineLevel="2">
      <c r="A46" s="132">
        <v>45910.0</v>
      </c>
      <c r="B46" s="329">
        <v>8.0</v>
      </c>
      <c r="C46" s="123">
        <v>80.0</v>
      </c>
      <c r="D46" s="123">
        <f t="shared" si="27"/>
        <v>-72</v>
      </c>
      <c r="E46" s="329">
        <v>4.0</v>
      </c>
      <c r="F46" s="123">
        <f t="shared" si="28"/>
        <v>24</v>
      </c>
      <c r="G46" s="123">
        <f t="shared" si="29"/>
        <v>-20</v>
      </c>
      <c r="H46" s="330">
        <v>1054.9</v>
      </c>
      <c r="I46" s="124">
        <f t="shared" ref="I46:I66" si="32">F46*O46</f>
        <v>6000</v>
      </c>
      <c r="J46" s="124">
        <f t="shared" si="30"/>
        <v>-4945.1</v>
      </c>
      <c r="K46" s="125">
        <f t="shared" si="6"/>
        <v>0.5</v>
      </c>
      <c r="L46" s="125">
        <v>0.3</v>
      </c>
      <c r="M46" s="125">
        <f t="shared" si="31"/>
        <v>-0.2</v>
      </c>
      <c r="N46" s="124">
        <f t="shared" si="26"/>
        <v>263.725</v>
      </c>
      <c r="O46" s="126">
        <v>250.0</v>
      </c>
      <c r="P46" s="124">
        <f t="shared" si="8"/>
        <v>13.725</v>
      </c>
    </row>
    <row r="47" hidden="1" outlineLevel="2">
      <c r="A47" s="132">
        <v>45911.0</v>
      </c>
      <c r="B47" s="329">
        <v>17.0</v>
      </c>
      <c r="C47" s="123">
        <v>80.0</v>
      </c>
      <c r="D47" s="123">
        <f t="shared" si="27"/>
        <v>-63</v>
      </c>
      <c r="E47" s="329">
        <v>8.0</v>
      </c>
      <c r="F47" s="123">
        <f t="shared" si="28"/>
        <v>24</v>
      </c>
      <c r="G47" s="123">
        <f t="shared" si="29"/>
        <v>-16</v>
      </c>
      <c r="H47" s="330">
        <v>1001.79</v>
      </c>
      <c r="I47" s="124">
        <f t="shared" si="32"/>
        <v>6000</v>
      </c>
      <c r="J47" s="124">
        <f t="shared" si="30"/>
        <v>-4998.21</v>
      </c>
      <c r="K47" s="125">
        <f t="shared" si="6"/>
        <v>0.4705882353</v>
      </c>
      <c r="L47" s="125">
        <v>0.3</v>
      </c>
      <c r="M47" s="125">
        <f t="shared" si="31"/>
        <v>-0.1705882353</v>
      </c>
      <c r="N47" s="124">
        <f t="shared" si="26"/>
        <v>125.22375</v>
      </c>
      <c r="O47" s="126">
        <v>250.0</v>
      </c>
      <c r="P47" s="124">
        <f t="shared" si="8"/>
        <v>-124.77625</v>
      </c>
    </row>
    <row r="48" hidden="1" outlineLevel="2">
      <c r="A48" s="132">
        <v>45912.0</v>
      </c>
      <c r="B48" s="329">
        <v>91.0</v>
      </c>
      <c r="C48" s="123">
        <v>80.0</v>
      </c>
      <c r="D48" s="123">
        <f t="shared" si="27"/>
        <v>11</v>
      </c>
      <c r="E48" s="329">
        <v>8.0</v>
      </c>
      <c r="F48" s="123">
        <f t="shared" si="28"/>
        <v>24</v>
      </c>
      <c r="G48" s="123">
        <f t="shared" si="29"/>
        <v>-16</v>
      </c>
      <c r="H48" s="330">
        <v>1146.44</v>
      </c>
      <c r="I48" s="124">
        <f t="shared" si="32"/>
        <v>6000</v>
      </c>
      <c r="J48" s="124">
        <f t="shared" si="30"/>
        <v>-4853.56</v>
      </c>
      <c r="K48" s="125">
        <f t="shared" si="6"/>
        <v>0.08791208791</v>
      </c>
      <c r="L48" s="125">
        <v>0.3</v>
      </c>
      <c r="M48" s="125">
        <f t="shared" si="31"/>
        <v>0.2120879121</v>
      </c>
      <c r="N48" s="124">
        <f t="shared" si="26"/>
        <v>143.305</v>
      </c>
      <c r="O48" s="126">
        <v>250.0</v>
      </c>
      <c r="P48" s="124">
        <f t="shared" si="8"/>
        <v>-106.695</v>
      </c>
    </row>
    <row r="49" hidden="1" outlineLevel="2">
      <c r="A49" s="132">
        <v>45913.0</v>
      </c>
      <c r="B49" s="329">
        <v>57.0</v>
      </c>
      <c r="C49" s="332"/>
      <c r="D49" s="123">
        <f t="shared" si="27"/>
        <v>57</v>
      </c>
      <c r="E49" s="329">
        <v>3.0</v>
      </c>
      <c r="F49" s="123">
        <f t="shared" si="28"/>
        <v>0</v>
      </c>
      <c r="G49" s="123">
        <f t="shared" si="29"/>
        <v>3</v>
      </c>
      <c r="H49" s="329">
        <v>350.17</v>
      </c>
      <c r="I49" s="124">
        <f t="shared" si="32"/>
        <v>0</v>
      </c>
      <c r="J49" s="124">
        <f t="shared" si="30"/>
        <v>350.17</v>
      </c>
      <c r="K49" s="125">
        <f t="shared" si="6"/>
        <v>0.05263157895</v>
      </c>
      <c r="L49" s="125">
        <v>0.3</v>
      </c>
      <c r="M49" s="125">
        <f t="shared" si="31"/>
        <v>0.2473684211</v>
      </c>
      <c r="N49" s="124">
        <f t="shared" si="26"/>
        <v>116.7233333</v>
      </c>
      <c r="O49" s="126">
        <v>250.0</v>
      </c>
      <c r="P49" s="124">
        <f t="shared" si="8"/>
        <v>-133.2766667</v>
      </c>
      <c r="S49" s="94"/>
    </row>
    <row r="50" hidden="1" outlineLevel="2">
      <c r="A50" s="132">
        <v>45914.0</v>
      </c>
      <c r="B50" s="331"/>
      <c r="C50" s="332"/>
      <c r="D50" s="123">
        <f t="shared" si="27"/>
        <v>0</v>
      </c>
      <c r="E50" s="329"/>
      <c r="F50" s="123">
        <f t="shared" si="28"/>
        <v>0</v>
      </c>
      <c r="G50" s="123">
        <f t="shared" si="29"/>
        <v>0</v>
      </c>
      <c r="H50" s="331"/>
      <c r="I50" s="124">
        <f t="shared" si="32"/>
        <v>0</v>
      </c>
      <c r="J50" s="124">
        <f t="shared" si="30"/>
        <v>0</v>
      </c>
      <c r="K50" s="125" t="str">
        <f t="shared" si="6"/>
        <v/>
      </c>
      <c r="L50" s="125">
        <v>0.3</v>
      </c>
      <c r="M50" s="125">
        <f t="shared" si="31"/>
        <v>0.3</v>
      </c>
      <c r="N50" s="124" t="str">
        <f t="shared" si="26"/>
        <v/>
      </c>
      <c r="O50" s="126">
        <v>250.0</v>
      </c>
      <c r="P50" s="124">
        <f t="shared" si="8"/>
        <v>-250</v>
      </c>
      <c r="S50" s="94"/>
    </row>
    <row r="51" hidden="1" outlineLevel="2">
      <c r="A51" s="132">
        <v>45915.0</v>
      </c>
      <c r="B51" s="329">
        <v>25.0</v>
      </c>
      <c r="C51" s="332"/>
      <c r="D51" s="123">
        <f t="shared" si="27"/>
        <v>25</v>
      </c>
      <c r="E51" s="329">
        <v>17.0</v>
      </c>
      <c r="F51" s="123">
        <f t="shared" si="28"/>
        <v>0</v>
      </c>
      <c r="G51" s="123">
        <f t="shared" si="29"/>
        <v>17</v>
      </c>
      <c r="H51" s="334">
        <v>4571.98</v>
      </c>
      <c r="I51" s="124">
        <f t="shared" si="32"/>
        <v>0</v>
      </c>
      <c r="J51" s="124">
        <f t="shared" si="30"/>
        <v>4571.98</v>
      </c>
      <c r="K51" s="125">
        <f t="shared" si="6"/>
        <v>0.68</v>
      </c>
      <c r="L51" s="125">
        <v>0.3</v>
      </c>
      <c r="M51" s="125">
        <f t="shared" si="31"/>
        <v>-0.38</v>
      </c>
      <c r="N51" s="124">
        <f t="shared" si="26"/>
        <v>268.94</v>
      </c>
      <c r="O51" s="126">
        <v>250.0</v>
      </c>
      <c r="P51" s="124">
        <f t="shared" si="8"/>
        <v>18.94</v>
      </c>
      <c r="S51" s="94"/>
    </row>
    <row r="52" hidden="1" outlineLevel="2">
      <c r="A52" s="132">
        <v>45916.0</v>
      </c>
      <c r="B52" s="329">
        <v>26.0</v>
      </c>
      <c r="C52" s="332"/>
      <c r="D52" s="123">
        <f t="shared" si="27"/>
        <v>26</v>
      </c>
      <c r="E52" s="329">
        <v>18.0</v>
      </c>
      <c r="F52" s="123">
        <f t="shared" si="28"/>
        <v>0</v>
      </c>
      <c r="G52" s="123">
        <f t="shared" si="29"/>
        <v>18</v>
      </c>
      <c r="H52" s="334">
        <v>5215.28</v>
      </c>
      <c r="I52" s="124">
        <f t="shared" si="32"/>
        <v>0</v>
      </c>
      <c r="J52" s="124">
        <f t="shared" si="30"/>
        <v>5215.28</v>
      </c>
      <c r="K52" s="125">
        <f t="shared" si="6"/>
        <v>0.6923076923</v>
      </c>
      <c r="L52" s="125">
        <v>0.3</v>
      </c>
      <c r="M52" s="125">
        <f t="shared" si="31"/>
        <v>-0.3923076923</v>
      </c>
      <c r="N52" s="124">
        <f t="shared" si="26"/>
        <v>289.7377778</v>
      </c>
      <c r="O52" s="126">
        <v>250.0</v>
      </c>
      <c r="P52" s="124">
        <f t="shared" si="8"/>
        <v>39.73777778</v>
      </c>
      <c r="S52" s="94"/>
    </row>
    <row r="53" hidden="1" outlineLevel="2">
      <c r="A53" s="132">
        <v>45917.0</v>
      </c>
      <c r="B53" s="329">
        <v>68.0</v>
      </c>
      <c r="C53" s="332"/>
      <c r="D53" s="123">
        <f t="shared" si="27"/>
        <v>68</v>
      </c>
      <c r="E53" s="329">
        <v>20.0</v>
      </c>
      <c r="F53" s="123">
        <f t="shared" si="28"/>
        <v>0</v>
      </c>
      <c r="G53" s="123">
        <f t="shared" si="29"/>
        <v>20</v>
      </c>
      <c r="H53" s="334">
        <v>3936.36</v>
      </c>
      <c r="I53" s="124">
        <f t="shared" si="32"/>
        <v>0</v>
      </c>
      <c r="J53" s="124">
        <f t="shared" si="30"/>
        <v>3936.36</v>
      </c>
      <c r="K53" s="125">
        <f t="shared" si="6"/>
        <v>0.2941176471</v>
      </c>
      <c r="L53" s="125">
        <v>0.3</v>
      </c>
      <c r="M53" s="125">
        <f t="shared" si="31"/>
        <v>0.005882352941</v>
      </c>
      <c r="N53" s="124">
        <f t="shared" si="26"/>
        <v>196.818</v>
      </c>
      <c r="O53" s="126">
        <v>250.0</v>
      </c>
      <c r="P53" s="124">
        <f t="shared" si="8"/>
        <v>-53.182</v>
      </c>
      <c r="R53" s="115" t="s">
        <v>131</v>
      </c>
    </row>
    <row r="54" hidden="1" outlineLevel="2">
      <c r="A54" s="132">
        <v>45918.0</v>
      </c>
      <c r="B54" s="329">
        <v>26.0</v>
      </c>
      <c r="C54" s="332"/>
      <c r="D54" s="123">
        <f t="shared" si="27"/>
        <v>26</v>
      </c>
      <c r="E54" s="329">
        <v>14.0</v>
      </c>
      <c r="F54" s="123">
        <f t="shared" si="28"/>
        <v>0</v>
      </c>
      <c r="G54" s="123">
        <f t="shared" si="29"/>
        <v>14</v>
      </c>
      <c r="H54" s="334">
        <v>5266.28</v>
      </c>
      <c r="I54" s="124">
        <f t="shared" si="32"/>
        <v>0</v>
      </c>
      <c r="J54" s="124">
        <f t="shared" si="30"/>
        <v>5266.28</v>
      </c>
      <c r="K54" s="125">
        <f t="shared" si="6"/>
        <v>0.5384615385</v>
      </c>
      <c r="L54" s="125">
        <v>0.3</v>
      </c>
      <c r="M54" s="125">
        <f t="shared" si="31"/>
        <v>-0.2384615385</v>
      </c>
      <c r="N54" s="124">
        <f t="shared" si="26"/>
        <v>376.1628571</v>
      </c>
      <c r="O54" s="126">
        <v>250.0</v>
      </c>
      <c r="P54" s="124">
        <f t="shared" si="8"/>
        <v>126.1628571</v>
      </c>
      <c r="R54" s="113" t="s">
        <v>8</v>
      </c>
      <c r="S54" s="116">
        <v>40000.0</v>
      </c>
    </row>
    <row r="55" hidden="1" outlineLevel="2">
      <c r="A55" s="132">
        <v>45919.0</v>
      </c>
      <c r="B55" s="329">
        <v>15.0</v>
      </c>
      <c r="C55" s="332"/>
      <c r="D55" s="123">
        <f t="shared" si="27"/>
        <v>15</v>
      </c>
      <c r="E55" s="329">
        <v>17.0</v>
      </c>
      <c r="F55" s="123">
        <f t="shared" si="28"/>
        <v>0</v>
      </c>
      <c r="G55" s="123">
        <f t="shared" si="29"/>
        <v>17</v>
      </c>
      <c r="H55" s="334">
        <v>3043.75</v>
      </c>
      <c r="I55" s="124">
        <f t="shared" si="32"/>
        <v>0</v>
      </c>
      <c r="J55" s="124">
        <f t="shared" si="30"/>
        <v>3043.75</v>
      </c>
      <c r="K55" s="125">
        <f t="shared" si="6"/>
        <v>1.133333333</v>
      </c>
      <c r="L55" s="125">
        <v>0.3</v>
      </c>
      <c r="M55" s="125">
        <f t="shared" si="31"/>
        <v>-0.8333333333</v>
      </c>
      <c r="N55" s="124">
        <f t="shared" si="26"/>
        <v>179.0441176</v>
      </c>
      <c r="O55" s="126">
        <v>250.0</v>
      </c>
      <c r="P55" s="124">
        <f t="shared" si="8"/>
        <v>-70.95588235</v>
      </c>
      <c r="R55" s="113" t="s">
        <v>45</v>
      </c>
      <c r="S55" s="117">
        <f>S54/30</f>
        <v>1333.333333</v>
      </c>
    </row>
    <row r="56" hidden="1" outlineLevel="2">
      <c r="A56" s="132">
        <v>45920.0</v>
      </c>
      <c r="B56" s="329">
        <v>7.0</v>
      </c>
      <c r="C56" s="332"/>
      <c r="D56" s="123">
        <f t="shared" si="27"/>
        <v>7</v>
      </c>
      <c r="E56" s="329">
        <v>8.0</v>
      </c>
      <c r="F56" s="123">
        <f t="shared" si="28"/>
        <v>0</v>
      </c>
      <c r="G56" s="123">
        <f t="shared" si="29"/>
        <v>8</v>
      </c>
      <c r="H56" s="334">
        <v>1903.56</v>
      </c>
      <c r="I56" s="124">
        <f t="shared" si="32"/>
        <v>0</v>
      </c>
      <c r="J56" s="124">
        <f t="shared" si="30"/>
        <v>1903.56</v>
      </c>
      <c r="K56" s="125">
        <f t="shared" si="6"/>
        <v>1.142857143</v>
      </c>
      <c r="L56" s="125">
        <v>0.3</v>
      </c>
      <c r="M56" s="125">
        <f t="shared" si="31"/>
        <v>-0.8428571429</v>
      </c>
      <c r="N56" s="124">
        <f t="shared" si="26"/>
        <v>237.945</v>
      </c>
      <c r="O56" s="126">
        <v>250.0</v>
      </c>
      <c r="P56" s="124">
        <f t="shared" si="8"/>
        <v>-12.055</v>
      </c>
      <c r="R56" s="113" t="s">
        <v>46</v>
      </c>
      <c r="S56" s="117">
        <f>S54/22</f>
        <v>1818.181818</v>
      </c>
    </row>
    <row r="57" hidden="1" outlineLevel="2">
      <c r="A57" s="132">
        <v>45921.0</v>
      </c>
      <c r="B57" s="331"/>
      <c r="C57" s="332"/>
      <c r="D57" s="123">
        <f t="shared" si="27"/>
        <v>0</v>
      </c>
      <c r="E57" s="331"/>
      <c r="F57" s="123">
        <f t="shared" si="28"/>
        <v>0</v>
      </c>
      <c r="G57" s="123">
        <f t="shared" si="29"/>
        <v>0</v>
      </c>
      <c r="H57" s="333"/>
      <c r="I57" s="124">
        <f t="shared" si="32"/>
        <v>0</v>
      </c>
      <c r="J57" s="124">
        <f t="shared" si="30"/>
        <v>0</v>
      </c>
      <c r="K57" s="125" t="str">
        <f t="shared" si="6"/>
        <v/>
      </c>
      <c r="L57" s="125">
        <v>0.3</v>
      </c>
      <c r="M57" s="125">
        <f t="shared" si="31"/>
        <v>0.3</v>
      </c>
      <c r="N57" s="124" t="str">
        <f t="shared" si="26"/>
        <v/>
      </c>
      <c r="O57" s="126">
        <v>250.0</v>
      </c>
      <c r="P57" s="124">
        <f t="shared" si="8"/>
        <v>-250</v>
      </c>
      <c r="R57" s="113" t="s">
        <v>7</v>
      </c>
      <c r="S57" s="117">
        <f>H36</f>
        <v>54137.08</v>
      </c>
    </row>
    <row r="58" hidden="1" outlineLevel="2">
      <c r="A58" s="132">
        <v>45922.0</v>
      </c>
      <c r="B58" s="329">
        <v>31.0</v>
      </c>
      <c r="C58" s="332"/>
      <c r="D58" s="123">
        <f t="shared" si="27"/>
        <v>31</v>
      </c>
      <c r="E58" s="329">
        <v>23.0</v>
      </c>
      <c r="F58" s="123">
        <f t="shared" si="28"/>
        <v>0</v>
      </c>
      <c r="G58" s="123">
        <f t="shared" si="29"/>
        <v>23</v>
      </c>
      <c r="H58" s="334">
        <v>5342.61</v>
      </c>
      <c r="I58" s="124">
        <f t="shared" si="32"/>
        <v>0</v>
      </c>
      <c r="J58" s="124">
        <f t="shared" si="30"/>
        <v>5342.61</v>
      </c>
      <c r="K58" s="125">
        <f t="shared" si="6"/>
        <v>0.7419354839</v>
      </c>
      <c r="L58" s="125">
        <v>0.3</v>
      </c>
      <c r="M58" s="125">
        <f t="shared" si="31"/>
        <v>-0.4419354839</v>
      </c>
      <c r="N58" s="124">
        <f t="shared" si="26"/>
        <v>232.2873913</v>
      </c>
      <c r="O58" s="126">
        <v>250.0</v>
      </c>
      <c r="P58" s="124">
        <f t="shared" si="8"/>
        <v>-17.7126087</v>
      </c>
      <c r="R58" s="113" t="s">
        <v>47</v>
      </c>
      <c r="S58" s="119">
        <f>S57/S54</f>
        <v>1.353427</v>
      </c>
    </row>
    <row r="59" hidden="1" outlineLevel="2">
      <c r="A59" s="132">
        <v>45923.0</v>
      </c>
      <c r="B59" s="329">
        <v>27.0</v>
      </c>
      <c r="C59" s="332"/>
      <c r="D59" s="123">
        <f t="shared" si="27"/>
        <v>27</v>
      </c>
      <c r="E59" s="329">
        <v>23.0</v>
      </c>
      <c r="F59" s="123">
        <f t="shared" si="28"/>
        <v>0</v>
      </c>
      <c r="G59" s="123">
        <f t="shared" si="29"/>
        <v>23</v>
      </c>
      <c r="H59" s="329">
        <v>6092.27</v>
      </c>
      <c r="I59" s="124">
        <f t="shared" si="32"/>
        <v>0</v>
      </c>
      <c r="J59" s="124">
        <f t="shared" si="30"/>
        <v>6092.27</v>
      </c>
      <c r="K59" s="125">
        <f t="shared" si="6"/>
        <v>0.8518518519</v>
      </c>
      <c r="L59" s="125">
        <v>0.3</v>
      </c>
      <c r="M59" s="125">
        <f t="shared" si="31"/>
        <v>-0.5518518519</v>
      </c>
      <c r="N59" s="124">
        <f t="shared" si="26"/>
        <v>264.8813043</v>
      </c>
      <c r="O59" s="126">
        <v>250.0</v>
      </c>
      <c r="P59" s="124">
        <f t="shared" si="8"/>
        <v>14.88130435</v>
      </c>
      <c r="R59" s="113" t="s">
        <v>48</v>
      </c>
      <c r="S59" s="120">
        <v>2.0</v>
      </c>
    </row>
    <row r="60" hidden="1" outlineLevel="2">
      <c r="A60" s="132">
        <v>45924.0</v>
      </c>
      <c r="B60" s="329">
        <v>37.0</v>
      </c>
      <c r="C60" s="332"/>
      <c r="D60" s="123">
        <f t="shared" si="27"/>
        <v>37</v>
      </c>
      <c r="E60" s="329">
        <v>13.0</v>
      </c>
      <c r="F60" s="123">
        <f t="shared" si="28"/>
        <v>0</v>
      </c>
      <c r="G60" s="123">
        <f t="shared" si="29"/>
        <v>13</v>
      </c>
      <c r="H60" s="329">
        <v>3521.96</v>
      </c>
      <c r="I60" s="124">
        <f t="shared" si="32"/>
        <v>0</v>
      </c>
      <c r="J60" s="124">
        <f t="shared" si="30"/>
        <v>3521.96</v>
      </c>
      <c r="K60" s="125">
        <f t="shared" si="6"/>
        <v>0.3513513514</v>
      </c>
      <c r="L60" s="125">
        <v>0.3</v>
      </c>
      <c r="M60" s="125">
        <f t="shared" si="31"/>
        <v>-0.05135135135</v>
      </c>
      <c r="N60" s="124">
        <f t="shared" si="26"/>
        <v>270.92</v>
      </c>
      <c r="O60" s="126">
        <v>250.0</v>
      </c>
      <c r="P60" s="124">
        <f t="shared" si="8"/>
        <v>20.92</v>
      </c>
      <c r="R60" s="113" t="s">
        <v>49</v>
      </c>
      <c r="S60" s="121">
        <f>(S54-S57)/S59</f>
        <v>-7068.54</v>
      </c>
    </row>
    <row r="61" hidden="1" outlineLevel="2">
      <c r="A61" s="132">
        <v>45925.0</v>
      </c>
      <c r="B61" s="329">
        <v>26.0</v>
      </c>
      <c r="C61" s="332"/>
      <c r="D61" s="123">
        <f t="shared" si="27"/>
        <v>26</v>
      </c>
      <c r="E61" s="329">
        <v>12.0</v>
      </c>
      <c r="F61" s="123">
        <f t="shared" si="28"/>
        <v>0</v>
      </c>
      <c r="G61" s="123">
        <f t="shared" si="29"/>
        <v>12</v>
      </c>
      <c r="H61" s="329">
        <v>4076.94</v>
      </c>
      <c r="I61" s="124">
        <f t="shared" si="32"/>
        <v>0</v>
      </c>
      <c r="J61" s="124">
        <f t="shared" si="30"/>
        <v>4076.94</v>
      </c>
      <c r="K61" s="125">
        <f t="shared" si="6"/>
        <v>0.4615384615</v>
      </c>
      <c r="L61" s="125">
        <v>0.3</v>
      </c>
      <c r="M61" s="125">
        <f t="shared" si="31"/>
        <v>-0.1615384615</v>
      </c>
      <c r="N61" s="124">
        <f t="shared" si="26"/>
        <v>339.745</v>
      </c>
      <c r="O61" s="126">
        <v>250.0</v>
      </c>
      <c r="P61" s="124">
        <f t="shared" si="8"/>
        <v>89.745</v>
      </c>
      <c r="R61" s="113" t="s">
        <v>50</v>
      </c>
      <c r="S61" s="122">
        <f>N36</f>
        <v>244.9641629</v>
      </c>
    </row>
    <row r="62" hidden="1" outlineLevel="2">
      <c r="A62" s="132">
        <v>45926.0</v>
      </c>
      <c r="B62" s="329">
        <v>14.0</v>
      </c>
      <c r="C62" s="332"/>
      <c r="D62" s="123">
        <f t="shared" si="27"/>
        <v>14</v>
      </c>
      <c r="E62" s="329">
        <v>10.0</v>
      </c>
      <c r="F62" s="123">
        <f t="shared" si="28"/>
        <v>0</v>
      </c>
      <c r="G62" s="123">
        <f t="shared" si="29"/>
        <v>10</v>
      </c>
      <c r="H62" s="329">
        <v>2746.08</v>
      </c>
      <c r="I62" s="124">
        <f t="shared" si="32"/>
        <v>0</v>
      </c>
      <c r="J62" s="124">
        <f t="shared" si="30"/>
        <v>2746.08</v>
      </c>
      <c r="K62" s="125">
        <f t="shared" si="6"/>
        <v>0.7142857143</v>
      </c>
      <c r="L62" s="125">
        <v>0.3</v>
      </c>
      <c r="M62" s="125">
        <f t="shared" si="31"/>
        <v>-0.4142857143</v>
      </c>
      <c r="N62" s="124">
        <f t="shared" si="26"/>
        <v>274.608</v>
      </c>
      <c r="O62" s="126">
        <v>250.0</v>
      </c>
      <c r="P62" s="124">
        <f t="shared" si="8"/>
        <v>24.608</v>
      </c>
      <c r="R62" s="113" t="s">
        <v>51</v>
      </c>
      <c r="S62" s="128">
        <f>B36</f>
        <v>691</v>
      </c>
    </row>
    <row r="63" hidden="1" outlineLevel="2">
      <c r="A63" s="132">
        <v>45927.0</v>
      </c>
      <c r="B63" s="329">
        <v>6.0</v>
      </c>
      <c r="C63" s="332"/>
      <c r="D63" s="123">
        <f t="shared" si="27"/>
        <v>6</v>
      </c>
      <c r="E63" s="329">
        <v>6.0</v>
      </c>
      <c r="F63" s="123">
        <f t="shared" si="28"/>
        <v>0</v>
      </c>
      <c r="G63" s="123">
        <f t="shared" si="29"/>
        <v>6</v>
      </c>
      <c r="H63" s="329">
        <v>1470.49</v>
      </c>
      <c r="I63" s="124">
        <f t="shared" si="32"/>
        <v>0</v>
      </c>
      <c r="J63" s="124">
        <f t="shared" si="30"/>
        <v>1470.49</v>
      </c>
      <c r="K63" s="125">
        <f t="shared" si="6"/>
        <v>1</v>
      </c>
      <c r="L63" s="125">
        <v>0.3</v>
      </c>
      <c r="M63" s="125">
        <f t="shared" si="31"/>
        <v>-0.7</v>
      </c>
      <c r="N63" s="124">
        <f t="shared" si="26"/>
        <v>245.0816667</v>
      </c>
      <c r="O63" s="126">
        <v>250.0</v>
      </c>
      <c r="P63" s="124">
        <f t="shared" si="8"/>
        <v>-4.918333333</v>
      </c>
      <c r="R63" s="113" t="s">
        <v>52</v>
      </c>
      <c r="S63" s="128">
        <f>E36</f>
        <v>221</v>
      </c>
    </row>
    <row r="64" hidden="1" outlineLevel="2">
      <c r="A64" s="132">
        <v>45928.0</v>
      </c>
      <c r="B64" s="331"/>
      <c r="C64" s="332"/>
      <c r="D64" s="123">
        <f t="shared" si="27"/>
        <v>0</v>
      </c>
      <c r="E64" s="331"/>
      <c r="F64" s="123">
        <f t="shared" si="28"/>
        <v>0</v>
      </c>
      <c r="G64" s="123">
        <f t="shared" si="29"/>
        <v>0</v>
      </c>
      <c r="H64" s="331"/>
      <c r="I64" s="124">
        <f t="shared" si="32"/>
        <v>0</v>
      </c>
      <c r="J64" s="124">
        <f t="shared" si="30"/>
        <v>0</v>
      </c>
      <c r="K64" s="125" t="str">
        <f t="shared" si="6"/>
        <v/>
      </c>
      <c r="L64" s="125">
        <v>0.3</v>
      </c>
      <c r="M64" s="125">
        <f t="shared" si="31"/>
        <v>0.3</v>
      </c>
      <c r="N64" s="124" t="str">
        <f t="shared" si="26"/>
        <v/>
      </c>
      <c r="O64" s="126">
        <v>250.0</v>
      </c>
      <c r="P64" s="124">
        <f t="shared" si="8"/>
        <v>-250</v>
      </c>
      <c r="R64" s="113" t="s">
        <v>4</v>
      </c>
      <c r="S64" s="119">
        <f>E36/B36</f>
        <v>0.3198263386</v>
      </c>
    </row>
    <row r="65" hidden="1" outlineLevel="2">
      <c r="A65" s="132">
        <v>45929.0</v>
      </c>
      <c r="B65" s="329">
        <v>73.0</v>
      </c>
      <c r="C65" s="332"/>
      <c r="D65" s="123">
        <f t="shared" si="27"/>
        <v>73</v>
      </c>
      <c r="E65" s="329">
        <v>9.0</v>
      </c>
      <c r="F65" s="123">
        <f t="shared" si="28"/>
        <v>0</v>
      </c>
      <c r="G65" s="123">
        <f t="shared" si="29"/>
        <v>9</v>
      </c>
      <c r="H65" s="329">
        <v>1809.0</v>
      </c>
      <c r="I65" s="124">
        <f t="shared" si="32"/>
        <v>0</v>
      </c>
      <c r="J65" s="124">
        <f t="shared" si="30"/>
        <v>1809</v>
      </c>
      <c r="K65" s="125">
        <f t="shared" si="6"/>
        <v>0.1232876712</v>
      </c>
      <c r="L65" s="125">
        <v>0.3</v>
      </c>
      <c r="M65" s="125">
        <f t="shared" si="31"/>
        <v>0.1767123288</v>
      </c>
      <c r="N65" s="124">
        <f t="shared" si="26"/>
        <v>201</v>
      </c>
      <c r="O65" s="126">
        <v>250.0</v>
      </c>
      <c r="P65" s="124">
        <f t="shared" si="8"/>
        <v>-49</v>
      </c>
      <c r="S65" s="94"/>
    </row>
    <row r="66" hidden="1" outlineLevel="2">
      <c r="A66" s="132">
        <v>45930.0</v>
      </c>
      <c r="B66" s="329">
        <v>137.0</v>
      </c>
      <c r="C66" s="332"/>
      <c r="D66" s="123">
        <f t="shared" si="27"/>
        <v>137</v>
      </c>
      <c r="E66" s="329">
        <v>8.0</v>
      </c>
      <c r="F66" s="123">
        <f t="shared" si="28"/>
        <v>0</v>
      </c>
      <c r="G66" s="123">
        <f t="shared" si="29"/>
        <v>8</v>
      </c>
      <c r="H66" s="329">
        <v>1587.22</v>
      </c>
      <c r="I66" s="124">
        <f t="shared" si="32"/>
        <v>0</v>
      </c>
      <c r="J66" s="124">
        <f t="shared" si="30"/>
        <v>1587.22</v>
      </c>
      <c r="K66" s="125">
        <f t="shared" si="6"/>
        <v>0.05839416058</v>
      </c>
      <c r="L66" s="125">
        <v>0.3</v>
      </c>
      <c r="M66" s="125">
        <f t="shared" si="31"/>
        <v>0.2416058394</v>
      </c>
      <c r="N66" s="124">
        <f t="shared" si="26"/>
        <v>198.4025</v>
      </c>
      <c r="O66" s="126">
        <v>250.0</v>
      </c>
      <c r="P66" s="124">
        <f t="shared" si="8"/>
        <v>-51.5975</v>
      </c>
      <c r="S66" s="94"/>
    </row>
    <row r="67" outlineLevel="1" collapsed="1">
      <c r="A67" s="100" t="s">
        <v>53</v>
      </c>
      <c r="B67" s="325">
        <f t="shared" ref="B67:J67" si="33">SUM(B68:B97)</f>
        <v>678</v>
      </c>
      <c r="C67" s="325">
        <f t="shared" si="33"/>
        <v>240</v>
      </c>
      <c r="D67" s="325">
        <f t="shared" si="33"/>
        <v>458</v>
      </c>
      <c r="E67" s="325">
        <f t="shared" si="33"/>
        <v>166</v>
      </c>
      <c r="F67" s="325">
        <f t="shared" si="33"/>
        <v>66</v>
      </c>
      <c r="G67" s="325">
        <f t="shared" si="33"/>
        <v>100</v>
      </c>
      <c r="H67" s="326">
        <f t="shared" si="33"/>
        <v>28676.82</v>
      </c>
      <c r="I67" s="326">
        <f t="shared" si="33"/>
        <v>9900</v>
      </c>
      <c r="J67" s="326">
        <f t="shared" si="33"/>
        <v>18776.82</v>
      </c>
      <c r="K67" s="110">
        <f t="shared" si="6"/>
        <v>0.2448377581</v>
      </c>
      <c r="L67" s="110">
        <v>0.3</v>
      </c>
      <c r="M67" s="110">
        <f>K67-L67</f>
        <v>-0.05516224189</v>
      </c>
      <c r="N67" s="326">
        <f t="shared" si="26"/>
        <v>172.7519277</v>
      </c>
      <c r="O67" s="327">
        <f>O68</f>
        <v>150</v>
      </c>
      <c r="P67" s="326">
        <f t="shared" si="8"/>
        <v>22.75192771</v>
      </c>
      <c r="S67" s="94"/>
    </row>
    <row r="68" hidden="1" outlineLevel="2">
      <c r="A68" s="132">
        <v>45901.0</v>
      </c>
      <c r="B68" s="329">
        <v>3.0</v>
      </c>
      <c r="C68" s="123">
        <v>20.0</v>
      </c>
      <c r="D68" s="123">
        <f t="shared" ref="D68:D73" si="34">B68-C68</f>
        <v>-17</v>
      </c>
      <c r="E68" s="329">
        <v>0.0</v>
      </c>
      <c r="F68" s="123">
        <f t="shared" ref="F68:F73" si="35">C68*30%</f>
        <v>6</v>
      </c>
      <c r="G68" s="123">
        <f t="shared" ref="G68:G73" si="36">E68-F68</f>
        <v>-6</v>
      </c>
      <c r="H68" s="330">
        <v>0.0</v>
      </c>
      <c r="I68" s="124">
        <f t="shared" ref="I68:I97" si="37">F68*O68</f>
        <v>900</v>
      </c>
      <c r="J68" s="124">
        <f t="shared" ref="J68:J73" si="38">H68-I68</f>
        <v>-900</v>
      </c>
      <c r="K68" s="125">
        <f t="shared" si="6"/>
        <v>0</v>
      </c>
      <c r="L68" s="125">
        <v>0.3</v>
      </c>
      <c r="M68" s="125">
        <f t="shared" ref="M68:M73" si="39">L68-K68</f>
        <v>0.3</v>
      </c>
      <c r="N68" s="124" t="str">
        <f t="shared" si="26"/>
        <v/>
      </c>
      <c r="O68" s="126">
        <v>150.0</v>
      </c>
      <c r="P68" s="124">
        <f t="shared" si="8"/>
        <v>-150</v>
      </c>
      <c r="R68" s="115" t="s">
        <v>131</v>
      </c>
    </row>
    <row r="69" hidden="1" outlineLevel="2">
      <c r="A69" s="132">
        <v>45902.0</v>
      </c>
      <c r="B69" s="329">
        <v>5.0</v>
      </c>
      <c r="C69" s="123">
        <v>20.0</v>
      </c>
      <c r="D69" s="123">
        <f t="shared" si="34"/>
        <v>-15</v>
      </c>
      <c r="E69" s="329">
        <v>3.0</v>
      </c>
      <c r="F69" s="123">
        <f t="shared" si="35"/>
        <v>6</v>
      </c>
      <c r="G69" s="123">
        <f t="shared" si="36"/>
        <v>-3</v>
      </c>
      <c r="H69" s="330">
        <v>244.91</v>
      </c>
      <c r="I69" s="124">
        <f t="shared" si="37"/>
        <v>900</v>
      </c>
      <c r="J69" s="124">
        <f t="shared" si="38"/>
        <v>-655.09</v>
      </c>
      <c r="K69" s="125">
        <f t="shared" si="6"/>
        <v>0.6</v>
      </c>
      <c r="L69" s="125">
        <v>0.3</v>
      </c>
      <c r="M69" s="125">
        <f t="shared" si="39"/>
        <v>-0.3</v>
      </c>
      <c r="N69" s="124">
        <f t="shared" si="26"/>
        <v>81.63666667</v>
      </c>
      <c r="O69" s="126">
        <v>150.0</v>
      </c>
      <c r="P69" s="124">
        <f t="shared" si="8"/>
        <v>-68.36333333</v>
      </c>
      <c r="R69" s="113" t="s">
        <v>8</v>
      </c>
      <c r="S69" s="116">
        <v>16500.0</v>
      </c>
    </row>
    <row r="70" hidden="1" outlineLevel="2">
      <c r="A70" s="132">
        <v>45903.0</v>
      </c>
      <c r="B70" s="329">
        <v>9.0</v>
      </c>
      <c r="C70" s="123">
        <v>20.0</v>
      </c>
      <c r="D70" s="123">
        <f t="shared" si="34"/>
        <v>-11</v>
      </c>
      <c r="E70" s="329">
        <v>7.0</v>
      </c>
      <c r="F70" s="123">
        <f t="shared" si="35"/>
        <v>6</v>
      </c>
      <c r="G70" s="123">
        <f t="shared" si="36"/>
        <v>1</v>
      </c>
      <c r="H70" s="330">
        <v>1737.57</v>
      </c>
      <c r="I70" s="124">
        <f t="shared" si="37"/>
        <v>900</v>
      </c>
      <c r="J70" s="124">
        <f t="shared" si="38"/>
        <v>837.57</v>
      </c>
      <c r="K70" s="125">
        <f t="shared" si="6"/>
        <v>0.7777777778</v>
      </c>
      <c r="L70" s="125">
        <v>0.3</v>
      </c>
      <c r="M70" s="125">
        <f t="shared" si="39"/>
        <v>-0.4777777778</v>
      </c>
      <c r="N70" s="124">
        <f t="shared" si="26"/>
        <v>248.2242857</v>
      </c>
      <c r="O70" s="126">
        <v>150.0</v>
      </c>
      <c r="P70" s="124">
        <f t="shared" si="8"/>
        <v>98.22428571</v>
      </c>
      <c r="R70" s="113" t="s">
        <v>45</v>
      </c>
      <c r="S70" s="117">
        <f>S69/30</f>
        <v>550</v>
      </c>
    </row>
    <row r="71" hidden="1" outlineLevel="2">
      <c r="A71" s="132">
        <v>45904.0</v>
      </c>
      <c r="B71" s="329">
        <v>11.0</v>
      </c>
      <c r="C71" s="123">
        <v>20.0</v>
      </c>
      <c r="D71" s="123">
        <f t="shared" si="34"/>
        <v>-9</v>
      </c>
      <c r="E71" s="329">
        <v>8.0</v>
      </c>
      <c r="F71" s="123">
        <f t="shared" si="35"/>
        <v>6</v>
      </c>
      <c r="G71" s="123">
        <f t="shared" si="36"/>
        <v>2</v>
      </c>
      <c r="H71" s="330">
        <v>838.99</v>
      </c>
      <c r="I71" s="124">
        <f t="shared" si="37"/>
        <v>900</v>
      </c>
      <c r="J71" s="124">
        <f t="shared" si="38"/>
        <v>-61.01</v>
      </c>
      <c r="K71" s="125">
        <f t="shared" si="6"/>
        <v>0.7272727273</v>
      </c>
      <c r="L71" s="125">
        <v>0.3</v>
      </c>
      <c r="M71" s="125">
        <f t="shared" si="39"/>
        <v>-0.4272727273</v>
      </c>
      <c r="N71" s="124">
        <f t="shared" si="26"/>
        <v>104.87375</v>
      </c>
      <c r="O71" s="126">
        <v>150.0</v>
      </c>
      <c r="P71" s="124">
        <f t="shared" si="8"/>
        <v>-45.12625</v>
      </c>
      <c r="R71" s="113" t="s">
        <v>46</v>
      </c>
      <c r="S71" s="117">
        <f>S69/22</f>
        <v>750</v>
      </c>
    </row>
    <row r="72" hidden="1" outlineLevel="2">
      <c r="A72" s="132">
        <v>45905.0</v>
      </c>
      <c r="B72" s="329">
        <v>11.0</v>
      </c>
      <c r="C72" s="123">
        <v>20.0</v>
      </c>
      <c r="D72" s="123">
        <f t="shared" si="34"/>
        <v>-9</v>
      </c>
      <c r="E72" s="329">
        <v>10.0</v>
      </c>
      <c r="F72" s="123">
        <f t="shared" si="35"/>
        <v>6</v>
      </c>
      <c r="G72" s="123">
        <f t="shared" si="36"/>
        <v>4</v>
      </c>
      <c r="H72" s="330">
        <v>887.24</v>
      </c>
      <c r="I72" s="124">
        <f t="shared" si="37"/>
        <v>900</v>
      </c>
      <c r="J72" s="124">
        <f t="shared" si="38"/>
        <v>-12.76</v>
      </c>
      <c r="K72" s="125">
        <f t="shared" si="6"/>
        <v>0.9090909091</v>
      </c>
      <c r="L72" s="125">
        <v>0.3</v>
      </c>
      <c r="M72" s="125">
        <f t="shared" si="39"/>
        <v>-0.6090909091</v>
      </c>
      <c r="N72" s="124">
        <f t="shared" si="26"/>
        <v>88.724</v>
      </c>
      <c r="O72" s="126">
        <v>150.0</v>
      </c>
      <c r="P72" s="124">
        <f t="shared" si="8"/>
        <v>-61.276</v>
      </c>
      <c r="R72" s="113" t="s">
        <v>7</v>
      </c>
      <c r="S72" s="117">
        <f>H67</f>
        <v>28676.82</v>
      </c>
    </row>
    <row r="73" hidden="1" outlineLevel="2">
      <c r="A73" s="132">
        <v>45906.0</v>
      </c>
      <c r="B73" s="329">
        <v>7.0</v>
      </c>
      <c r="C73" s="123">
        <v>20.0</v>
      </c>
      <c r="D73" s="123">
        <f t="shared" si="34"/>
        <v>-13</v>
      </c>
      <c r="E73" s="329">
        <v>1.0</v>
      </c>
      <c r="F73" s="123">
        <f t="shared" si="35"/>
        <v>6</v>
      </c>
      <c r="G73" s="123">
        <f t="shared" si="36"/>
        <v>-5</v>
      </c>
      <c r="H73" s="330">
        <v>113.0</v>
      </c>
      <c r="I73" s="124">
        <f t="shared" si="37"/>
        <v>900</v>
      </c>
      <c r="J73" s="124">
        <f t="shared" si="38"/>
        <v>-787</v>
      </c>
      <c r="K73" s="125">
        <f t="shared" si="6"/>
        <v>0.1428571429</v>
      </c>
      <c r="L73" s="125">
        <v>0.3</v>
      </c>
      <c r="M73" s="125">
        <f t="shared" si="39"/>
        <v>0.1571428571</v>
      </c>
      <c r="N73" s="124">
        <f t="shared" si="26"/>
        <v>113</v>
      </c>
      <c r="O73" s="126">
        <v>150.0</v>
      </c>
      <c r="P73" s="124">
        <f t="shared" si="8"/>
        <v>-37</v>
      </c>
      <c r="R73" s="113" t="s">
        <v>47</v>
      </c>
      <c r="S73" s="119">
        <f>S72/S69</f>
        <v>1.737989091</v>
      </c>
    </row>
    <row r="74" hidden="1" outlineLevel="2">
      <c r="A74" s="132">
        <v>45907.0</v>
      </c>
      <c r="B74" s="331"/>
      <c r="C74" s="123">
        <v>20.0</v>
      </c>
      <c r="D74" s="123"/>
      <c r="E74" s="331"/>
      <c r="F74" s="123"/>
      <c r="G74" s="123"/>
      <c r="H74" s="331"/>
      <c r="I74" s="124">
        <f t="shared" si="37"/>
        <v>0</v>
      </c>
      <c r="J74" s="124"/>
      <c r="K74" s="125" t="str">
        <f t="shared" si="6"/>
        <v/>
      </c>
      <c r="L74" s="125"/>
      <c r="M74" s="129"/>
      <c r="N74" s="124" t="str">
        <f t="shared" si="26"/>
        <v/>
      </c>
      <c r="O74" s="126">
        <v>150.0</v>
      </c>
      <c r="P74" s="124">
        <f t="shared" si="8"/>
        <v>-150</v>
      </c>
      <c r="R74" s="113" t="s">
        <v>48</v>
      </c>
      <c r="S74" s="120">
        <v>3.0</v>
      </c>
    </row>
    <row r="75" hidden="1" outlineLevel="2">
      <c r="A75" s="132">
        <v>45908.0</v>
      </c>
      <c r="B75" s="329">
        <v>16.0</v>
      </c>
      <c r="C75" s="123">
        <v>20.0</v>
      </c>
      <c r="D75" s="123">
        <f t="shared" ref="D75:D97" si="40">B75-C75</f>
        <v>-4</v>
      </c>
      <c r="E75" s="329">
        <v>12.0</v>
      </c>
      <c r="F75" s="123">
        <f t="shared" ref="F75:F97" si="41">C75*30%</f>
        <v>6</v>
      </c>
      <c r="G75" s="123">
        <f t="shared" ref="G75:G97" si="42">E75-F75</f>
        <v>6</v>
      </c>
      <c r="H75" s="330">
        <v>1518.42</v>
      </c>
      <c r="I75" s="124">
        <f t="shared" si="37"/>
        <v>900</v>
      </c>
      <c r="J75" s="124">
        <f t="shared" ref="J75:J97" si="43">H75-I75</f>
        <v>618.42</v>
      </c>
      <c r="K75" s="125">
        <f t="shared" si="6"/>
        <v>0.75</v>
      </c>
      <c r="L75" s="125">
        <v>0.3</v>
      </c>
      <c r="M75" s="125">
        <f t="shared" ref="M75:M97" si="44">L75-K75</f>
        <v>-0.45</v>
      </c>
      <c r="N75" s="124">
        <f t="shared" si="26"/>
        <v>126.535</v>
      </c>
      <c r="O75" s="126">
        <v>150.0</v>
      </c>
      <c r="P75" s="124">
        <f t="shared" si="8"/>
        <v>-23.465</v>
      </c>
      <c r="R75" s="113" t="s">
        <v>49</v>
      </c>
      <c r="S75" s="121">
        <f>(S69-S72)/S74</f>
        <v>-4058.94</v>
      </c>
    </row>
    <row r="76" hidden="1" outlineLevel="2">
      <c r="A76" s="132">
        <v>45909.0</v>
      </c>
      <c r="B76" s="329">
        <v>18.0</v>
      </c>
      <c r="C76" s="123">
        <v>20.0</v>
      </c>
      <c r="D76" s="123">
        <f t="shared" si="40"/>
        <v>-2</v>
      </c>
      <c r="E76" s="329">
        <v>8.0</v>
      </c>
      <c r="F76" s="123">
        <f t="shared" si="41"/>
        <v>6</v>
      </c>
      <c r="G76" s="123">
        <f t="shared" si="42"/>
        <v>2</v>
      </c>
      <c r="H76" s="330">
        <v>1160.13</v>
      </c>
      <c r="I76" s="124">
        <f t="shared" si="37"/>
        <v>900</v>
      </c>
      <c r="J76" s="124">
        <f t="shared" si="43"/>
        <v>260.13</v>
      </c>
      <c r="K76" s="125">
        <f t="shared" si="6"/>
        <v>0.4444444444</v>
      </c>
      <c r="L76" s="125">
        <v>0.3</v>
      </c>
      <c r="M76" s="125">
        <f t="shared" si="44"/>
        <v>-0.1444444444</v>
      </c>
      <c r="N76" s="124">
        <f t="shared" si="26"/>
        <v>145.01625</v>
      </c>
      <c r="O76" s="126">
        <v>150.0</v>
      </c>
      <c r="P76" s="124">
        <f t="shared" si="8"/>
        <v>-4.98375</v>
      </c>
      <c r="R76" s="113" t="s">
        <v>50</v>
      </c>
      <c r="S76" s="122">
        <f>N67</f>
        <v>172.7519277</v>
      </c>
    </row>
    <row r="77" hidden="1" outlineLevel="2">
      <c r="A77" s="132">
        <v>45910.0</v>
      </c>
      <c r="B77" s="329">
        <v>26.0</v>
      </c>
      <c r="C77" s="123">
        <v>20.0</v>
      </c>
      <c r="D77" s="123">
        <f t="shared" si="40"/>
        <v>6</v>
      </c>
      <c r="E77" s="329">
        <v>9.0</v>
      </c>
      <c r="F77" s="123">
        <f t="shared" si="41"/>
        <v>6</v>
      </c>
      <c r="G77" s="123">
        <f t="shared" si="42"/>
        <v>3</v>
      </c>
      <c r="H77" s="330">
        <v>1852.79</v>
      </c>
      <c r="I77" s="124">
        <f t="shared" si="37"/>
        <v>900</v>
      </c>
      <c r="J77" s="124">
        <f t="shared" si="43"/>
        <v>952.79</v>
      </c>
      <c r="K77" s="125">
        <f t="shared" si="6"/>
        <v>0.3461538462</v>
      </c>
      <c r="L77" s="125">
        <v>0.3</v>
      </c>
      <c r="M77" s="125">
        <f t="shared" si="44"/>
        <v>-0.04615384615</v>
      </c>
      <c r="N77" s="124">
        <f t="shared" si="26"/>
        <v>205.8655556</v>
      </c>
      <c r="O77" s="126">
        <v>150.0</v>
      </c>
      <c r="P77" s="124">
        <f t="shared" si="8"/>
        <v>55.86555556</v>
      </c>
      <c r="R77" s="113" t="s">
        <v>51</v>
      </c>
      <c r="S77" s="128">
        <f>B67</f>
        <v>678</v>
      </c>
    </row>
    <row r="78" hidden="1" outlineLevel="2">
      <c r="A78" s="132">
        <v>45911.0</v>
      </c>
      <c r="B78" s="329">
        <v>12.0</v>
      </c>
      <c r="C78" s="123">
        <v>20.0</v>
      </c>
      <c r="D78" s="123">
        <f t="shared" si="40"/>
        <v>-8</v>
      </c>
      <c r="E78" s="329">
        <v>7.0</v>
      </c>
      <c r="F78" s="123">
        <f t="shared" si="41"/>
        <v>6</v>
      </c>
      <c r="G78" s="123">
        <f t="shared" si="42"/>
        <v>1</v>
      </c>
      <c r="H78" s="330">
        <v>1123.79</v>
      </c>
      <c r="I78" s="124">
        <f t="shared" si="37"/>
        <v>900</v>
      </c>
      <c r="J78" s="124">
        <f t="shared" si="43"/>
        <v>223.79</v>
      </c>
      <c r="K78" s="125">
        <f t="shared" si="6"/>
        <v>0.5833333333</v>
      </c>
      <c r="L78" s="125">
        <v>0.3</v>
      </c>
      <c r="M78" s="125">
        <f t="shared" si="44"/>
        <v>-0.2833333333</v>
      </c>
      <c r="N78" s="124">
        <f t="shared" si="26"/>
        <v>160.5414286</v>
      </c>
      <c r="O78" s="126">
        <v>150.0</v>
      </c>
      <c r="P78" s="124">
        <f t="shared" si="8"/>
        <v>10.54142857</v>
      </c>
      <c r="R78" s="113" t="s">
        <v>52</v>
      </c>
      <c r="S78" s="128">
        <f>E67</f>
        <v>166</v>
      </c>
    </row>
    <row r="79" hidden="1" outlineLevel="2">
      <c r="A79" s="132">
        <v>45912.0</v>
      </c>
      <c r="B79" s="329">
        <v>35.0</v>
      </c>
      <c r="C79" s="123">
        <v>20.0</v>
      </c>
      <c r="D79" s="123">
        <f t="shared" si="40"/>
        <v>15</v>
      </c>
      <c r="E79" s="329">
        <v>6.0</v>
      </c>
      <c r="F79" s="123">
        <f t="shared" si="41"/>
        <v>6</v>
      </c>
      <c r="G79" s="123">
        <f t="shared" si="42"/>
        <v>0</v>
      </c>
      <c r="H79" s="330">
        <v>2488.8</v>
      </c>
      <c r="I79" s="124">
        <f t="shared" si="37"/>
        <v>900</v>
      </c>
      <c r="J79" s="124">
        <f t="shared" si="43"/>
        <v>1588.8</v>
      </c>
      <c r="K79" s="125">
        <f t="shared" si="6"/>
        <v>0.1714285714</v>
      </c>
      <c r="L79" s="125">
        <v>0.3</v>
      </c>
      <c r="M79" s="125">
        <f t="shared" si="44"/>
        <v>0.1285714286</v>
      </c>
      <c r="N79" s="124">
        <f t="shared" si="26"/>
        <v>414.8</v>
      </c>
      <c r="O79" s="126">
        <v>150.0</v>
      </c>
      <c r="P79" s="124">
        <f t="shared" si="8"/>
        <v>264.8</v>
      </c>
      <c r="R79" s="113" t="s">
        <v>4</v>
      </c>
      <c r="S79" s="119">
        <f>E67/B67</f>
        <v>0.2448377581</v>
      </c>
    </row>
    <row r="80" hidden="1" outlineLevel="2">
      <c r="A80" s="132">
        <v>45913.0</v>
      </c>
      <c r="B80" s="329">
        <v>24.0</v>
      </c>
      <c r="C80" s="123"/>
      <c r="D80" s="123">
        <f t="shared" si="40"/>
        <v>24</v>
      </c>
      <c r="E80" s="331"/>
      <c r="F80" s="123">
        <f t="shared" si="41"/>
        <v>0</v>
      </c>
      <c r="G80" s="123">
        <f t="shared" si="42"/>
        <v>0</v>
      </c>
      <c r="H80" s="331"/>
      <c r="I80" s="124">
        <f t="shared" si="37"/>
        <v>0</v>
      </c>
      <c r="J80" s="124">
        <f t="shared" si="43"/>
        <v>0</v>
      </c>
      <c r="K80" s="125">
        <f t="shared" si="6"/>
        <v>0</v>
      </c>
      <c r="L80" s="125">
        <v>0.3</v>
      </c>
      <c r="M80" s="125">
        <f t="shared" si="44"/>
        <v>0.3</v>
      </c>
      <c r="N80" s="124" t="str">
        <f t="shared" si="26"/>
        <v/>
      </c>
      <c r="O80" s="126">
        <v>150.0</v>
      </c>
      <c r="P80" s="124">
        <f t="shared" si="8"/>
        <v>-150</v>
      </c>
      <c r="S80" s="94"/>
    </row>
    <row r="81" hidden="1" outlineLevel="2">
      <c r="A81" s="132">
        <v>45914.0</v>
      </c>
      <c r="B81" s="331"/>
      <c r="C81" s="123"/>
      <c r="D81" s="123">
        <f t="shared" si="40"/>
        <v>0</v>
      </c>
      <c r="E81" s="329"/>
      <c r="F81" s="123">
        <f t="shared" si="41"/>
        <v>0</v>
      </c>
      <c r="G81" s="123">
        <f t="shared" si="42"/>
        <v>0</v>
      </c>
      <c r="H81" s="331"/>
      <c r="I81" s="124">
        <f t="shared" si="37"/>
        <v>0</v>
      </c>
      <c r="J81" s="124">
        <f t="shared" si="43"/>
        <v>0</v>
      </c>
      <c r="K81" s="125" t="str">
        <f t="shared" si="6"/>
        <v/>
      </c>
      <c r="L81" s="125">
        <v>0.3</v>
      </c>
      <c r="M81" s="125">
        <f t="shared" si="44"/>
        <v>0.3</v>
      </c>
      <c r="N81" s="124" t="str">
        <f t="shared" si="26"/>
        <v/>
      </c>
      <c r="O81" s="126">
        <v>150.0</v>
      </c>
      <c r="P81" s="124">
        <f t="shared" si="8"/>
        <v>-150</v>
      </c>
      <c r="S81" s="94"/>
    </row>
    <row r="82" hidden="1" outlineLevel="2">
      <c r="A82" s="132">
        <v>45915.0</v>
      </c>
      <c r="B82" s="329">
        <v>46.0</v>
      </c>
      <c r="C82" s="123"/>
      <c r="D82" s="123">
        <f t="shared" si="40"/>
        <v>46</v>
      </c>
      <c r="E82" s="329">
        <v>5.0</v>
      </c>
      <c r="F82" s="123">
        <f t="shared" si="41"/>
        <v>0</v>
      </c>
      <c r="G82" s="123">
        <f t="shared" si="42"/>
        <v>5</v>
      </c>
      <c r="H82" s="334">
        <v>883.16</v>
      </c>
      <c r="I82" s="124">
        <f t="shared" si="37"/>
        <v>0</v>
      </c>
      <c r="J82" s="124">
        <f t="shared" si="43"/>
        <v>883.16</v>
      </c>
      <c r="K82" s="125">
        <f t="shared" si="6"/>
        <v>0.1086956522</v>
      </c>
      <c r="L82" s="125">
        <v>0.3</v>
      </c>
      <c r="M82" s="125">
        <f t="shared" si="44"/>
        <v>0.1913043478</v>
      </c>
      <c r="N82" s="124">
        <f t="shared" si="26"/>
        <v>176.632</v>
      </c>
      <c r="O82" s="126">
        <v>150.0</v>
      </c>
      <c r="P82" s="124">
        <f t="shared" si="8"/>
        <v>26.632</v>
      </c>
      <c r="S82" s="94"/>
    </row>
    <row r="83" hidden="1" outlineLevel="2">
      <c r="A83" s="132">
        <v>45916.0</v>
      </c>
      <c r="B83" s="329">
        <v>69.0</v>
      </c>
      <c r="C83" s="123"/>
      <c r="D83" s="123">
        <f t="shared" si="40"/>
        <v>69</v>
      </c>
      <c r="E83" s="329">
        <v>11.0</v>
      </c>
      <c r="F83" s="123">
        <f t="shared" si="41"/>
        <v>0</v>
      </c>
      <c r="G83" s="123">
        <f t="shared" si="42"/>
        <v>11</v>
      </c>
      <c r="H83" s="334">
        <v>1137.56</v>
      </c>
      <c r="I83" s="124">
        <f t="shared" si="37"/>
        <v>0</v>
      </c>
      <c r="J83" s="124">
        <f t="shared" si="43"/>
        <v>1137.56</v>
      </c>
      <c r="K83" s="125">
        <f t="shared" si="6"/>
        <v>0.1594202899</v>
      </c>
      <c r="L83" s="125">
        <v>0.3</v>
      </c>
      <c r="M83" s="125">
        <f t="shared" si="44"/>
        <v>0.1405797101</v>
      </c>
      <c r="N83" s="124">
        <f t="shared" si="26"/>
        <v>103.4145455</v>
      </c>
      <c r="O83" s="126">
        <v>150.0</v>
      </c>
      <c r="P83" s="124">
        <f t="shared" si="8"/>
        <v>-46.58545455</v>
      </c>
      <c r="S83" s="94"/>
    </row>
    <row r="84" hidden="1" outlineLevel="2">
      <c r="A84" s="132">
        <v>45917.0</v>
      </c>
      <c r="B84" s="329">
        <v>52.0</v>
      </c>
      <c r="C84" s="123"/>
      <c r="D84" s="123">
        <f t="shared" si="40"/>
        <v>52</v>
      </c>
      <c r="E84" s="329">
        <v>7.0</v>
      </c>
      <c r="F84" s="123">
        <f t="shared" si="41"/>
        <v>0</v>
      </c>
      <c r="G84" s="123">
        <f t="shared" si="42"/>
        <v>7</v>
      </c>
      <c r="H84" s="334">
        <v>1366.27</v>
      </c>
      <c r="I84" s="124">
        <f t="shared" si="37"/>
        <v>0</v>
      </c>
      <c r="J84" s="124">
        <f t="shared" si="43"/>
        <v>1366.27</v>
      </c>
      <c r="K84" s="125">
        <f t="shared" si="6"/>
        <v>0.1346153846</v>
      </c>
      <c r="L84" s="125">
        <v>0.3</v>
      </c>
      <c r="M84" s="125">
        <f t="shared" si="44"/>
        <v>0.1653846154</v>
      </c>
      <c r="N84" s="124">
        <f t="shared" si="26"/>
        <v>195.1814286</v>
      </c>
      <c r="O84" s="126">
        <v>150.0</v>
      </c>
      <c r="P84" s="124">
        <f t="shared" si="8"/>
        <v>45.18142857</v>
      </c>
      <c r="S84" s="94"/>
    </row>
    <row r="85" hidden="1" outlineLevel="2">
      <c r="A85" s="132">
        <v>45918.0</v>
      </c>
      <c r="B85" s="329">
        <v>61.0</v>
      </c>
      <c r="C85" s="123"/>
      <c r="D85" s="123">
        <f t="shared" si="40"/>
        <v>61</v>
      </c>
      <c r="E85" s="329">
        <v>8.0</v>
      </c>
      <c r="F85" s="123">
        <f t="shared" si="41"/>
        <v>0</v>
      </c>
      <c r="G85" s="123">
        <f t="shared" si="42"/>
        <v>8</v>
      </c>
      <c r="H85" s="334">
        <v>1203.23</v>
      </c>
      <c r="I85" s="124">
        <f t="shared" si="37"/>
        <v>0</v>
      </c>
      <c r="J85" s="124">
        <f t="shared" si="43"/>
        <v>1203.23</v>
      </c>
      <c r="K85" s="125">
        <f t="shared" si="6"/>
        <v>0.131147541</v>
      </c>
      <c r="L85" s="125">
        <v>0.3</v>
      </c>
      <c r="M85" s="125">
        <f t="shared" si="44"/>
        <v>0.168852459</v>
      </c>
      <c r="N85" s="124">
        <f t="shared" si="26"/>
        <v>150.40375</v>
      </c>
      <c r="O85" s="126">
        <v>150.0</v>
      </c>
      <c r="P85" s="124">
        <f t="shared" si="8"/>
        <v>0.40375</v>
      </c>
      <c r="S85" s="94"/>
    </row>
    <row r="86" hidden="1" outlineLevel="2">
      <c r="A86" s="132">
        <v>45919.0</v>
      </c>
      <c r="B86" s="329">
        <v>25.0</v>
      </c>
      <c r="C86" s="123"/>
      <c r="D86" s="123">
        <f t="shared" si="40"/>
        <v>25</v>
      </c>
      <c r="E86" s="329">
        <v>5.0</v>
      </c>
      <c r="F86" s="123">
        <f t="shared" si="41"/>
        <v>0</v>
      </c>
      <c r="G86" s="123">
        <f t="shared" si="42"/>
        <v>5</v>
      </c>
      <c r="H86" s="334">
        <v>1166.81</v>
      </c>
      <c r="I86" s="124">
        <f t="shared" si="37"/>
        <v>0</v>
      </c>
      <c r="J86" s="124">
        <f t="shared" si="43"/>
        <v>1166.81</v>
      </c>
      <c r="K86" s="125">
        <f t="shared" si="6"/>
        <v>0.2</v>
      </c>
      <c r="L86" s="125">
        <v>0.3</v>
      </c>
      <c r="M86" s="125">
        <f t="shared" si="44"/>
        <v>0.1</v>
      </c>
      <c r="N86" s="124">
        <f t="shared" si="26"/>
        <v>233.362</v>
      </c>
      <c r="O86" s="126">
        <v>150.0</v>
      </c>
      <c r="P86" s="124">
        <f t="shared" si="8"/>
        <v>83.362</v>
      </c>
      <c r="S86" s="94"/>
    </row>
    <row r="87" hidden="1" outlineLevel="2">
      <c r="A87" s="132">
        <v>45920.0</v>
      </c>
      <c r="B87" s="329">
        <v>5.0</v>
      </c>
      <c r="C87" s="123"/>
      <c r="D87" s="123">
        <f t="shared" si="40"/>
        <v>5</v>
      </c>
      <c r="E87" s="329">
        <v>6.0</v>
      </c>
      <c r="F87" s="123">
        <f t="shared" si="41"/>
        <v>0</v>
      </c>
      <c r="G87" s="123">
        <f t="shared" si="42"/>
        <v>6</v>
      </c>
      <c r="H87" s="334">
        <v>1363.17</v>
      </c>
      <c r="I87" s="124">
        <f t="shared" si="37"/>
        <v>0</v>
      </c>
      <c r="J87" s="124">
        <f t="shared" si="43"/>
        <v>1363.17</v>
      </c>
      <c r="K87" s="125">
        <f t="shared" si="6"/>
        <v>1.2</v>
      </c>
      <c r="L87" s="125">
        <v>0.3</v>
      </c>
      <c r="M87" s="125">
        <f t="shared" si="44"/>
        <v>-0.9</v>
      </c>
      <c r="N87" s="124">
        <f t="shared" si="26"/>
        <v>227.195</v>
      </c>
      <c r="O87" s="126">
        <v>150.0</v>
      </c>
      <c r="P87" s="124">
        <f t="shared" si="8"/>
        <v>77.195</v>
      </c>
      <c r="S87" s="94"/>
    </row>
    <row r="88" hidden="1" outlineLevel="2">
      <c r="A88" s="132">
        <v>45921.0</v>
      </c>
      <c r="B88" s="331"/>
      <c r="C88" s="123"/>
      <c r="D88" s="123">
        <f t="shared" si="40"/>
        <v>0</v>
      </c>
      <c r="E88" s="331"/>
      <c r="F88" s="123">
        <f t="shared" si="41"/>
        <v>0</v>
      </c>
      <c r="G88" s="123">
        <f t="shared" si="42"/>
        <v>0</v>
      </c>
      <c r="H88" s="331"/>
      <c r="I88" s="124">
        <f t="shared" si="37"/>
        <v>0</v>
      </c>
      <c r="J88" s="124">
        <f t="shared" si="43"/>
        <v>0</v>
      </c>
      <c r="K88" s="125" t="str">
        <f t="shared" si="6"/>
        <v/>
      </c>
      <c r="L88" s="125">
        <v>0.3</v>
      </c>
      <c r="M88" s="125">
        <f t="shared" si="44"/>
        <v>0.3</v>
      </c>
      <c r="N88" s="124" t="str">
        <f t="shared" si="26"/>
        <v/>
      </c>
      <c r="O88" s="126">
        <v>150.0</v>
      </c>
      <c r="P88" s="124">
        <f t="shared" si="8"/>
        <v>-150</v>
      </c>
      <c r="S88" s="94"/>
    </row>
    <row r="89" hidden="1" outlineLevel="2">
      <c r="A89" s="132">
        <v>45922.0</v>
      </c>
      <c r="B89" s="329">
        <v>37.0</v>
      </c>
      <c r="C89" s="123"/>
      <c r="D89" s="123">
        <f t="shared" si="40"/>
        <v>37</v>
      </c>
      <c r="E89" s="329">
        <v>9.0</v>
      </c>
      <c r="F89" s="123">
        <f t="shared" si="41"/>
        <v>0</v>
      </c>
      <c r="G89" s="123">
        <f t="shared" si="42"/>
        <v>9</v>
      </c>
      <c r="H89" s="329">
        <v>1258.31</v>
      </c>
      <c r="I89" s="124">
        <f t="shared" si="37"/>
        <v>0</v>
      </c>
      <c r="J89" s="124">
        <f t="shared" si="43"/>
        <v>1258.31</v>
      </c>
      <c r="K89" s="125">
        <f t="shared" si="6"/>
        <v>0.2432432432</v>
      </c>
      <c r="L89" s="125">
        <v>0.3</v>
      </c>
      <c r="M89" s="125">
        <f t="shared" si="44"/>
        <v>0.05675675676</v>
      </c>
      <c r="N89" s="124">
        <f t="shared" si="26"/>
        <v>139.8122222</v>
      </c>
      <c r="O89" s="126">
        <v>150.0</v>
      </c>
      <c r="P89" s="124">
        <f t="shared" si="8"/>
        <v>-10.18777778</v>
      </c>
      <c r="S89" s="94"/>
    </row>
    <row r="90" hidden="1" outlineLevel="2">
      <c r="A90" s="132">
        <v>45923.0</v>
      </c>
      <c r="B90" s="329">
        <v>42.0</v>
      </c>
      <c r="C90" s="123"/>
      <c r="D90" s="123">
        <f t="shared" si="40"/>
        <v>42</v>
      </c>
      <c r="E90" s="329">
        <v>10.0</v>
      </c>
      <c r="F90" s="123">
        <f t="shared" si="41"/>
        <v>0</v>
      </c>
      <c r="G90" s="123">
        <f t="shared" si="42"/>
        <v>10</v>
      </c>
      <c r="H90" s="329">
        <v>1404.3</v>
      </c>
      <c r="I90" s="124">
        <f t="shared" si="37"/>
        <v>0</v>
      </c>
      <c r="J90" s="124">
        <f t="shared" si="43"/>
        <v>1404.3</v>
      </c>
      <c r="K90" s="125">
        <f t="shared" si="6"/>
        <v>0.2380952381</v>
      </c>
      <c r="L90" s="125">
        <v>0.3</v>
      </c>
      <c r="M90" s="125">
        <f t="shared" si="44"/>
        <v>0.0619047619</v>
      </c>
      <c r="N90" s="124">
        <f t="shared" si="26"/>
        <v>140.43</v>
      </c>
      <c r="O90" s="126">
        <v>150.0</v>
      </c>
      <c r="P90" s="124">
        <f t="shared" si="8"/>
        <v>-9.57</v>
      </c>
      <c r="S90" s="94"/>
    </row>
    <row r="91" hidden="1" outlineLevel="2">
      <c r="A91" s="132">
        <v>45924.0</v>
      </c>
      <c r="B91" s="329">
        <v>36.0</v>
      </c>
      <c r="C91" s="123"/>
      <c r="D91" s="123">
        <f t="shared" si="40"/>
        <v>36</v>
      </c>
      <c r="E91" s="329">
        <v>1.0</v>
      </c>
      <c r="F91" s="123">
        <f t="shared" si="41"/>
        <v>0</v>
      </c>
      <c r="G91" s="123">
        <f t="shared" si="42"/>
        <v>1</v>
      </c>
      <c r="H91" s="329">
        <v>289.54</v>
      </c>
      <c r="I91" s="124">
        <f t="shared" si="37"/>
        <v>0</v>
      </c>
      <c r="J91" s="124">
        <f t="shared" si="43"/>
        <v>289.54</v>
      </c>
      <c r="K91" s="125">
        <f t="shared" si="6"/>
        <v>0.02777777778</v>
      </c>
      <c r="L91" s="125">
        <v>0.3</v>
      </c>
      <c r="M91" s="125">
        <f t="shared" si="44"/>
        <v>0.2722222222</v>
      </c>
      <c r="N91" s="124">
        <f t="shared" si="26"/>
        <v>289.54</v>
      </c>
      <c r="O91" s="126">
        <v>150.0</v>
      </c>
      <c r="P91" s="124">
        <f t="shared" si="8"/>
        <v>139.54</v>
      </c>
      <c r="S91" s="94"/>
    </row>
    <row r="92" hidden="1" outlineLevel="2">
      <c r="A92" s="132">
        <v>45925.0</v>
      </c>
      <c r="B92" s="329">
        <v>35.0</v>
      </c>
      <c r="C92" s="123"/>
      <c r="D92" s="123">
        <f t="shared" si="40"/>
        <v>35</v>
      </c>
      <c r="E92" s="329">
        <v>11.0</v>
      </c>
      <c r="F92" s="123">
        <f t="shared" si="41"/>
        <v>0</v>
      </c>
      <c r="G92" s="123">
        <f t="shared" si="42"/>
        <v>11</v>
      </c>
      <c r="H92" s="329">
        <v>1280.72</v>
      </c>
      <c r="I92" s="124">
        <f t="shared" si="37"/>
        <v>0</v>
      </c>
      <c r="J92" s="124">
        <f t="shared" si="43"/>
        <v>1280.72</v>
      </c>
      <c r="K92" s="125">
        <f t="shared" si="6"/>
        <v>0.3142857143</v>
      </c>
      <c r="L92" s="125">
        <v>0.3</v>
      </c>
      <c r="M92" s="125">
        <f t="shared" si="44"/>
        <v>-0.01428571429</v>
      </c>
      <c r="N92" s="124">
        <f t="shared" si="26"/>
        <v>116.4290909</v>
      </c>
      <c r="O92" s="126">
        <v>150.0</v>
      </c>
      <c r="P92" s="124">
        <f t="shared" si="8"/>
        <v>-33.57090909</v>
      </c>
      <c r="S92" s="94"/>
    </row>
    <row r="93" hidden="1" outlineLevel="2">
      <c r="A93" s="132">
        <v>45926.0</v>
      </c>
      <c r="B93" s="329">
        <v>43.0</v>
      </c>
      <c r="C93" s="123"/>
      <c r="D93" s="123">
        <f t="shared" si="40"/>
        <v>43</v>
      </c>
      <c r="E93" s="329">
        <v>10.0</v>
      </c>
      <c r="F93" s="123">
        <f t="shared" si="41"/>
        <v>0</v>
      </c>
      <c r="G93" s="123">
        <f t="shared" si="42"/>
        <v>10</v>
      </c>
      <c r="H93" s="329">
        <v>2655.33</v>
      </c>
      <c r="I93" s="124">
        <f t="shared" si="37"/>
        <v>0</v>
      </c>
      <c r="J93" s="124">
        <f t="shared" si="43"/>
        <v>2655.33</v>
      </c>
      <c r="K93" s="125">
        <f t="shared" si="6"/>
        <v>0.2325581395</v>
      </c>
      <c r="L93" s="125">
        <v>0.3</v>
      </c>
      <c r="M93" s="125">
        <f t="shared" si="44"/>
        <v>0.06744186047</v>
      </c>
      <c r="N93" s="124">
        <f t="shared" si="26"/>
        <v>265.533</v>
      </c>
      <c r="O93" s="126">
        <v>150.0</v>
      </c>
      <c r="P93" s="124">
        <f t="shared" si="8"/>
        <v>115.533</v>
      </c>
      <c r="S93" s="94"/>
    </row>
    <row r="94" hidden="1" outlineLevel="2">
      <c r="A94" s="132">
        <v>45927.0</v>
      </c>
      <c r="B94" s="329">
        <v>8.0</v>
      </c>
      <c r="C94" s="123"/>
      <c r="D94" s="123">
        <f t="shared" si="40"/>
        <v>8</v>
      </c>
      <c r="E94" s="329">
        <v>2.0</v>
      </c>
      <c r="F94" s="123">
        <f t="shared" si="41"/>
        <v>0</v>
      </c>
      <c r="G94" s="123">
        <f t="shared" si="42"/>
        <v>2</v>
      </c>
      <c r="H94" s="329">
        <v>637.24</v>
      </c>
      <c r="I94" s="124">
        <f t="shared" si="37"/>
        <v>0</v>
      </c>
      <c r="J94" s="124">
        <f t="shared" si="43"/>
        <v>637.24</v>
      </c>
      <c r="K94" s="125">
        <f t="shared" si="6"/>
        <v>0.25</v>
      </c>
      <c r="L94" s="125">
        <v>0.3</v>
      </c>
      <c r="M94" s="125">
        <f t="shared" si="44"/>
        <v>0.05</v>
      </c>
      <c r="N94" s="124">
        <f t="shared" si="26"/>
        <v>318.62</v>
      </c>
      <c r="O94" s="126">
        <v>150.0</v>
      </c>
      <c r="P94" s="124">
        <f t="shared" si="8"/>
        <v>168.62</v>
      </c>
      <c r="S94" s="94"/>
    </row>
    <row r="95" hidden="1" outlineLevel="2">
      <c r="A95" s="132">
        <v>45928.0</v>
      </c>
      <c r="B95" s="331"/>
      <c r="C95" s="123"/>
      <c r="D95" s="123">
        <f t="shared" si="40"/>
        <v>0</v>
      </c>
      <c r="E95" s="331"/>
      <c r="F95" s="123">
        <f t="shared" si="41"/>
        <v>0</v>
      </c>
      <c r="G95" s="123">
        <f t="shared" si="42"/>
        <v>0</v>
      </c>
      <c r="H95" s="331"/>
      <c r="I95" s="124">
        <f t="shared" si="37"/>
        <v>0</v>
      </c>
      <c r="J95" s="124">
        <f t="shared" si="43"/>
        <v>0</v>
      </c>
      <c r="K95" s="125" t="str">
        <f t="shared" si="6"/>
        <v/>
      </c>
      <c r="L95" s="125">
        <v>0.3</v>
      </c>
      <c r="M95" s="125">
        <f t="shared" si="44"/>
        <v>0.3</v>
      </c>
      <c r="N95" s="124" t="str">
        <f t="shared" si="26"/>
        <v/>
      </c>
      <c r="O95" s="126">
        <v>150.0</v>
      </c>
      <c r="P95" s="124">
        <f t="shared" si="8"/>
        <v>-150</v>
      </c>
      <c r="S95" s="94"/>
    </row>
    <row r="96" hidden="1" outlineLevel="2">
      <c r="A96" s="132">
        <v>45929.0</v>
      </c>
      <c r="B96" s="331"/>
      <c r="C96" s="123"/>
      <c r="D96" s="123">
        <f t="shared" si="40"/>
        <v>0</v>
      </c>
      <c r="E96" s="331"/>
      <c r="F96" s="123">
        <f t="shared" si="41"/>
        <v>0</v>
      </c>
      <c r="G96" s="123">
        <f t="shared" si="42"/>
        <v>0</v>
      </c>
      <c r="H96" s="331"/>
      <c r="I96" s="124">
        <f t="shared" si="37"/>
        <v>0</v>
      </c>
      <c r="J96" s="124">
        <f t="shared" si="43"/>
        <v>0</v>
      </c>
      <c r="K96" s="125" t="str">
        <f t="shared" si="6"/>
        <v/>
      </c>
      <c r="L96" s="125">
        <v>0.3</v>
      </c>
      <c r="M96" s="125">
        <f t="shared" si="44"/>
        <v>0.3</v>
      </c>
      <c r="N96" s="124" t="str">
        <f t="shared" si="26"/>
        <v/>
      </c>
      <c r="O96" s="126">
        <v>150.0</v>
      </c>
      <c r="P96" s="124">
        <f t="shared" si="8"/>
        <v>-150</v>
      </c>
      <c r="S96" s="94"/>
    </row>
    <row r="97" hidden="1" outlineLevel="2">
      <c r="A97" s="132">
        <v>45930.0</v>
      </c>
      <c r="B97" s="329">
        <v>42.0</v>
      </c>
      <c r="C97" s="123"/>
      <c r="D97" s="123">
        <f t="shared" si="40"/>
        <v>42</v>
      </c>
      <c r="E97" s="329">
        <v>10.0</v>
      </c>
      <c r="F97" s="123">
        <f t="shared" si="41"/>
        <v>0</v>
      </c>
      <c r="G97" s="123">
        <f t="shared" si="42"/>
        <v>10</v>
      </c>
      <c r="H97" s="329">
        <v>2065.54</v>
      </c>
      <c r="I97" s="124">
        <f t="shared" si="37"/>
        <v>0</v>
      </c>
      <c r="J97" s="124">
        <f t="shared" si="43"/>
        <v>2065.54</v>
      </c>
      <c r="K97" s="125">
        <f t="shared" si="6"/>
        <v>0.2380952381</v>
      </c>
      <c r="L97" s="125">
        <v>0.3</v>
      </c>
      <c r="M97" s="125">
        <f t="shared" si="44"/>
        <v>0.0619047619</v>
      </c>
      <c r="N97" s="124">
        <f t="shared" si="26"/>
        <v>206.554</v>
      </c>
      <c r="O97" s="126">
        <v>150.0</v>
      </c>
      <c r="P97" s="124">
        <f t="shared" si="8"/>
        <v>56.554</v>
      </c>
      <c r="S97" s="94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9"/>
      <c r="L98" s="140"/>
      <c r="N98" s="138"/>
      <c r="O98" s="141"/>
      <c r="S98" s="94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9"/>
      <c r="L99" s="140"/>
      <c r="N99" s="138"/>
      <c r="O99" s="141"/>
      <c r="S99" s="94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9"/>
      <c r="L100" s="140"/>
      <c r="N100" s="138"/>
      <c r="O100" s="141"/>
      <c r="S100" s="94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9"/>
      <c r="L101" s="140"/>
      <c r="N101" s="138"/>
      <c r="O101" s="141"/>
      <c r="S101" s="94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9"/>
      <c r="L102" s="140"/>
      <c r="N102" s="138"/>
      <c r="O102" s="141"/>
      <c r="S102" s="94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9"/>
      <c r="L103" s="140"/>
      <c r="N103" s="138"/>
      <c r="O103" s="141"/>
      <c r="S103" s="94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9"/>
      <c r="L104" s="140"/>
      <c r="N104" s="138"/>
      <c r="O104" s="141"/>
      <c r="S104" s="94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9"/>
      <c r="L105" s="140"/>
      <c r="N105" s="138"/>
      <c r="O105" s="141"/>
      <c r="S105" s="94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9"/>
      <c r="L106" s="140"/>
      <c r="N106" s="138"/>
      <c r="O106" s="141"/>
      <c r="S106" s="94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9"/>
      <c r="L107" s="140"/>
      <c r="N107" s="138"/>
      <c r="O107" s="141"/>
      <c r="S107" s="94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9"/>
      <c r="L108" s="140"/>
      <c r="N108" s="138"/>
      <c r="O108" s="141"/>
      <c r="S108" s="94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9"/>
      <c r="L109" s="140"/>
      <c r="N109" s="138"/>
      <c r="O109" s="141"/>
      <c r="S109" s="94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9"/>
      <c r="L110" s="140"/>
      <c r="N110" s="138"/>
      <c r="O110" s="141"/>
      <c r="S110" s="94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9"/>
      <c r="L111" s="140"/>
      <c r="N111" s="138"/>
      <c r="O111" s="141"/>
      <c r="S111" s="94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9"/>
      <c r="L112" s="140"/>
      <c r="N112" s="138"/>
      <c r="O112" s="141"/>
      <c r="S112" s="94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9"/>
      <c r="L113" s="140"/>
      <c r="N113" s="138"/>
      <c r="O113" s="141"/>
      <c r="S113" s="94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9"/>
      <c r="L114" s="140"/>
      <c r="N114" s="138"/>
      <c r="O114" s="141"/>
      <c r="S114" s="94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9"/>
      <c r="L115" s="140"/>
      <c r="N115" s="138"/>
      <c r="O115" s="141"/>
      <c r="S115" s="94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9"/>
      <c r="L116" s="140"/>
      <c r="N116" s="138"/>
      <c r="O116" s="141"/>
      <c r="S116" s="94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9"/>
      <c r="L117" s="140"/>
      <c r="N117" s="138"/>
      <c r="O117" s="141"/>
      <c r="S117" s="94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9"/>
      <c r="L118" s="140"/>
      <c r="N118" s="138"/>
      <c r="O118" s="141"/>
      <c r="S118" s="94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9"/>
      <c r="L119" s="140"/>
      <c r="N119" s="138"/>
      <c r="O119" s="141"/>
      <c r="S119" s="94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9"/>
      <c r="L120" s="140"/>
      <c r="N120" s="138"/>
      <c r="O120" s="141"/>
      <c r="S120" s="94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9"/>
      <c r="L121" s="140"/>
      <c r="N121" s="138"/>
      <c r="O121" s="141"/>
      <c r="S121" s="94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9"/>
      <c r="L122" s="140"/>
      <c r="N122" s="138"/>
      <c r="O122" s="141"/>
      <c r="S122" s="94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9"/>
      <c r="L123" s="140"/>
      <c r="N123" s="138"/>
      <c r="O123" s="141"/>
      <c r="S123" s="94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9"/>
      <c r="L124" s="140"/>
      <c r="N124" s="138"/>
      <c r="O124" s="141"/>
      <c r="S124" s="94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9"/>
      <c r="L125" s="140"/>
      <c r="N125" s="138"/>
      <c r="O125" s="141"/>
      <c r="S125" s="94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9"/>
      <c r="L126" s="140"/>
      <c r="N126" s="138"/>
      <c r="O126" s="141"/>
      <c r="S126" s="94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9"/>
      <c r="L127" s="140"/>
      <c r="N127" s="138"/>
      <c r="O127" s="141"/>
      <c r="S127" s="94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9"/>
      <c r="L128" s="140"/>
      <c r="N128" s="138"/>
      <c r="O128" s="141"/>
      <c r="S128" s="94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9"/>
      <c r="L129" s="140"/>
      <c r="N129" s="138"/>
      <c r="O129" s="141"/>
      <c r="S129" s="94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9"/>
      <c r="L130" s="140"/>
      <c r="N130" s="138"/>
      <c r="O130" s="141"/>
      <c r="S130" s="94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9"/>
      <c r="L131" s="140"/>
      <c r="N131" s="138"/>
      <c r="O131" s="141"/>
      <c r="S131" s="94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9"/>
      <c r="L132" s="140"/>
      <c r="N132" s="138"/>
      <c r="O132" s="141"/>
      <c r="S132" s="94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9"/>
      <c r="L133" s="140"/>
      <c r="N133" s="138"/>
      <c r="O133" s="141"/>
      <c r="S133" s="94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9"/>
      <c r="L134" s="140"/>
      <c r="N134" s="138"/>
      <c r="O134" s="141"/>
      <c r="S134" s="94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9"/>
      <c r="L135" s="140"/>
      <c r="N135" s="138"/>
      <c r="O135" s="141"/>
      <c r="S135" s="94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9"/>
      <c r="L136" s="140"/>
      <c r="N136" s="138"/>
      <c r="O136" s="141"/>
      <c r="S136" s="94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9"/>
      <c r="L137" s="140"/>
      <c r="N137" s="138"/>
      <c r="O137" s="141"/>
      <c r="S137" s="94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9"/>
      <c r="L138" s="140"/>
      <c r="N138" s="138"/>
      <c r="O138" s="141"/>
      <c r="S138" s="94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9"/>
      <c r="L139" s="140"/>
      <c r="N139" s="138"/>
      <c r="O139" s="141"/>
      <c r="S139" s="94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9"/>
      <c r="L140" s="140"/>
      <c r="N140" s="138"/>
      <c r="O140" s="141"/>
      <c r="S140" s="94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9"/>
      <c r="L141" s="140"/>
      <c r="N141" s="138"/>
      <c r="O141" s="141"/>
      <c r="S141" s="94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9"/>
      <c r="L142" s="140"/>
      <c r="N142" s="138"/>
      <c r="O142" s="141"/>
      <c r="S142" s="94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9"/>
      <c r="L143" s="140"/>
      <c r="N143" s="138"/>
      <c r="O143" s="141"/>
      <c r="S143" s="94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9"/>
      <c r="L144" s="140"/>
      <c r="N144" s="138"/>
      <c r="O144" s="141"/>
      <c r="S144" s="94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L145" s="140"/>
      <c r="N145" s="138"/>
      <c r="O145" s="141"/>
      <c r="S145" s="94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9"/>
      <c r="L146" s="140"/>
      <c r="N146" s="138"/>
      <c r="O146" s="141"/>
      <c r="S146" s="94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  <c r="L147" s="140"/>
      <c r="N147" s="138"/>
      <c r="O147" s="141"/>
      <c r="S147" s="94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9"/>
      <c r="L148" s="140"/>
      <c r="N148" s="138"/>
      <c r="O148" s="141"/>
      <c r="S148" s="94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9"/>
      <c r="L149" s="140"/>
      <c r="N149" s="138"/>
      <c r="O149" s="141"/>
      <c r="S149" s="94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9"/>
      <c r="L150" s="140"/>
      <c r="N150" s="138"/>
      <c r="O150" s="141"/>
      <c r="S150" s="94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L151" s="140"/>
      <c r="N151" s="138"/>
      <c r="O151" s="141"/>
      <c r="S151" s="94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9"/>
      <c r="L152" s="140"/>
      <c r="N152" s="138"/>
      <c r="O152" s="141"/>
      <c r="S152" s="94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9"/>
      <c r="L153" s="140"/>
      <c r="N153" s="138"/>
      <c r="O153" s="141"/>
      <c r="S153" s="94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9"/>
      <c r="L154" s="140"/>
      <c r="N154" s="138"/>
      <c r="O154" s="141"/>
      <c r="S154" s="94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9"/>
      <c r="L155" s="140"/>
      <c r="N155" s="138"/>
      <c r="O155" s="141"/>
      <c r="S155" s="94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9"/>
      <c r="L156" s="140"/>
      <c r="N156" s="138"/>
      <c r="O156" s="141"/>
      <c r="S156" s="94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9"/>
      <c r="L157" s="140"/>
      <c r="N157" s="138"/>
      <c r="O157" s="141"/>
      <c r="S157" s="94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9"/>
      <c r="L158" s="140"/>
      <c r="N158" s="138"/>
      <c r="O158" s="141"/>
      <c r="S158" s="94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9"/>
      <c r="L159" s="140"/>
      <c r="N159" s="138"/>
      <c r="O159" s="141"/>
      <c r="S159" s="94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9"/>
      <c r="L160" s="140"/>
      <c r="N160" s="138"/>
      <c r="O160" s="141"/>
      <c r="S160" s="94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9"/>
      <c r="L161" s="140"/>
      <c r="N161" s="138"/>
      <c r="O161" s="141"/>
      <c r="S161" s="94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9"/>
      <c r="L162" s="140"/>
      <c r="N162" s="138"/>
      <c r="O162" s="141"/>
      <c r="S162" s="94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9"/>
      <c r="L163" s="140"/>
      <c r="N163" s="138"/>
      <c r="O163" s="141"/>
      <c r="S163" s="94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9"/>
      <c r="L164" s="140"/>
      <c r="N164" s="138"/>
      <c r="O164" s="141"/>
      <c r="S164" s="94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9"/>
      <c r="L165" s="140"/>
      <c r="N165" s="138"/>
      <c r="O165" s="141"/>
      <c r="S165" s="94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9"/>
      <c r="L166" s="140"/>
      <c r="N166" s="138"/>
      <c r="O166" s="141"/>
      <c r="S166" s="94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9"/>
      <c r="L167" s="140"/>
      <c r="N167" s="138"/>
      <c r="O167" s="141"/>
      <c r="S167" s="94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9"/>
      <c r="L168" s="140"/>
      <c r="N168" s="138"/>
      <c r="O168" s="141"/>
      <c r="S168" s="94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9"/>
      <c r="L169" s="140"/>
      <c r="N169" s="138"/>
      <c r="O169" s="141"/>
      <c r="S169" s="94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9"/>
      <c r="L170" s="140"/>
      <c r="N170" s="138"/>
      <c r="O170" s="141"/>
      <c r="S170" s="94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9"/>
      <c r="L171" s="140"/>
      <c r="N171" s="138"/>
      <c r="O171" s="141"/>
      <c r="S171" s="94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9"/>
      <c r="L172" s="140"/>
      <c r="N172" s="138"/>
      <c r="O172" s="141"/>
      <c r="S172" s="94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9"/>
      <c r="L173" s="140"/>
      <c r="N173" s="138"/>
      <c r="O173" s="141"/>
      <c r="S173" s="94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9"/>
      <c r="L174" s="140"/>
      <c r="N174" s="138"/>
      <c r="O174" s="141"/>
      <c r="S174" s="94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9"/>
      <c r="L175" s="140"/>
      <c r="N175" s="138"/>
      <c r="O175" s="141"/>
      <c r="S175" s="94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9"/>
      <c r="L176" s="140"/>
      <c r="N176" s="138"/>
      <c r="O176" s="141"/>
      <c r="S176" s="94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9"/>
      <c r="L177" s="140"/>
      <c r="N177" s="138"/>
      <c r="O177" s="141"/>
      <c r="S177" s="94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9"/>
      <c r="L178" s="140"/>
      <c r="N178" s="138"/>
      <c r="O178" s="141"/>
      <c r="S178" s="94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9"/>
      <c r="L179" s="140"/>
      <c r="N179" s="138"/>
      <c r="O179" s="141"/>
      <c r="S179" s="94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9"/>
      <c r="L180" s="140"/>
      <c r="N180" s="138"/>
      <c r="O180" s="141"/>
      <c r="S180" s="94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9"/>
      <c r="L181" s="140"/>
      <c r="N181" s="138"/>
      <c r="O181" s="141"/>
      <c r="S181" s="94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L182" s="140"/>
      <c r="N182" s="138"/>
      <c r="O182" s="141"/>
      <c r="S182" s="94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9"/>
      <c r="L183" s="140"/>
      <c r="N183" s="138"/>
      <c r="O183" s="141"/>
      <c r="S183" s="94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9"/>
      <c r="L184" s="140"/>
      <c r="N184" s="138"/>
      <c r="O184" s="141"/>
      <c r="S184" s="94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9"/>
      <c r="L185" s="140"/>
      <c r="N185" s="138"/>
      <c r="O185" s="141"/>
      <c r="S185" s="94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9"/>
      <c r="L186" s="140"/>
      <c r="N186" s="138"/>
      <c r="O186" s="141"/>
      <c r="S186" s="94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9"/>
      <c r="L187" s="140"/>
      <c r="N187" s="138"/>
      <c r="O187" s="141"/>
      <c r="S187" s="94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L188" s="140"/>
      <c r="N188" s="138"/>
      <c r="O188" s="141"/>
      <c r="S188" s="94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9"/>
      <c r="L189" s="140"/>
      <c r="N189" s="138"/>
      <c r="O189" s="141"/>
      <c r="S189" s="94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9"/>
      <c r="L190" s="140"/>
      <c r="N190" s="138"/>
      <c r="O190" s="141"/>
      <c r="S190" s="94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9"/>
      <c r="L191" s="140"/>
      <c r="N191" s="138"/>
      <c r="O191" s="141"/>
      <c r="S191" s="94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9"/>
      <c r="L192" s="140"/>
      <c r="N192" s="138"/>
      <c r="O192" s="141"/>
      <c r="S192" s="94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9"/>
      <c r="L193" s="140"/>
      <c r="N193" s="138"/>
      <c r="O193" s="141"/>
      <c r="S193" s="94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9"/>
      <c r="L194" s="140"/>
      <c r="N194" s="138"/>
      <c r="O194" s="141"/>
      <c r="S194" s="94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9"/>
      <c r="L195" s="140"/>
      <c r="N195" s="138"/>
      <c r="O195" s="141"/>
      <c r="S195" s="94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9"/>
      <c r="L196" s="140"/>
      <c r="N196" s="138"/>
      <c r="O196" s="141"/>
      <c r="S196" s="94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9"/>
      <c r="L197" s="140"/>
      <c r="N197" s="138"/>
      <c r="O197" s="141"/>
      <c r="S197" s="94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9"/>
      <c r="L198" s="140"/>
      <c r="N198" s="138"/>
      <c r="O198" s="141"/>
      <c r="S198" s="94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9"/>
      <c r="L199" s="140"/>
      <c r="N199" s="138"/>
      <c r="O199" s="141"/>
      <c r="S199" s="94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9"/>
      <c r="L200" s="140"/>
      <c r="N200" s="138"/>
      <c r="O200" s="141"/>
      <c r="S200" s="94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9"/>
      <c r="L201" s="140"/>
      <c r="N201" s="138"/>
      <c r="O201" s="141"/>
      <c r="S201" s="94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9"/>
      <c r="L202" s="140"/>
      <c r="N202" s="138"/>
      <c r="O202" s="141"/>
      <c r="S202" s="94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9"/>
      <c r="L203" s="140"/>
      <c r="N203" s="138"/>
      <c r="O203" s="141"/>
      <c r="S203" s="94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9"/>
      <c r="L204" s="140"/>
      <c r="N204" s="138"/>
      <c r="O204" s="141"/>
      <c r="S204" s="94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9"/>
      <c r="L205" s="140"/>
      <c r="N205" s="138"/>
      <c r="O205" s="141"/>
      <c r="S205" s="94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9"/>
      <c r="L206" s="140"/>
      <c r="N206" s="138"/>
      <c r="O206" s="141"/>
      <c r="S206" s="94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9"/>
      <c r="L207" s="140"/>
      <c r="N207" s="138"/>
      <c r="O207" s="141"/>
      <c r="S207" s="94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9"/>
      <c r="L208" s="140"/>
      <c r="N208" s="138"/>
      <c r="O208" s="141"/>
      <c r="S208" s="94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9"/>
      <c r="L209" s="140"/>
      <c r="N209" s="138"/>
      <c r="O209" s="141"/>
      <c r="S209" s="94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9"/>
      <c r="L210" s="140"/>
      <c r="N210" s="138"/>
      <c r="O210" s="141"/>
      <c r="S210" s="94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9"/>
      <c r="L211" s="140"/>
      <c r="N211" s="138"/>
      <c r="O211" s="141"/>
      <c r="S211" s="94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9"/>
      <c r="L212" s="140"/>
      <c r="N212" s="138"/>
      <c r="O212" s="141"/>
      <c r="S212" s="94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9"/>
      <c r="L213" s="140"/>
      <c r="N213" s="138"/>
      <c r="O213" s="141"/>
      <c r="S213" s="94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9"/>
      <c r="L214" s="140"/>
      <c r="N214" s="138"/>
      <c r="O214" s="141"/>
      <c r="S214" s="94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9"/>
      <c r="L215" s="140"/>
      <c r="N215" s="138"/>
      <c r="O215" s="141"/>
      <c r="S215" s="94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9"/>
      <c r="L216" s="140"/>
      <c r="N216" s="138"/>
      <c r="O216" s="141"/>
      <c r="S216" s="94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9"/>
      <c r="L217" s="140"/>
      <c r="N217" s="138"/>
      <c r="O217" s="141"/>
      <c r="S217" s="94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9"/>
      <c r="L218" s="140"/>
      <c r="N218" s="138"/>
      <c r="O218" s="141"/>
      <c r="S218" s="94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L219" s="140"/>
      <c r="N219" s="138"/>
      <c r="O219" s="141"/>
      <c r="S219" s="94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9"/>
      <c r="L220" s="140"/>
      <c r="N220" s="138"/>
      <c r="O220" s="141"/>
      <c r="S220" s="94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9"/>
      <c r="L221" s="140"/>
      <c r="N221" s="138"/>
      <c r="O221" s="141"/>
      <c r="S221" s="94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9"/>
      <c r="L222" s="140"/>
      <c r="N222" s="138"/>
      <c r="O222" s="141"/>
      <c r="S222" s="94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9"/>
      <c r="L223" s="140"/>
      <c r="N223" s="138"/>
      <c r="O223" s="141"/>
      <c r="S223" s="94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9"/>
      <c r="L224" s="140"/>
      <c r="N224" s="138"/>
      <c r="O224" s="141"/>
      <c r="S224" s="94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L225" s="140"/>
      <c r="N225" s="138"/>
      <c r="O225" s="141"/>
      <c r="S225" s="94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L226" s="140"/>
      <c r="N226" s="138"/>
      <c r="O226" s="141"/>
      <c r="S226" s="94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9"/>
      <c r="L227" s="140"/>
      <c r="N227" s="138"/>
      <c r="O227" s="141"/>
      <c r="S227" s="94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9"/>
      <c r="L228" s="140"/>
      <c r="N228" s="138"/>
      <c r="O228" s="141"/>
      <c r="S228" s="94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9"/>
      <c r="L229" s="140"/>
      <c r="N229" s="138"/>
      <c r="O229" s="141"/>
      <c r="S229" s="94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9"/>
      <c r="L230" s="140"/>
      <c r="N230" s="138"/>
      <c r="O230" s="141"/>
      <c r="S230" s="94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9"/>
      <c r="L231" s="140"/>
      <c r="N231" s="138"/>
      <c r="O231" s="141"/>
      <c r="S231" s="94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9"/>
      <c r="L232" s="140"/>
      <c r="N232" s="138"/>
      <c r="O232" s="141"/>
      <c r="S232" s="94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9"/>
      <c r="L233" s="140"/>
      <c r="N233" s="138"/>
      <c r="O233" s="141"/>
      <c r="S233" s="94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9"/>
      <c r="L234" s="140"/>
      <c r="N234" s="138"/>
      <c r="O234" s="141"/>
      <c r="S234" s="94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9"/>
      <c r="L235" s="140"/>
      <c r="N235" s="138"/>
      <c r="O235" s="141"/>
      <c r="S235" s="94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9"/>
      <c r="L236" s="140"/>
      <c r="N236" s="138"/>
      <c r="O236" s="141"/>
      <c r="S236" s="94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9"/>
      <c r="L237" s="140"/>
      <c r="N237" s="138"/>
      <c r="O237" s="141"/>
      <c r="S237" s="94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9"/>
      <c r="L238" s="140"/>
      <c r="N238" s="138"/>
      <c r="O238" s="141"/>
      <c r="S238" s="94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9"/>
      <c r="L239" s="140"/>
      <c r="N239" s="138"/>
      <c r="O239" s="141"/>
      <c r="S239" s="94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9"/>
      <c r="L240" s="140"/>
      <c r="N240" s="138"/>
      <c r="O240" s="141"/>
      <c r="S240" s="94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9"/>
      <c r="L241" s="140"/>
      <c r="N241" s="138"/>
      <c r="O241" s="141"/>
      <c r="S241" s="94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9"/>
      <c r="L242" s="140"/>
      <c r="N242" s="138"/>
      <c r="O242" s="141"/>
      <c r="S242" s="94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9"/>
      <c r="L243" s="140"/>
      <c r="N243" s="138"/>
      <c r="O243" s="141"/>
      <c r="S243" s="94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9"/>
      <c r="L244" s="140"/>
      <c r="N244" s="138"/>
      <c r="O244" s="141"/>
      <c r="S244" s="94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9"/>
      <c r="L245" s="140"/>
      <c r="N245" s="138"/>
      <c r="O245" s="141"/>
      <c r="S245" s="94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9"/>
      <c r="L246" s="140"/>
      <c r="N246" s="138"/>
      <c r="O246" s="141"/>
      <c r="S246" s="94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9"/>
      <c r="L247" s="140"/>
      <c r="N247" s="138"/>
      <c r="O247" s="141"/>
      <c r="S247" s="94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9"/>
      <c r="L248" s="140"/>
      <c r="N248" s="138"/>
      <c r="O248" s="141"/>
      <c r="S248" s="94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9"/>
      <c r="L249" s="140"/>
      <c r="N249" s="138"/>
      <c r="O249" s="141"/>
      <c r="S249" s="94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9"/>
      <c r="L250" s="140"/>
      <c r="N250" s="138"/>
      <c r="O250" s="141"/>
      <c r="S250" s="94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9"/>
      <c r="L251" s="140"/>
      <c r="N251" s="138"/>
      <c r="O251" s="141"/>
      <c r="S251" s="94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9"/>
      <c r="L252" s="140"/>
      <c r="N252" s="138"/>
      <c r="O252" s="141"/>
      <c r="S252" s="94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9"/>
      <c r="L253" s="140"/>
      <c r="N253" s="138"/>
      <c r="O253" s="141"/>
      <c r="S253" s="94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9"/>
      <c r="L254" s="140"/>
      <c r="N254" s="138"/>
      <c r="O254" s="141"/>
      <c r="S254" s="94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9"/>
      <c r="L255" s="140"/>
      <c r="N255" s="138"/>
      <c r="O255" s="141"/>
      <c r="S255" s="94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L256" s="140"/>
      <c r="N256" s="138"/>
      <c r="O256" s="141"/>
      <c r="S256" s="94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9"/>
      <c r="L257" s="140"/>
      <c r="N257" s="138"/>
      <c r="O257" s="141"/>
      <c r="S257" s="94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9"/>
      <c r="L258" s="140"/>
      <c r="N258" s="138"/>
      <c r="O258" s="141"/>
      <c r="S258" s="94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9"/>
      <c r="L259" s="140"/>
      <c r="N259" s="138"/>
      <c r="O259" s="141"/>
      <c r="S259" s="94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9"/>
      <c r="L260" s="140"/>
      <c r="N260" s="138"/>
      <c r="O260" s="141"/>
      <c r="S260" s="94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9"/>
      <c r="L261" s="140"/>
      <c r="N261" s="138"/>
      <c r="O261" s="141"/>
      <c r="S261" s="94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L262" s="140"/>
      <c r="N262" s="138"/>
      <c r="O262" s="141"/>
      <c r="S262" s="94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9"/>
      <c r="L263" s="140"/>
      <c r="N263" s="138"/>
      <c r="O263" s="141"/>
      <c r="S263" s="94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9"/>
      <c r="L264" s="140"/>
      <c r="N264" s="138"/>
      <c r="O264" s="141"/>
      <c r="S264" s="94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9"/>
      <c r="L265" s="140"/>
      <c r="N265" s="138"/>
      <c r="O265" s="141"/>
      <c r="S265" s="94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9"/>
      <c r="L266" s="140"/>
      <c r="N266" s="138"/>
      <c r="O266" s="141"/>
      <c r="S266" s="94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9"/>
      <c r="L267" s="140"/>
      <c r="N267" s="138"/>
      <c r="O267" s="141"/>
      <c r="S267" s="94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9"/>
      <c r="L268" s="140"/>
      <c r="N268" s="138"/>
      <c r="O268" s="141"/>
      <c r="S268" s="94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9"/>
      <c r="L269" s="140"/>
      <c r="N269" s="138"/>
      <c r="O269" s="141"/>
      <c r="S269" s="94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9"/>
      <c r="L270" s="140"/>
      <c r="N270" s="138"/>
      <c r="O270" s="141"/>
      <c r="S270" s="94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9"/>
      <c r="L271" s="140"/>
      <c r="N271" s="138"/>
      <c r="O271" s="141"/>
      <c r="S271" s="94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9"/>
      <c r="L272" s="140"/>
      <c r="N272" s="138"/>
      <c r="O272" s="141"/>
      <c r="S272" s="94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9"/>
      <c r="L273" s="140"/>
      <c r="N273" s="138"/>
      <c r="O273" s="141"/>
      <c r="S273" s="94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9"/>
      <c r="L274" s="140"/>
      <c r="N274" s="138"/>
      <c r="O274" s="141"/>
      <c r="S274" s="94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9"/>
      <c r="L275" s="140"/>
      <c r="N275" s="138"/>
      <c r="O275" s="141"/>
      <c r="S275" s="94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9"/>
      <c r="L276" s="140"/>
      <c r="N276" s="138"/>
      <c r="O276" s="141"/>
      <c r="S276" s="94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9"/>
      <c r="L277" s="140"/>
      <c r="N277" s="138"/>
      <c r="O277" s="141"/>
      <c r="S277" s="94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9"/>
      <c r="L278" s="140"/>
      <c r="N278" s="138"/>
      <c r="O278" s="141"/>
      <c r="S278" s="94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9"/>
      <c r="L279" s="140"/>
      <c r="N279" s="138"/>
      <c r="O279" s="141"/>
      <c r="S279" s="94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9"/>
      <c r="L280" s="140"/>
      <c r="N280" s="138"/>
      <c r="O280" s="141"/>
      <c r="S280" s="94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9"/>
      <c r="L281" s="140"/>
      <c r="N281" s="138"/>
      <c r="O281" s="141"/>
      <c r="S281" s="94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9"/>
      <c r="L282" s="140"/>
      <c r="N282" s="138"/>
      <c r="O282" s="141"/>
      <c r="S282" s="94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9"/>
      <c r="L283" s="140"/>
      <c r="N283" s="138"/>
      <c r="O283" s="141"/>
      <c r="S283" s="94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9"/>
      <c r="L284" s="140"/>
      <c r="N284" s="138"/>
      <c r="O284" s="141"/>
      <c r="S284" s="94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9"/>
      <c r="L285" s="140"/>
      <c r="N285" s="138"/>
      <c r="O285" s="141"/>
      <c r="S285" s="94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9"/>
      <c r="L286" s="140"/>
      <c r="N286" s="138"/>
      <c r="O286" s="141"/>
      <c r="S286" s="94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9"/>
      <c r="L287" s="140"/>
      <c r="N287" s="138"/>
      <c r="O287" s="141"/>
      <c r="S287" s="94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9"/>
      <c r="L288" s="140"/>
      <c r="N288" s="138"/>
      <c r="O288" s="141"/>
      <c r="S288" s="94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9"/>
      <c r="L289" s="140"/>
      <c r="N289" s="138"/>
      <c r="O289" s="141"/>
      <c r="S289" s="94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9"/>
      <c r="L290" s="140"/>
      <c r="N290" s="138"/>
      <c r="O290" s="141"/>
      <c r="S290" s="94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9"/>
      <c r="L291" s="140"/>
      <c r="N291" s="138"/>
      <c r="O291" s="141"/>
      <c r="S291" s="94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9"/>
      <c r="L292" s="140"/>
      <c r="N292" s="138"/>
      <c r="O292" s="141"/>
      <c r="S292" s="94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L293" s="140"/>
      <c r="N293" s="138"/>
      <c r="O293" s="141"/>
      <c r="S293" s="94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9"/>
      <c r="L294" s="140"/>
      <c r="N294" s="138"/>
      <c r="O294" s="141"/>
      <c r="S294" s="94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9"/>
      <c r="L295" s="140"/>
      <c r="N295" s="138"/>
      <c r="O295" s="141"/>
      <c r="S295" s="94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9"/>
      <c r="L296" s="140"/>
      <c r="N296" s="138"/>
      <c r="O296" s="141"/>
      <c r="S296" s="94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9"/>
      <c r="L297" s="140"/>
      <c r="N297" s="138"/>
      <c r="O297" s="141"/>
      <c r="S297" s="94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9"/>
      <c r="L298" s="140"/>
      <c r="N298" s="138"/>
      <c r="O298" s="141"/>
      <c r="S298" s="94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L299" s="140"/>
      <c r="N299" s="138"/>
      <c r="O299" s="141"/>
      <c r="S299" s="94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9"/>
      <c r="L300" s="140"/>
      <c r="N300" s="138"/>
      <c r="O300" s="141"/>
      <c r="S300" s="94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9"/>
      <c r="L301" s="140"/>
      <c r="N301" s="138"/>
      <c r="O301" s="141"/>
      <c r="S301" s="94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9"/>
      <c r="L302" s="140"/>
      <c r="N302" s="138"/>
      <c r="O302" s="141"/>
      <c r="S302" s="94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9"/>
      <c r="L303" s="140"/>
      <c r="N303" s="138"/>
      <c r="O303" s="141"/>
      <c r="S303" s="94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9"/>
      <c r="L304" s="140"/>
      <c r="N304" s="138"/>
      <c r="O304" s="141"/>
      <c r="S304" s="94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9"/>
      <c r="L305" s="140"/>
      <c r="N305" s="138"/>
      <c r="O305" s="141"/>
      <c r="S305" s="94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9"/>
      <c r="L306" s="140"/>
      <c r="N306" s="138"/>
      <c r="O306" s="141"/>
      <c r="S306" s="94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9"/>
      <c r="L307" s="140"/>
      <c r="N307" s="138"/>
      <c r="O307" s="141"/>
      <c r="S307" s="94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9"/>
      <c r="L308" s="140"/>
      <c r="N308" s="138"/>
      <c r="O308" s="141"/>
      <c r="S308" s="94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9"/>
      <c r="L309" s="140"/>
      <c r="N309" s="138"/>
      <c r="O309" s="141"/>
      <c r="S309" s="94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9"/>
      <c r="L310" s="140"/>
      <c r="N310" s="138"/>
      <c r="O310" s="141"/>
      <c r="S310" s="94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9"/>
      <c r="L311" s="140"/>
      <c r="N311" s="138"/>
      <c r="O311" s="141"/>
      <c r="S311" s="94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9"/>
      <c r="L312" s="140"/>
      <c r="N312" s="138"/>
      <c r="O312" s="141"/>
      <c r="S312" s="94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9"/>
      <c r="L313" s="140"/>
      <c r="N313" s="138"/>
      <c r="O313" s="141"/>
      <c r="S313" s="94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9"/>
      <c r="L314" s="140"/>
      <c r="N314" s="138"/>
      <c r="O314" s="141"/>
      <c r="S314" s="94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9"/>
      <c r="L315" s="140"/>
      <c r="N315" s="138"/>
      <c r="O315" s="141"/>
      <c r="S315" s="94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9"/>
      <c r="L316" s="140"/>
      <c r="N316" s="138"/>
      <c r="O316" s="141"/>
      <c r="S316" s="94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9"/>
      <c r="L317" s="140"/>
      <c r="N317" s="138"/>
      <c r="O317" s="141"/>
      <c r="S317" s="94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9"/>
      <c r="L318" s="140"/>
      <c r="N318" s="138"/>
      <c r="O318" s="141"/>
      <c r="S318" s="94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9"/>
      <c r="L319" s="140"/>
      <c r="N319" s="138"/>
      <c r="O319" s="141"/>
      <c r="S319" s="94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9"/>
      <c r="L320" s="140"/>
      <c r="N320" s="138"/>
      <c r="O320" s="141"/>
      <c r="S320" s="94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9"/>
      <c r="L321" s="140"/>
      <c r="N321" s="138"/>
      <c r="O321" s="141"/>
      <c r="S321" s="94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9"/>
      <c r="L322" s="140"/>
      <c r="N322" s="138"/>
      <c r="O322" s="141"/>
      <c r="S322" s="94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9"/>
      <c r="L323" s="140"/>
      <c r="N323" s="138"/>
      <c r="O323" s="141"/>
      <c r="S323" s="94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9"/>
      <c r="L324" s="140"/>
      <c r="N324" s="138"/>
      <c r="O324" s="141"/>
      <c r="S324" s="94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9"/>
      <c r="L325" s="140"/>
      <c r="N325" s="138"/>
      <c r="O325" s="141"/>
      <c r="S325" s="94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9"/>
      <c r="L326" s="140"/>
      <c r="N326" s="138"/>
      <c r="O326" s="141"/>
      <c r="S326" s="94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9"/>
      <c r="L327" s="140"/>
      <c r="N327" s="138"/>
      <c r="O327" s="141"/>
      <c r="S327" s="94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9"/>
      <c r="L328" s="140"/>
      <c r="N328" s="138"/>
      <c r="O328" s="141"/>
      <c r="S328" s="94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9"/>
      <c r="L329" s="140"/>
      <c r="N329" s="138"/>
      <c r="O329" s="141"/>
      <c r="S329" s="94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L330" s="140"/>
      <c r="N330" s="138"/>
      <c r="O330" s="141"/>
      <c r="S330" s="94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9"/>
      <c r="L331" s="140"/>
      <c r="N331" s="138"/>
      <c r="O331" s="141"/>
      <c r="S331" s="94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9"/>
      <c r="L332" s="140"/>
      <c r="N332" s="138"/>
      <c r="O332" s="141"/>
      <c r="S332" s="94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9"/>
      <c r="L333" s="140"/>
      <c r="N333" s="138"/>
      <c r="O333" s="141"/>
      <c r="S333" s="94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9"/>
      <c r="L334" s="140"/>
      <c r="N334" s="138"/>
      <c r="O334" s="141"/>
      <c r="S334" s="94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9"/>
      <c r="L335" s="140"/>
      <c r="N335" s="138"/>
      <c r="O335" s="141"/>
      <c r="S335" s="94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L336" s="140"/>
      <c r="N336" s="138"/>
      <c r="O336" s="141"/>
      <c r="S336" s="94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9"/>
      <c r="L337" s="140"/>
      <c r="N337" s="138"/>
      <c r="O337" s="141"/>
      <c r="S337" s="94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9"/>
      <c r="L338" s="140"/>
      <c r="N338" s="138"/>
      <c r="O338" s="141"/>
      <c r="S338" s="94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9"/>
      <c r="L339" s="140"/>
      <c r="N339" s="138"/>
      <c r="O339" s="141"/>
      <c r="S339" s="94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9"/>
      <c r="L340" s="140"/>
      <c r="N340" s="138"/>
      <c r="O340" s="141"/>
      <c r="S340" s="94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9"/>
      <c r="L341" s="140"/>
      <c r="N341" s="138"/>
      <c r="O341" s="141"/>
      <c r="S341" s="94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9"/>
      <c r="L342" s="140"/>
      <c r="N342" s="138"/>
      <c r="O342" s="141"/>
      <c r="S342" s="94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9"/>
      <c r="L343" s="140"/>
      <c r="N343" s="138"/>
      <c r="O343" s="141"/>
      <c r="S343" s="94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9"/>
      <c r="L344" s="140"/>
      <c r="N344" s="138"/>
      <c r="O344" s="141"/>
      <c r="S344" s="94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9"/>
      <c r="L345" s="140"/>
      <c r="N345" s="138"/>
      <c r="O345" s="141"/>
      <c r="S345" s="94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9"/>
      <c r="L346" s="140"/>
      <c r="N346" s="138"/>
      <c r="O346" s="141"/>
      <c r="S346" s="94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9"/>
      <c r="L347" s="140"/>
      <c r="N347" s="138"/>
      <c r="O347" s="141"/>
      <c r="S347" s="94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9"/>
      <c r="L348" s="140"/>
      <c r="N348" s="138"/>
      <c r="O348" s="141"/>
      <c r="S348" s="94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9"/>
      <c r="L349" s="140"/>
      <c r="N349" s="138"/>
      <c r="O349" s="141"/>
      <c r="S349" s="94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9"/>
      <c r="L350" s="140"/>
      <c r="N350" s="138"/>
      <c r="O350" s="141"/>
      <c r="S350" s="94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9"/>
      <c r="L351" s="140"/>
      <c r="N351" s="138"/>
      <c r="O351" s="141"/>
      <c r="S351" s="94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9"/>
      <c r="L352" s="140"/>
      <c r="N352" s="138"/>
      <c r="O352" s="141"/>
      <c r="S352" s="94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9"/>
      <c r="L353" s="140"/>
      <c r="N353" s="138"/>
      <c r="O353" s="141"/>
      <c r="S353" s="94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9"/>
      <c r="L354" s="140"/>
      <c r="N354" s="138"/>
      <c r="O354" s="141"/>
      <c r="S354" s="94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9"/>
      <c r="L355" s="140"/>
      <c r="N355" s="138"/>
      <c r="O355" s="141"/>
      <c r="S355" s="94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9"/>
      <c r="L356" s="140"/>
      <c r="N356" s="138"/>
      <c r="O356" s="141"/>
      <c r="S356" s="94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9"/>
      <c r="L357" s="140"/>
      <c r="N357" s="138"/>
      <c r="O357" s="141"/>
      <c r="S357" s="94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9"/>
      <c r="L358" s="140"/>
      <c r="N358" s="138"/>
      <c r="O358" s="141"/>
      <c r="S358" s="94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9"/>
      <c r="L359" s="140"/>
      <c r="N359" s="138"/>
      <c r="O359" s="141"/>
      <c r="S359" s="94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9"/>
      <c r="L360" s="140"/>
      <c r="N360" s="138"/>
      <c r="O360" s="141"/>
      <c r="S360" s="94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9"/>
      <c r="L361" s="140"/>
      <c r="N361" s="138"/>
      <c r="O361" s="141"/>
      <c r="S361" s="94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9"/>
      <c r="L362" s="140"/>
      <c r="N362" s="138"/>
      <c r="O362" s="141"/>
      <c r="S362" s="94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9"/>
      <c r="L363" s="140"/>
      <c r="N363" s="138"/>
      <c r="O363" s="141"/>
      <c r="S363" s="94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9"/>
      <c r="L364" s="140"/>
      <c r="N364" s="138"/>
      <c r="O364" s="141"/>
      <c r="S364" s="94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9"/>
      <c r="L365" s="140"/>
      <c r="N365" s="138"/>
      <c r="O365" s="141"/>
      <c r="S365" s="94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9"/>
      <c r="L366" s="140"/>
      <c r="N366" s="138"/>
      <c r="O366" s="141"/>
      <c r="S366" s="94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L367" s="140"/>
      <c r="N367" s="138"/>
      <c r="O367" s="141"/>
      <c r="S367" s="94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9"/>
      <c r="L368" s="140"/>
      <c r="N368" s="138"/>
      <c r="O368" s="141"/>
      <c r="S368" s="94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9"/>
      <c r="L369" s="140"/>
      <c r="N369" s="138"/>
      <c r="O369" s="141"/>
      <c r="S369" s="94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9"/>
      <c r="L370" s="140"/>
      <c r="N370" s="138"/>
      <c r="O370" s="141"/>
      <c r="S370" s="94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9"/>
      <c r="L371" s="140"/>
      <c r="N371" s="138"/>
      <c r="O371" s="141"/>
      <c r="S371" s="94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9"/>
      <c r="L372" s="140"/>
      <c r="N372" s="138"/>
      <c r="O372" s="141"/>
      <c r="S372" s="94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L373" s="140"/>
      <c r="N373" s="138"/>
      <c r="O373" s="141"/>
      <c r="S373" s="94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9"/>
      <c r="L374" s="140"/>
      <c r="N374" s="138"/>
      <c r="O374" s="141"/>
      <c r="S374" s="94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9"/>
      <c r="L375" s="140"/>
      <c r="N375" s="138"/>
      <c r="O375" s="141"/>
      <c r="S375" s="94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9"/>
      <c r="L376" s="140"/>
      <c r="N376" s="138"/>
      <c r="O376" s="141"/>
      <c r="S376" s="94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9"/>
      <c r="L377" s="140"/>
      <c r="N377" s="138"/>
      <c r="O377" s="141"/>
      <c r="S377" s="94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9"/>
      <c r="L378" s="140"/>
      <c r="N378" s="138"/>
      <c r="O378" s="141"/>
      <c r="S378" s="94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9"/>
      <c r="L379" s="140"/>
      <c r="N379" s="138"/>
      <c r="O379" s="141"/>
      <c r="S379" s="94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9"/>
      <c r="L380" s="140"/>
      <c r="N380" s="138"/>
      <c r="O380" s="141"/>
      <c r="S380" s="94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9"/>
      <c r="L381" s="140"/>
      <c r="N381" s="138"/>
      <c r="O381" s="141"/>
      <c r="S381" s="94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9"/>
      <c r="L382" s="140"/>
      <c r="N382" s="138"/>
      <c r="O382" s="141"/>
      <c r="S382" s="94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9"/>
      <c r="L383" s="140"/>
      <c r="N383" s="138"/>
      <c r="O383" s="141"/>
      <c r="S383" s="94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9"/>
      <c r="L384" s="140"/>
      <c r="N384" s="138"/>
      <c r="O384" s="141"/>
      <c r="S384" s="94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9"/>
      <c r="L385" s="140"/>
      <c r="N385" s="138"/>
      <c r="O385" s="141"/>
      <c r="S385" s="94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9"/>
      <c r="L386" s="140"/>
      <c r="N386" s="138"/>
      <c r="O386" s="141"/>
      <c r="S386" s="94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9"/>
      <c r="L387" s="140"/>
      <c r="N387" s="138"/>
      <c r="O387" s="141"/>
      <c r="S387" s="94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9"/>
      <c r="L388" s="140"/>
      <c r="N388" s="138"/>
      <c r="O388" s="141"/>
      <c r="S388" s="94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9"/>
      <c r="L389" s="140"/>
      <c r="N389" s="138"/>
      <c r="O389" s="141"/>
      <c r="S389" s="94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9"/>
      <c r="L390" s="140"/>
      <c r="N390" s="138"/>
      <c r="O390" s="141"/>
      <c r="S390" s="94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9"/>
      <c r="L391" s="140"/>
      <c r="N391" s="138"/>
      <c r="O391" s="141"/>
      <c r="S391" s="94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9"/>
      <c r="L392" s="140"/>
      <c r="N392" s="138"/>
      <c r="O392" s="141"/>
      <c r="S392" s="94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9"/>
      <c r="L393" s="140"/>
      <c r="N393" s="138"/>
      <c r="O393" s="141"/>
      <c r="S393" s="94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9"/>
      <c r="L394" s="140"/>
      <c r="N394" s="138"/>
      <c r="O394" s="141"/>
      <c r="S394" s="94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9"/>
      <c r="L395" s="140"/>
      <c r="N395" s="138"/>
      <c r="O395" s="141"/>
      <c r="S395" s="94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9"/>
      <c r="L396" s="140"/>
      <c r="N396" s="138"/>
      <c r="O396" s="141"/>
      <c r="S396" s="94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9"/>
      <c r="L397" s="140"/>
      <c r="N397" s="138"/>
      <c r="O397" s="141"/>
      <c r="S397" s="94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9"/>
      <c r="L398" s="140"/>
      <c r="N398" s="138"/>
      <c r="O398" s="141"/>
      <c r="S398" s="94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9"/>
      <c r="L399" s="140"/>
      <c r="N399" s="138"/>
      <c r="O399" s="141"/>
      <c r="S399" s="94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9"/>
      <c r="L400" s="140"/>
      <c r="N400" s="138"/>
      <c r="O400" s="141"/>
      <c r="S400" s="94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9"/>
      <c r="L401" s="140"/>
      <c r="N401" s="138"/>
      <c r="O401" s="141"/>
      <c r="S401" s="94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9"/>
      <c r="L402" s="140"/>
      <c r="N402" s="138"/>
      <c r="O402" s="141"/>
      <c r="S402" s="94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9"/>
      <c r="L403" s="140"/>
      <c r="N403" s="138"/>
      <c r="O403" s="141"/>
      <c r="S403" s="94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L404" s="140"/>
      <c r="N404" s="138"/>
      <c r="O404" s="141"/>
      <c r="S404" s="94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9"/>
      <c r="L405" s="140"/>
      <c r="N405" s="138"/>
      <c r="O405" s="141"/>
      <c r="S405" s="94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9"/>
      <c r="L406" s="140"/>
      <c r="N406" s="138"/>
      <c r="O406" s="141"/>
      <c r="S406" s="94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9"/>
      <c r="L407" s="140"/>
      <c r="N407" s="138"/>
      <c r="O407" s="141"/>
      <c r="S407" s="94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9"/>
      <c r="L408" s="140"/>
      <c r="N408" s="138"/>
      <c r="O408" s="141"/>
      <c r="S408" s="94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9"/>
      <c r="L409" s="140"/>
      <c r="N409" s="138"/>
      <c r="O409" s="141"/>
      <c r="S409" s="94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L410" s="140"/>
      <c r="N410" s="138"/>
      <c r="O410" s="141"/>
      <c r="S410" s="94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9"/>
      <c r="L411" s="140"/>
      <c r="N411" s="138"/>
      <c r="O411" s="141"/>
      <c r="S411" s="94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9"/>
      <c r="L412" s="140"/>
      <c r="N412" s="138"/>
      <c r="O412" s="141"/>
      <c r="S412" s="94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9"/>
      <c r="L413" s="140"/>
      <c r="N413" s="138"/>
      <c r="O413" s="141"/>
      <c r="S413" s="94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9"/>
      <c r="L414" s="140"/>
      <c r="N414" s="138"/>
      <c r="O414" s="141"/>
      <c r="S414" s="94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9"/>
      <c r="L415" s="140"/>
      <c r="N415" s="138"/>
      <c r="O415" s="141"/>
      <c r="S415" s="94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9"/>
      <c r="L416" s="140"/>
      <c r="N416" s="138"/>
      <c r="O416" s="141"/>
      <c r="S416" s="94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9"/>
      <c r="L417" s="140"/>
      <c r="N417" s="138"/>
      <c r="O417" s="141"/>
      <c r="S417" s="94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9"/>
      <c r="L418" s="140"/>
      <c r="N418" s="138"/>
      <c r="O418" s="141"/>
      <c r="S418" s="94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9"/>
      <c r="L419" s="140"/>
      <c r="N419" s="138"/>
      <c r="O419" s="141"/>
      <c r="S419" s="94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9"/>
      <c r="L420" s="140"/>
      <c r="N420" s="138"/>
      <c r="O420" s="141"/>
      <c r="S420" s="94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9"/>
      <c r="L421" s="140"/>
      <c r="N421" s="138"/>
      <c r="O421" s="141"/>
      <c r="S421" s="94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9"/>
      <c r="L422" s="140"/>
      <c r="N422" s="138"/>
      <c r="O422" s="141"/>
      <c r="S422" s="94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9"/>
      <c r="L423" s="140"/>
      <c r="N423" s="138"/>
      <c r="O423" s="141"/>
      <c r="S423" s="94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9"/>
      <c r="L424" s="140"/>
      <c r="N424" s="138"/>
      <c r="O424" s="141"/>
      <c r="S424" s="94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9"/>
      <c r="L425" s="140"/>
      <c r="N425" s="138"/>
      <c r="O425" s="141"/>
      <c r="S425" s="94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9"/>
      <c r="L426" s="140"/>
      <c r="N426" s="138"/>
      <c r="O426" s="141"/>
      <c r="S426" s="94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9"/>
      <c r="L427" s="140"/>
      <c r="N427" s="138"/>
      <c r="O427" s="141"/>
      <c r="S427" s="94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9"/>
      <c r="L428" s="140"/>
      <c r="N428" s="138"/>
      <c r="O428" s="141"/>
      <c r="S428" s="94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9"/>
      <c r="L429" s="140"/>
      <c r="N429" s="138"/>
      <c r="O429" s="141"/>
      <c r="S429" s="94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9"/>
      <c r="L430" s="140"/>
      <c r="N430" s="138"/>
      <c r="O430" s="141"/>
      <c r="S430" s="94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9"/>
      <c r="L431" s="140"/>
      <c r="N431" s="138"/>
      <c r="O431" s="141"/>
      <c r="S431" s="94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9"/>
      <c r="L432" s="140"/>
      <c r="N432" s="138"/>
      <c r="O432" s="141"/>
      <c r="S432" s="94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9"/>
      <c r="L433" s="140"/>
      <c r="N433" s="138"/>
      <c r="O433" s="141"/>
      <c r="S433" s="94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9"/>
      <c r="L434" s="140"/>
      <c r="N434" s="138"/>
      <c r="O434" s="141"/>
      <c r="S434" s="94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9"/>
      <c r="L435" s="140"/>
      <c r="N435" s="138"/>
      <c r="O435" s="141"/>
      <c r="S435" s="94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9"/>
      <c r="L436" s="140"/>
      <c r="N436" s="138"/>
      <c r="O436" s="141"/>
      <c r="S436" s="94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9"/>
      <c r="L437" s="140"/>
      <c r="N437" s="138"/>
      <c r="O437" s="141"/>
      <c r="S437" s="94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9"/>
      <c r="L438" s="140"/>
      <c r="N438" s="138"/>
      <c r="O438" s="141"/>
      <c r="S438" s="94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9"/>
      <c r="L439" s="140"/>
      <c r="N439" s="138"/>
      <c r="O439" s="141"/>
      <c r="S439" s="94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9"/>
      <c r="L440" s="140"/>
      <c r="N440" s="138"/>
      <c r="O440" s="141"/>
      <c r="S440" s="94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L441" s="140"/>
      <c r="N441" s="138"/>
      <c r="O441" s="141"/>
      <c r="S441" s="94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9"/>
      <c r="L442" s="140"/>
      <c r="N442" s="138"/>
      <c r="O442" s="141"/>
      <c r="S442" s="94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9"/>
      <c r="L443" s="140"/>
      <c r="N443" s="138"/>
      <c r="O443" s="141"/>
      <c r="S443" s="94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9"/>
      <c r="L444" s="140"/>
      <c r="N444" s="138"/>
      <c r="O444" s="141"/>
      <c r="S444" s="94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9"/>
      <c r="L445" s="140"/>
      <c r="N445" s="138"/>
      <c r="O445" s="141"/>
      <c r="S445" s="94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9"/>
      <c r="L446" s="140"/>
      <c r="N446" s="138"/>
      <c r="O446" s="141"/>
      <c r="S446" s="94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L447" s="140"/>
      <c r="N447" s="138"/>
      <c r="O447" s="141"/>
      <c r="S447" s="94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9"/>
      <c r="L448" s="140"/>
      <c r="N448" s="138"/>
      <c r="O448" s="141"/>
      <c r="S448" s="94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9"/>
      <c r="L449" s="140"/>
      <c r="N449" s="138"/>
      <c r="O449" s="141"/>
      <c r="S449" s="94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9"/>
      <c r="L450" s="140"/>
      <c r="N450" s="138"/>
      <c r="O450" s="141"/>
      <c r="S450" s="94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9"/>
      <c r="L451" s="140"/>
      <c r="N451" s="138"/>
      <c r="O451" s="141"/>
      <c r="S451" s="94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9"/>
      <c r="L452" s="140"/>
      <c r="N452" s="138"/>
      <c r="O452" s="141"/>
      <c r="S452" s="94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9"/>
      <c r="L453" s="140"/>
      <c r="N453" s="138"/>
      <c r="O453" s="141"/>
      <c r="S453" s="94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9"/>
      <c r="L454" s="140"/>
      <c r="N454" s="138"/>
      <c r="O454" s="141"/>
      <c r="S454" s="94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9"/>
      <c r="L455" s="140"/>
      <c r="N455" s="138"/>
      <c r="O455" s="141"/>
      <c r="S455" s="94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9"/>
      <c r="L456" s="140"/>
      <c r="N456" s="138"/>
      <c r="O456" s="141"/>
      <c r="S456" s="94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9"/>
      <c r="L457" s="140"/>
      <c r="N457" s="138"/>
      <c r="O457" s="141"/>
      <c r="S457" s="94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9"/>
      <c r="L458" s="140"/>
      <c r="N458" s="138"/>
      <c r="O458" s="141"/>
      <c r="S458" s="94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9"/>
      <c r="L459" s="140"/>
      <c r="N459" s="138"/>
      <c r="O459" s="141"/>
      <c r="S459" s="94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9"/>
      <c r="L460" s="140"/>
      <c r="N460" s="138"/>
      <c r="O460" s="141"/>
      <c r="S460" s="94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9"/>
      <c r="L461" s="140"/>
      <c r="N461" s="138"/>
      <c r="O461" s="141"/>
      <c r="S461" s="94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9"/>
      <c r="L462" s="140"/>
      <c r="N462" s="138"/>
      <c r="O462" s="141"/>
      <c r="S462" s="94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9"/>
      <c r="L463" s="140"/>
      <c r="N463" s="138"/>
      <c r="O463" s="141"/>
      <c r="S463" s="94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9"/>
      <c r="L464" s="140"/>
      <c r="N464" s="138"/>
      <c r="O464" s="141"/>
      <c r="S464" s="94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9"/>
      <c r="L465" s="140"/>
      <c r="N465" s="138"/>
      <c r="O465" s="141"/>
      <c r="S465" s="94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9"/>
      <c r="L466" s="140"/>
      <c r="N466" s="138"/>
      <c r="O466" s="141"/>
      <c r="S466" s="94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9"/>
      <c r="L467" s="140"/>
      <c r="N467" s="138"/>
      <c r="O467" s="141"/>
      <c r="S467" s="94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9"/>
      <c r="L468" s="140"/>
      <c r="N468" s="138"/>
      <c r="O468" s="141"/>
      <c r="S468" s="94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9"/>
      <c r="L469" s="140"/>
      <c r="N469" s="138"/>
      <c r="O469" s="141"/>
      <c r="S469" s="94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9"/>
      <c r="L470" s="140"/>
      <c r="N470" s="138"/>
      <c r="O470" s="141"/>
      <c r="S470" s="94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9"/>
      <c r="L471" s="140"/>
      <c r="N471" s="138"/>
      <c r="O471" s="141"/>
      <c r="S471" s="94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9"/>
      <c r="L472" s="140"/>
      <c r="N472" s="138"/>
      <c r="O472" s="141"/>
      <c r="S472" s="94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9"/>
      <c r="L473" s="140"/>
      <c r="N473" s="138"/>
      <c r="O473" s="141"/>
      <c r="S473" s="94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9"/>
      <c r="L474" s="140"/>
      <c r="N474" s="138"/>
      <c r="O474" s="141"/>
      <c r="S474" s="94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9"/>
      <c r="L475" s="140"/>
      <c r="N475" s="138"/>
      <c r="O475" s="141"/>
      <c r="S475" s="94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9"/>
      <c r="L476" s="140"/>
      <c r="N476" s="138"/>
      <c r="O476" s="141"/>
      <c r="S476" s="94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9"/>
      <c r="L477" s="140"/>
      <c r="N477" s="138"/>
      <c r="O477" s="141"/>
      <c r="S477" s="94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L478" s="140"/>
      <c r="N478" s="138"/>
      <c r="O478" s="141"/>
      <c r="S478" s="94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9"/>
      <c r="L479" s="140"/>
      <c r="N479" s="138"/>
      <c r="O479" s="141"/>
      <c r="S479" s="94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9"/>
      <c r="L480" s="140"/>
      <c r="N480" s="138"/>
      <c r="O480" s="141"/>
      <c r="S480" s="94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9"/>
      <c r="L481" s="140"/>
      <c r="N481" s="138"/>
      <c r="O481" s="141"/>
      <c r="S481" s="94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9"/>
      <c r="L482" s="140"/>
      <c r="N482" s="138"/>
      <c r="O482" s="141"/>
      <c r="S482" s="94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9"/>
      <c r="L483" s="140"/>
      <c r="N483" s="138"/>
      <c r="O483" s="141"/>
      <c r="S483" s="94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L484" s="140"/>
      <c r="N484" s="138"/>
      <c r="O484" s="141"/>
      <c r="S484" s="94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9"/>
      <c r="L485" s="140"/>
      <c r="N485" s="138"/>
      <c r="O485" s="141"/>
      <c r="S485" s="94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9"/>
      <c r="L486" s="140"/>
      <c r="N486" s="138"/>
      <c r="O486" s="141"/>
      <c r="S486" s="94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9"/>
      <c r="L487" s="140"/>
      <c r="N487" s="138"/>
      <c r="O487" s="141"/>
      <c r="S487" s="94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9"/>
      <c r="L488" s="140"/>
      <c r="N488" s="138"/>
      <c r="O488" s="141"/>
      <c r="S488" s="94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9"/>
      <c r="L489" s="140"/>
      <c r="N489" s="138"/>
      <c r="O489" s="141"/>
      <c r="S489" s="94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9"/>
      <c r="L490" s="140"/>
      <c r="N490" s="138"/>
      <c r="O490" s="141"/>
      <c r="S490" s="94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9"/>
      <c r="L491" s="140"/>
      <c r="N491" s="138"/>
      <c r="O491" s="141"/>
      <c r="S491" s="94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9"/>
      <c r="L492" s="140"/>
      <c r="N492" s="138"/>
      <c r="O492" s="141"/>
      <c r="S492" s="94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9"/>
      <c r="L493" s="140"/>
      <c r="N493" s="138"/>
      <c r="O493" s="141"/>
      <c r="S493" s="94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9"/>
      <c r="L494" s="140"/>
      <c r="N494" s="138"/>
      <c r="O494" s="141"/>
      <c r="S494" s="94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9"/>
      <c r="L495" s="140"/>
      <c r="N495" s="138"/>
      <c r="O495" s="141"/>
      <c r="S495" s="94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9"/>
      <c r="L496" s="140"/>
      <c r="N496" s="138"/>
      <c r="O496" s="141"/>
      <c r="S496" s="94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9"/>
      <c r="L497" s="140"/>
      <c r="N497" s="138"/>
      <c r="O497" s="141"/>
      <c r="S497" s="94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9"/>
      <c r="L498" s="140"/>
      <c r="N498" s="138"/>
      <c r="O498" s="141"/>
      <c r="S498" s="94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9"/>
      <c r="L499" s="140"/>
      <c r="N499" s="138"/>
      <c r="O499" s="141"/>
      <c r="S499" s="94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9"/>
      <c r="L500" s="140"/>
      <c r="N500" s="138"/>
      <c r="O500" s="141"/>
      <c r="S500" s="94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9"/>
      <c r="L501" s="140"/>
      <c r="N501" s="138"/>
      <c r="O501" s="141"/>
      <c r="S501" s="94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9"/>
      <c r="L502" s="140"/>
      <c r="N502" s="138"/>
      <c r="O502" s="141"/>
      <c r="S502" s="94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9"/>
      <c r="L503" s="140"/>
      <c r="N503" s="138"/>
      <c r="O503" s="141"/>
      <c r="S503" s="94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9"/>
      <c r="L504" s="140"/>
      <c r="N504" s="138"/>
      <c r="O504" s="141"/>
      <c r="S504" s="94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9"/>
      <c r="L505" s="140"/>
      <c r="N505" s="138"/>
      <c r="O505" s="141"/>
      <c r="S505" s="94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9"/>
      <c r="L506" s="140"/>
      <c r="N506" s="138"/>
      <c r="O506" s="141"/>
      <c r="S506" s="94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9"/>
      <c r="L507" s="140"/>
      <c r="N507" s="138"/>
      <c r="O507" s="141"/>
      <c r="S507" s="94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9"/>
      <c r="L508" s="140"/>
      <c r="N508" s="138"/>
      <c r="O508" s="141"/>
      <c r="S508" s="94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9"/>
      <c r="L509" s="140"/>
      <c r="N509" s="138"/>
      <c r="O509" s="141"/>
      <c r="S509" s="94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9"/>
      <c r="L510" s="140"/>
      <c r="N510" s="138"/>
      <c r="O510" s="141"/>
      <c r="S510" s="94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9"/>
      <c r="L511" s="140"/>
      <c r="N511" s="138"/>
      <c r="O511" s="141"/>
      <c r="S511" s="94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9"/>
      <c r="L512" s="140"/>
      <c r="N512" s="138"/>
      <c r="O512" s="141"/>
      <c r="S512" s="94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9"/>
      <c r="L513" s="140"/>
      <c r="N513" s="138"/>
      <c r="O513" s="141"/>
      <c r="S513" s="94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9"/>
      <c r="L514" s="140"/>
      <c r="N514" s="138"/>
      <c r="O514" s="141"/>
      <c r="S514" s="94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L515" s="140"/>
      <c r="N515" s="138"/>
      <c r="O515" s="141"/>
      <c r="S515" s="94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9"/>
      <c r="L516" s="140"/>
      <c r="N516" s="138"/>
      <c r="O516" s="141"/>
      <c r="S516" s="94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9"/>
      <c r="L517" s="140"/>
      <c r="N517" s="138"/>
      <c r="O517" s="141"/>
      <c r="S517" s="94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9"/>
      <c r="L518" s="140"/>
      <c r="N518" s="138"/>
      <c r="O518" s="141"/>
      <c r="S518" s="94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9"/>
      <c r="L519" s="140"/>
      <c r="N519" s="138"/>
      <c r="O519" s="141"/>
      <c r="S519" s="94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9"/>
      <c r="L520" s="140"/>
      <c r="N520" s="138"/>
      <c r="O520" s="141"/>
      <c r="S520" s="94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L521" s="140"/>
      <c r="N521" s="138"/>
      <c r="O521" s="141"/>
      <c r="S521" s="94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9"/>
      <c r="L522" s="140"/>
      <c r="N522" s="138"/>
      <c r="O522" s="141"/>
      <c r="S522" s="94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9"/>
      <c r="L523" s="140"/>
      <c r="N523" s="138"/>
      <c r="O523" s="141"/>
      <c r="S523" s="94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9"/>
      <c r="L524" s="140"/>
      <c r="N524" s="138"/>
      <c r="O524" s="141"/>
      <c r="S524" s="94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9"/>
      <c r="L525" s="140"/>
      <c r="N525" s="138"/>
      <c r="O525" s="141"/>
      <c r="S525" s="94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9"/>
      <c r="L526" s="140"/>
      <c r="N526" s="138"/>
      <c r="O526" s="141"/>
      <c r="S526" s="94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9"/>
      <c r="L527" s="140"/>
      <c r="N527" s="138"/>
      <c r="O527" s="141"/>
      <c r="S527" s="94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9"/>
      <c r="L528" s="140"/>
      <c r="N528" s="138"/>
      <c r="O528" s="141"/>
      <c r="S528" s="94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9"/>
      <c r="L529" s="140"/>
      <c r="N529" s="138"/>
      <c r="O529" s="141"/>
      <c r="S529" s="94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9"/>
      <c r="L530" s="140"/>
      <c r="N530" s="138"/>
      <c r="O530" s="141"/>
      <c r="S530" s="94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9"/>
      <c r="L531" s="140"/>
      <c r="N531" s="138"/>
      <c r="O531" s="141"/>
      <c r="S531" s="94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9"/>
      <c r="L532" s="140"/>
      <c r="N532" s="138"/>
      <c r="O532" s="141"/>
      <c r="S532" s="94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9"/>
      <c r="L533" s="140"/>
      <c r="N533" s="138"/>
      <c r="O533" s="141"/>
      <c r="S533" s="94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9"/>
      <c r="L534" s="140"/>
      <c r="N534" s="138"/>
      <c r="O534" s="141"/>
      <c r="S534" s="94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9"/>
      <c r="L535" s="140"/>
      <c r="N535" s="138"/>
      <c r="O535" s="141"/>
      <c r="S535" s="94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9"/>
      <c r="L536" s="140"/>
      <c r="N536" s="138"/>
      <c r="O536" s="141"/>
      <c r="S536" s="94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9"/>
      <c r="L537" s="140"/>
      <c r="N537" s="138"/>
      <c r="O537" s="141"/>
      <c r="S537" s="94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9"/>
      <c r="L538" s="140"/>
      <c r="N538" s="138"/>
      <c r="O538" s="141"/>
      <c r="S538" s="94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9"/>
      <c r="L539" s="140"/>
      <c r="N539" s="138"/>
      <c r="O539" s="141"/>
      <c r="S539" s="94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9"/>
      <c r="L540" s="140"/>
      <c r="N540" s="138"/>
      <c r="O540" s="141"/>
      <c r="S540" s="94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9"/>
      <c r="L541" s="140"/>
      <c r="N541" s="138"/>
      <c r="O541" s="141"/>
      <c r="S541" s="94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9"/>
      <c r="L542" s="140"/>
      <c r="N542" s="138"/>
      <c r="O542" s="141"/>
      <c r="S542" s="94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9"/>
      <c r="L543" s="140"/>
      <c r="N543" s="138"/>
      <c r="O543" s="141"/>
      <c r="S543" s="94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9"/>
      <c r="L544" s="140"/>
      <c r="N544" s="138"/>
      <c r="O544" s="141"/>
      <c r="S544" s="94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9"/>
      <c r="L545" s="140"/>
      <c r="N545" s="138"/>
      <c r="O545" s="141"/>
      <c r="S545" s="94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9"/>
      <c r="L546" s="140"/>
      <c r="N546" s="138"/>
      <c r="O546" s="141"/>
      <c r="S546" s="94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9"/>
      <c r="L547" s="140"/>
      <c r="N547" s="138"/>
      <c r="O547" s="141"/>
      <c r="S547" s="94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9"/>
      <c r="L548" s="140"/>
      <c r="N548" s="138"/>
      <c r="O548" s="141"/>
      <c r="S548" s="94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9"/>
      <c r="L549" s="140"/>
      <c r="N549" s="138"/>
      <c r="O549" s="141"/>
      <c r="S549" s="94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9"/>
      <c r="L550" s="140"/>
      <c r="N550" s="138"/>
      <c r="O550" s="141"/>
      <c r="S550" s="94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9"/>
      <c r="L551" s="140"/>
      <c r="N551" s="138"/>
      <c r="O551" s="141"/>
      <c r="S551" s="94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L552" s="140"/>
      <c r="N552" s="138"/>
      <c r="O552" s="141"/>
      <c r="S552" s="94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9"/>
      <c r="L553" s="140"/>
      <c r="N553" s="138"/>
      <c r="O553" s="141"/>
      <c r="S553" s="94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9"/>
      <c r="L554" s="140"/>
      <c r="N554" s="138"/>
      <c r="O554" s="141"/>
      <c r="S554" s="94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9"/>
      <c r="L555" s="140"/>
      <c r="N555" s="138"/>
      <c r="O555" s="141"/>
      <c r="S555" s="94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9"/>
      <c r="L556" s="140"/>
      <c r="N556" s="138"/>
      <c r="O556" s="141"/>
      <c r="S556" s="94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9"/>
      <c r="L557" s="140"/>
      <c r="N557" s="138"/>
      <c r="O557" s="141"/>
      <c r="S557" s="94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L558" s="140"/>
      <c r="N558" s="138"/>
      <c r="O558" s="141"/>
      <c r="S558" s="94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9"/>
      <c r="L559" s="140"/>
      <c r="N559" s="138"/>
      <c r="O559" s="141"/>
      <c r="S559" s="94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9"/>
      <c r="L560" s="140"/>
      <c r="N560" s="138"/>
      <c r="O560" s="141"/>
      <c r="S560" s="94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9"/>
      <c r="L561" s="140"/>
      <c r="N561" s="138"/>
      <c r="O561" s="141"/>
      <c r="S561" s="94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9"/>
      <c r="L562" s="140"/>
      <c r="N562" s="138"/>
      <c r="O562" s="141"/>
      <c r="S562" s="94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9"/>
      <c r="L563" s="140"/>
      <c r="N563" s="138"/>
      <c r="O563" s="141"/>
      <c r="S563" s="94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9"/>
      <c r="L564" s="140"/>
      <c r="N564" s="138"/>
      <c r="O564" s="141"/>
      <c r="S564" s="94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9"/>
      <c r="L565" s="140"/>
      <c r="N565" s="138"/>
      <c r="O565" s="141"/>
      <c r="S565" s="94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9"/>
      <c r="L566" s="140"/>
      <c r="N566" s="138"/>
      <c r="O566" s="141"/>
      <c r="S566" s="94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9"/>
      <c r="L567" s="140"/>
      <c r="N567" s="138"/>
      <c r="O567" s="141"/>
      <c r="S567" s="94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9"/>
      <c r="L568" s="140"/>
      <c r="N568" s="138"/>
      <c r="O568" s="141"/>
      <c r="S568" s="94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9"/>
      <c r="L569" s="140"/>
      <c r="N569" s="138"/>
      <c r="O569" s="141"/>
      <c r="S569" s="94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9"/>
      <c r="L570" s="140"/>
      <c r="N570" s="138"/>
      <c r="O570" s="141"/>
      <c r="S570" s="94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9"/>
      <c r="L571" s="140"/>
      <c r="N571" s="138"/>
      <c r="O571" s="141"/>
      <c r="S571" s="94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9"/>
      <c r="L572" s="140"/>
      <c r="N572" s="138"/>
      <c r="O572" s="141"/>
      <c r="S572" s="94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9"/>
      <c r="L573" s="140"/>
      <c r="N573" s="138"/>
      <c r="O573" s="141"/>
      <c r="S573" s="94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9"/>
      <c r="L574" s="140"/>
      <c r="N574" s="138"/>
      <c r="O574" s="141"/>
      <c r="S574" s="94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9"/>
      <c r="L575" s="140"/>
      <c r="N575" s="138"/>
      <c r="O575" s="141"/>
      <c r="S575" s="94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9"/>
      <c r="L576" s="140"/>
      <c r="N576" s="138"/>
      <c r="O576" s="141"/>
      <c r="S576" s="94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9"/>
      <c r="L577" s="140"/>
      <c r="N577" s="138"/>
      <c r="O577" s="141"/>
      <c r="S577" s="94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9"/>
      <c r="L578" s="140"/>
      <c r="N578" s="138"/>
      <c r="O578" s="141"/>
      <c r="S578" s="94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9"/>
      <c r="L579" s="140"/>
      <c r="N579" s="138"/>
      <c r="O579" s="141"/>
      <c r="S579" s="94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9"/>
      <c r="L580" s="140"/>
      <c r="N580" s="138"/>
      <c r="O580" s="141"/>
      <c r="S580" s="94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9"/>
      <c r="L581" s="140"/>
      <c r="N581" s="138"/>
      <c r="O581" s="141"/>
      <c r="S581" s="94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9"/>
      <c r="L582" s="140"/>
      <c r="N582" s="138"/>
      <c r="O582" s="141"/>
      <c r="S582" s="94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9"/>
      <c r="L583" s="140"/>
      <c r="N583" s="138"/>
      <c r="O583" s="141"/>
      <c r="S583" s="94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9"/>
      <c r="L584" s="140"/>
      <c r="N584" s="138"/>
      <c r="O584" s="141"/>
      <c r="S584" s="94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9"/>
      <c r="L585" s="140"/>
      <c r="N585" s="138"/>
      <c r="O585" s="141"/>
      <c r="S585" s="94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9"/>
      <c r="L586" s="140"/>
      <c r="N586" s="138"/>
      <c r="O586" s="141"/>
      <c r="S586" s="94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9"/>
      <c r="L587" s="140"/>
      <c r="N587" s="138"/>
      <c r="O587" s="141"/>
      <c r="S587" s="94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9"/>
      <c r="L588" s="140"/>
      <c r="N588" s="138"/>
      <c r="O588" s="141"/>
      <c r="S588" s="94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L589" s="140"/>
      <c r="N589" s="138"/>
      <c r="O589" s="141"/>
      <c r="S589" s="94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9"/>
      <c r="L590" s="140"/>
      <c r="N590" s="138"/>
      <c r="O590" s="141"/>
      <c r="S590" s="94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9"/>
      <c r="L591" s="140"/>
      <c r="N591" s="138"/>
      <c r="O591" s="141"/>
      <c r="S591" s="94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9"/>
      <c r="L592" s="140"/>
      <c r="N592" s="138"/>
      <c r="O592" s="141"/>
      <c r="S592" s="94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9"/>
      <c r="L593" s="140"/>
      <c r="N593" s="138"/>
      <c r="O593" s="141"/>
      <c r="S593" s="94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9"/>
      <c r="L594" s="140"/>
      <c r="N594" s="138"/>
      <c r="O594" s="141"/>
      <c r="S594" s="94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L595" s="140"/>
      <c r="N595" s="138"/>
      <c r="O595" s="141"/>
      <c r="S595" s="94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9"/>
      <c r="L596" s="140"/>
      <c r="N596" s="138"/>
      <c r="O596" s="141"/>
      <c r="S596" s="94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9"/>
      <c r="L597" s="140"/>
      <c r="N597" s="138"/>
      <c r="O597" s="141"/>
      <c r="S597" s="94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9"/>
      <c r="L598" s="140"/>
      <c r="N598" s="138"/>
      <c r="O598" s="141"/>
      <c r="S598" s="94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9"/>
      <c r="L599" s="140"/>
      <c r="N599" s="138"/>
      <c r="O599" s="141"/>
      <c r="S599" s="94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9"/>
      <c r="L600" s="140"/>
      <c r="N600" s="138"/>
      <c r="O600" s="141"/>
      <c r="S600" s="94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9"/>
      <c r="L601" s="140"/>
      <c r="N601" s="138"/>
      <c r="O601" s="141"/>
      <c r="S601" s="94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9"/>
      <c r="L602" s="140"/>
      <c r="N602" s="138"/>
      <c r="O602" s="141"/>
      <c r="S602" s="94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9"/>
      <c r="L603" s="140"/>
      <c r="N603" s="138"/>
      <c r="O603" s="141"/>
      <c r="S603" s="94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9"/>
      <c r="L604" s="140"/>
      <c r="N604" s="138"/>
      <c r="O604" s="141"/>
      <c r="S604" s="94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9"/>
      <c r="L605" s="140"/>
      <c r="N605" s="138"/>
      <c r="O605" s="141"/>
      <c r="S605" s="94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9"/>
      <c r="L606" s="140"/>
      <c r="N606" s="138"/>
      <c r="O606" s="141"/>
      <c r="S606" s="94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9"/>
      <c r="L607" s="140"/>
      <c r="N607" s="138"/>
      <c r="O607" s="141"/>
      <c r="S607" s="94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9"/>
      <c r="L608" s="140"/>
      <c r="N608" s="138"/>
      <c r="O608" s="141"/>
      <c r="S608" s="94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9"/>
      <c r="L609" s="140"/>
      <c r="N609" s="138"/>
      <c r="O609" s="141"/>
      <c r="S609" s="94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9"/>
      <c r="L610" s="140"/>
      <c r="N610" s="138"/>
      <c r="O610" s="141"/>
      <c r="S610" s="94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9"/>
      <c r="L611" s="140"/>
      <c r="N611" s="138"/>
      <c r="O611" s="141"/>
      <c r="S611" s="94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9"/>
      <c r="L612" s="140"/>
      <c r="N612" s="138"/>
      <c r="O612" s="141"/>
      <c r="S612" s="94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9"/>
      <c r="L613" s="140"/>
      <c r="N613" s="138"/>
      <c r="O613" s="141"/>
      <c r="S613" s="94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9"/>
      <c r="L614" s="140"/>
      <c r="N614" s="138"/>
      <c r="O614" s="141"/>
      <c r="S614" s="94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9"/>
      <c r="L615" s="140"/>
      <c r="N615" s="138"/>
      <c r="O615" s="141"/>
      <c r="S615" s="94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9"/>
      <c r="L616" s="140"/>
      <c r="N616" s="138"/>
      <c r="O616" s="141"/>
      <c r="S616" s="94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9"/>
      <c r="L617" s="140"/>
      <c r="N617" s="138"/>
      <c r="O617" s="141"/>
      <c r="S617" s="94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9"/>
      <c r="L618" s="140"/>
      <c r="N618" s="138"/>
      <c r="O618" s="141"/>
      <c r="S618" s="94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9"/>
      <c r="L619" s="140"/>
      <c r="N619" s="138"/>
      <c r="O619" s="141"/>
      <c r="S619" s="94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9"/>
      <c r="L620" s="140"/>
      <c r="N620" s="138"/>
      <c r="O620" s="141"/>
      <c r="S620" s="94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9"/>
      <c r="L621" s="140"/>
      <c r="N621" s="138"/>
      <c r="O621" s="141"/>
      <c r="S621" s="94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9"/>
      <c r="L622" s="140"/>
      <c r="N622" s="138"/>
      <c r="O622" s="141"/>
      <c r="S622" s="94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9"/>
      <c r="L623" s="140"/>
      <c r="N623" s="138"/>
      <c r="O623" s="141"/>
      <c r="S623" s="94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9"/>
      <c r="L624" s="140"/>
      <c r="N624" s="138"/>
      <c r="O624" s="141"/>
      <c r="S624" s="94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9"/>
      <c r="L625" s="140"/>
      <c r="N625" s="138"/>
      <c r="O625" s="141"/>
      <c r="S625" s="94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L626" s="140"/>
      <c r="N626" s="138"/>
      <c r="O626" s="141"/>
      <c r="S626" s="94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9"/>
      <c r="L627" s="140"/>
      <c r="N627" s="138"/>
      <c r="O627" s="141"/>
      <c r="S627" s="94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9"/>
      <c r="L628" s="140"/>
      <c r="N628" s="138"/>
      <c r="O628" s="141"/>
      <c r="S628" s="94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9"/>
      <c r="L629" s="140"/>
      <c r="N629" s="138"/>
      <c r="O629" s="141"/>
      <c r="S629" s="94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9"/>
      <c r="L630" s="140"/>
      <c r="N630" s="138"/>
      <c r="O630" s="141"/>
      <c r="S630" s="94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9"/>
      <c r="L631" s="140"/>
      <c r="N631" s="138"/>
      <c r="O631" s="141"/>
      <c r="S631" s="94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L632" s="140"/>
      <c r="N632" s="138"/>
      <c r="O632" s="141"/>
      <c r="S632" s="94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9"/>
      <c r="L633" s="140"/>
      <c r="N633" s="138"/>
      <c r="O633" s="141"/>
      <c r="S633" s="94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9"/>
      <c r="L634" s="140"/>
      <c r="N634" s="138"/>
      <c r="O634" s="141"/>
      <c r="S634" s="94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9"/>
      <c r="L635" s="140"/>
      <c r="N635" s="138"/>
      <c r="O635" s="141"/>
      <c r="S635" s="94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9"/>
      <c r="L636" s="140"/>
      <c r="N636" s="138"/>
      <c r="O636" s="141"/>
      <c r="S636" s="94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9"/>
      <c r="L637" s="140"/>
      <c r="N637" s="138"/>
      <c r="O637" s="141"/>
      <c r="S637" s="94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9"/>
      <c r="L638" s="140"/>
      <c r="N638" s="138"/>
      <c r="O638" s="141"/>
      <c r="S638" s="94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9"/>
      <c r="L639" s="140"/>
      <c r="N639" s="138"/>
      <c r="O639" s="141"/>
      <c r="S639" s="94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9"/>
      <c r="L640" s="140"/>
      <c r="N640" s="138"/>
      <c r="O640" s="141"/>
      <c r="S640" s="94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9"/>
      <c r="L641" s="140"/>
      <c r="N641" s="138"/>
      <c r="O641" s="141"/>
      <c r="S641" s="94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9"/>
      <c r="L642" s="140"/>
      <c r="N642" s="138"/>
      <c r="O642" s="141"/>
      <c r="S642" s="94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9"/>
      <c r="L643" s="140"/>
      <c r="N643" s="138"/>
      <c r="O643" s="141"/>
      <c r="S643" s="94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9"/>
      <c r="L644" s="140"/>
      <c r="N644" s="138"/>
      <c r="O644" s="141"/>
      <c r="S644" s="94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9"/>
      <c r="L645" s="140"/>
      <c r="N645" s="138"/>
      <c r="O645" s="141"/>
      <c r="S645" s="94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9"/>
      <c r="L646" s="140"/>
      <c r="N646" s="138"/>
      <c r="O646" s="141"/>
      <c r="S646" s="94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9"/>
      <c r="L647" s="140"/>
      <c r="N647" s="138"/>
      <c r="O647" s="141"/>
      <c r="S647" s="94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9"/>
      <c r="L648" s="140"/>
      <c r="N648" s="138"/>
      <c r="O648" s="141"/>
      <c r="S648" s="94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9"/>
      <c r="L649" s="140"/>
      <c r="N649" s="138"/>
      <c r="O649" s="141"/>
      <c r="S649" s="94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9"/>
      <c r="L650" s="140"/>
      <c r="N650" s="138"/>
      <c r="O650" s="141"/>
      <c r="S650" s="94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9"/>
      <c r="L651" s="140"/>
      <c r="N651" s="138"/>
      <c r="O651" s="141"/>
      <c r="S651" s="94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9"/>
      <c r="L652" s="140"/>
      <c r="N652" s="138"/>
      <c r="O652" s="141"/>
      <c r="S652" s="94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9"/>
      <c r="L653" s="140"/>
      <c r="N653" s="138"/>
      <c r="O653" s="141"/>
      <c r="S653" s="94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9"/>
      <c r="L654" s="140"/>
      <c r="N654" s="138"/>
      <c r="O654" s="141"/>
      <c r="S654" s="94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9"/>
      <c r="L655" s="140"/>
      <c r="N655" s="138"/>
      <c r="O655" s="141"/>
      <c r="S655" s="94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9"/>
      <c r="L656" s="140"/>
      <c r="N656" s="138"/>
      <c r="O656" s="141"/>
      <c r="S656" s="94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9"/>
      <c r="L657" s="140"/>
      <c r="N657" s="138"/>
      <c r="O657" s="141"/>
      <c r="S657" s="94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9"/>
      <c r="L658" s="140"/>
      <c r="N658" s="138"/>
      <c r="O658" s="141"/>
      <c r="S658" s="94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9"/>
      <c r="L659" s="140"/>
      <c r="N659" s="138"/>
      <c r="O659" s="141"/>
      <c r="S659" s="94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9"/>
      <c r="L660" s="140"/>
      <c r="N660" s="138"/>
      <c r="O660" s="141"/>
      <c r="S660" s="94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9"/>
      <c r="L661" s="140"/>
      <c r="N661" s="138"/>
      <c r="O661" s="141"/>
      <c r="S661" s="94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9"/>
      <c r="L662" s="140"/>
      <c r="N662" s="138"/>
      <c r="O662" s="141"/>
      <c r="S662" s="94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L663" s="140"/>
      <c r="N663" s="138"/>
      <c r="O663" s="141"/>
      <c r="S663" s="94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9"/>
      <c r="L664" s="140"/>
      <c r="N664" s="138"/>
      <c r="O664" s="141"/>
      <c r="S664" s="94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9"/>
      <c r="L665" s="140"/>
      <c r="N665" s="138"/>
      <c r="O665" s="141"/>
      <c r="S665" s="94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9"/>
      <c r="L666" s="140"/>
      <c r="N666" s="138"/>
      <c r="O666" s="141"/>
      <c r="S666" s="94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9"/>
      <c r="L667" s="140"/>
      <c r="N667" s="138"/>
      <c r="O667" s="141"/>
      <c r="S667" s="94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9"/>
      <c r="L668" s="140"/>
      <c r="N668" s="138"/>
      <c r="O668" s="141"/>
      <c r="S668" s="94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L669" s="140"/>
      <c r="N669" s="138"/>
      <c r="O669" s="141"/>
      <c r="S669" s="94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9"/>
      <c r="L670" s="140"/>
      <c r="N670" s="138"/>
      <c r="O670" s="141"/>
      <c r="S670" s="94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9"/>
      <c r="L671" s="140"/>
      <c r="N671" s="138"/>
      <c r="O671" s="141"/>
      <c r="S671" s="94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9"/>
      <c r="L672" s="140"/>
      <c r="N672" s="138"/>
      <c r="O672" s="141"/>
      <c r="S672" s="94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9"/>
      <c r="L673" s="140"/>
      <c r="N673" s="138"/>
      <c r="O673" s="141"/>
      <c r="S673" s="94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9"/>
      <c r="L674" s="140"/>
      <c r="N674" s="138"/>
      <c r="O674" s="141"/>
      <c r="S674" s="94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9"/>
      <c r="L675" s="140"/>
      <c r="N675" s="138"/>
      <c r="O675" s="141"/>
      <c r="S675" s="94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9"/>
      <c r="L676" s="140"/>
      <c r="N676" s="138"/>
      <c r="O676" s="141"/>
      <c r="S676" s="94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9"/>
      <c r="L677" s="140"/>
      <c r="N677" s="138"/>
      <c r="O677" s="141"/>
      <c r="S677" s="94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9"/>
      <c r="L678" s="140"/>
      <c r="N678" s="138"/>
      <c r="O678" s="141"/>
      <c r="S678" s="94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9"/>
      <c r="L679" s="140"/>
      <c r="N679" s="138"/>
      <c r="O679" s="141"/>
      <c r="S679" s="94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9"/>
      <c r="L680" s="140"/>
      <c r="N680" s="138"/>
      <c r="O680" s="141"/>
      <c r="S680" s="94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9"/>
      <c r="L681" s="140"/>
      <c r="N681" s="138"/>
      <c r="O681" s="141"/>
      <c r="S681" s="94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9"/>
      <c r="L682" s="140"/>
      <c r="N682" s="138"/>
      <c r="O682" s="141"/>
      <c r="S682" s="94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9"/>
      <c r="L683" s="140"/>
      <c r="N683" s="138"/>
      <c r="O683" s="141"/>
      <c r="S683" s="94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9"/>
      <c r="L684" s="140"/>
      <c r="N684" s="138"/>
      <c r="O684" s="141"/>
      <c r="S684" s="94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9"/>
      <c r="L685" s="140"/>
      <c r="N685" s="138"/>
      <c r="O685" s="141"/>
      <c r="S685" s="94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9"/>
      <c r="L686" s="140"/>
      <c r="N686" s="138"/>
      <c r="O686" s="141"/>
      <c r="S686" s="94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9"/>
      <c r="L687" s="140"/>
      <c r="N687" s="138"/>
      <c r="O687" s="141"/>
      <c r="S687" s="94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9"/>
      <c r="L688" s="140"/>
      <c r="N688" s="138"/>
      <c r="O688" s="141"/>
      <c r="S688" s="94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9"/>
      <c r="L689" s="140"/>
      <c r="N689" s="138"/>
      <c r="O689" s="141"/>
      <c r="S689" s="94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9"/>
      <c r="L690" s="140"/>
      <c r="N690" s="138"/>
      <c r="O690" s="141"/>
      <c r="S690" s="94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9"/>
      <c r="L691" s="140"/>
      <c r="N691" s="138"/>
      <c r="O691" s="141"/>
      <c r="S691" s="94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9"/>
      <c r="L692" s="140"/>
      <c r="N692" s="138"/>
      <c r="O692" s="141"/>
      <c r="S692" s="94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9"/>
      <c r="L693" s="140"/>
      <c r="N693" s="138"/>
      <c r="O693" s="141"/>
      <c r="S693" s="94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9"/>
      <c r="L694" s="140"/>
      <c r="N694" s="138"/>
      <c r="O694" s="141"/>
      <c r="S694" s="94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9"/>
      <c r="L695" s="140"/>
      <c r="N695" s="138"/>
      <c r="O695" s="141"/>
      <c r="S695" s="94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9"/>
      <c r="L696" s="140"/>
      <c r="N696" s="138"/>
      <c r="O696" s="141"/>
      <c r="S696" s="94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9"/>
      <c r="L697" s="140"/>
      <c r="N697" s="138"/>
      <c r="O697" s="141"/>
      <c r="S697" s="94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9"/>
      <c r="L698" s="140"/>
      <c r="N698" s="138"/>
      <c r="O698" s="141"/>
      <c r="S698" s="94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9"/>
      <c r="L699" s="140"/>
      <c r="N699" s="138"/>
      <c r="O699" s="141"/>
      <c r="S699" s="94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L700" s="140"/>
      <c r="N700" s="138"/>
      <c r="O700" s="141"/>
      <c r="S700" s="94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9"/>
      <c r="L701" s="140"/>
      <c r="N701" s="138"/>
      <c r="O701" s="141"/>
      <c r="S701" s="94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9"/>
      <c r="L702" s="140"/>
      <c r="N702" s="138"/>
      <c r="O702" s="141"/>
      <c r="S702" s="94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9"/>
      <c r="L703" s="140"/>
      <c r="N703" s="138"/>
      <c r="O703" s="141"/>
      <c r="S703" s="94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9"/>
      <c r="L704" s="140"/>
      <c r="N704" s="138"/>
      <c r="O704" s="141"/>
      <c r="S704" s="94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9"/>
      <c r="L705" s="140"/>
      <c r="N705" s="138"/>
      <c r="O705" s="141"/>
      <c r="S705" s="94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L706" s="140"/>
      <c r="N706" s="138"/>
      <c r="O706" s="141"/>
      <c r="S706" s="94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9"/>
      <c r="L707" s="140"/>
      <c r="N707" s="138"/>
      <c r="O707" s="141"/>
      <c r="S707" s="94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9"/>
      <c r="L708" s="140"/>
      <c r="N708" s="138"/>
      <c r="O708" s="141"/>
      <c r="S708" s="94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9"/>
      <c r="L709" s="140"/>
      <c r="N709" s="138"/>
      <c r="O709" s="141"/>
      <c r="S709" s="94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9"/>
      <c r="L710" s="140"/>
      <c r="N710" s="138"/>
      <c r="O710" s="141"/>
      <c r="S710" s="94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9"/>
      <c r="L711" s="140"/>
      <c r="N711" s="138"/>
      <c r="O711" s="141"/>
      <c r="S711" s="94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9"/>
      <c r="L712" s="140"/>
      <c r="N712" s="138"/>
      <c r="O712" s="141"/>
      <c r="S712" s="94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9"/>
      <c r="L713" s="140"/>
      <c r="N713" s="138"/>
      <c r="O713" s="141"/>
      <c r="S713" s="94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9"/>
      <c r="L714" s="140"/>
      <c r="N714" s="138"/>
      <c r="O714" s="141"/>
      <c r="S714" s="94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9"/>
      <c r="L715" s="140"/>
      <c r="N715" s="138"/>
      <c r="O715" s="141"/>
      <c r="S715" s="94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9"/>
      <c r="L716" s="140"/>
      <c r="N716" s="138"/>
      <c r="O716" s="141"/>
      <c r="S716" s="94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9"/>
      <c r="L717" s="140"/>
      <c r="N717" s="138"/>
      <c r="O717" s="141"/>
      <c r="S717" s="94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9"/>
      <c r="L718" s="140"/>
      <c r="N718" s="138"/>
      <c r="O718" s="141"/>
      <c r="S718" s="94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9"/>
      <c r="L719" s="140"/>
      <c r="N719" s="138"/>
      <c r="O719" s="141"/>
      <c r="S719" s="94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9"/>
      <c r="L720" s="140"/>
      <c r="N720" s="138"/>
      <c r="O720" s="141"/>
      <c r="S720" s="94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9"/>
      <c r="L721" s="140"/>
      <c r="N721" s="138"/>
      <c r="O721" s="141"/>
      <c r="S721" s="94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9"/>
      <c r="L722" s="140"/>
      <c r="N722" s="138"/>
      <c r="O722" s="141"/>
      <c r="S722" s="94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9"/>
      <c r="L723" s="140"/>
      <c r="N723" s="138"/>
      <c r="O723" s="141"/>
      <c r="S723" s="94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9"/>
      <c r="L724" s="140"/>
      <c r="N724" s="138"/>
      <c r="O724" s="141"/>
      <c r="S724" s="94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9"/>
      <c r="L725" s="140"/>
      <c r="N725" s="138"/>
      <c r="O725" s="141"/>
      <c r="S725" s="94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9"/>
      <c r="L726" s="140"/>
      <c r="N726" s="138"/>
      <c r="O726" s="141"/>
      <c r="S726" s="94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9"/>
      <c r="L727" s="140"/>
      <c r="N727" s="138"/>
      <c r="O727" s="141"/>
      <c r="S727" s="94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9"/>
      <c r="L728" s="140"/>
      <c r="N728" s="138"/>
      <c r="O728" s="141"/>
      <c r="S728" s="94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9"/>
      <c r="L729" s="140"/>
      <c r="N729" s="138"/>
      <c r="O729" s="141"/>
      <c r="S729" s="94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9"/>
      <c r="L730" s="140"/>
      <c r="N730" s="138"/>
      <c r="O730" s="141"/>
      <c r="S730" s="94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9"/>
      <c r="L731" s="140"/>
      <c r="N731" s="138"/>
      <c r="O731" s="141"/>
      <c r="S731" s="94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9"/>
      <c r="L732" s="140"/>
      <c r="N732" s="138"/>
      <c r="O732" s="141"/>
      <c r="S732" s="94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9"/>
      <c r="L733" s="140"/>
      <c r="N733" s="138"/>
      <c r="O733" s="141"/>
      <c r="S733" s="94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9"/>
      <c r="L734" s="140"/>
      <c r="N734" s="138"/>
      <c r="O734" s="141"/>
      <c r="S734" s="94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9"/>
      <c r="L735" s="140"/>
      <c r="N735" s="138"/>
      <c r="O735" s="141"/>
      <c r="S735" s="94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9"/>
      <c r="L736" s="140"/>
      <c r="N736" s="138"/>
      <c r="O736" s="141"/>
      <c r="S736" s="94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L737" s="140"/>
      <c r="N737" s="138"/>
      <c r="O737" s="141"/>
      <c r="S737" s="94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9"/>
      <c r="L738" s="140"/>
      <c r="N738" s="138"/>
      <c r="O738" s="141"/>
      <c r="S738" s="94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9"/>
      <c r="L739" s="140"/>
      <c r="N739" s="138"/>
      <c r="O739" s="141"/>
      <c r="S739" s="94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9"/>
      <c r="L740" s="140"/>
      <c r="N740" s="138"/>
      <c r="O740" s="141"/>
      <c r="S740" s="94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9"/>
      <c r="L741" s="140"/>
      <c r="N741" s="138"/>
      <c r="O741" s="141"/>
      <c r="S741" s="94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9"/>
      <c r="L742" s="140"/>
      <c r="N742" s="138"/>
      <c r="O742" s="141"/>
      <c r="S742" s="94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L743" s="140"/>
      <c r="N743" s="138"/>
      <c r="O743" s="141"/>
      <c r="S743" s="94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9"/>
      <c r="L744" s="140"/>
      <c r="N744" s="138"/>
      <c r="O744" s="141"/>
      <c r="S744" s="94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9"/>
      <c r="L745" s="140"/>
      <c r="N745" s="138"/>
      <c r="O745" s="141"/>
      <c r="S745" s="94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9"/>
      <c r="L746" s="140"/>
      <c r="N746" s="138"/>
      <c r="O746" s="141"/>
      <c r="S746" s="94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9"/>
      <c r="L747" s="140"/>
      <c r="N747" s="138"/>
      <c r="O747" s="141"/>
      <c r="S747" s="94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9"/>
      <c r="L748" s="140"/>
      <c r="N748" s="138"/>
      <c r="O748" s="141"/>
      <c r="S748" s="94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9"/>
      <c r="L749" s="140"/>
      <c r="N749" s="138"/>
      <c r="O749" s="141"/>
      <c r="S749" s="94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9"/>
      <c r="L750" s="140"/>
      <c r="N750" s="138"/>
      <c r="O750" s="141"/>
      <c r="S750" s="94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9"/>
      <c r="L751" s="140"/>
      <c r="N751" s="138"/>
      <c r="O751" s="141"/>
      <c r="S751" s="94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9"/>
      <c r="L752" s="140"/>
      <c r="N752" s="138"/>
      <c r="O752" s="141"/>
      <c r="S752" s="94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9"/>
      <c r="L753" s="140"/>
      <c r="N753" s="138"/>
      <c r="O753" s="141"/>
      <c r="S753" s="94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9"/>
      <c r="L754" s="140"/>
      <c r="N754" s="138"/>
      <c r="O754" s="141"/>
      <c r="S754" s="94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9"/>
      <c r="L755" s="140"/>
      <c r="N755" s="138"/>
      <c r="O755" s="141"/>
      <c r="S755" s="94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9"/>
      <c r="L756" s="140"/>
      <c r="N756" s="138"/>
      <c r="O756" s="141"/>
      <c r="S756" s="94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9"/>
      <c r="L757" s="140"/>
      <c r="N757" s="138"/>
      <c r="O757" s="141"/>
      <c r="S757" s="94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9"/>
      <c r="L758" s="140"/>
      <c r="N758" s="138"/>
      <c r="O758" s="141"/>
      <c r="S758" s="94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9"/>
      <c r="L759" s="140"/>
      <c r="N759" s="138"/>
      <c r="O759" s="141"/>
      <c r="S759" s="94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9"/>
      <c r="L760" s="140"/>
      <c r="N760" s="138"/>
      <c r="O760" s="141"/>
      <c r="S760" s="94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9"/>
      <c r="L761" s="140"/>
      <c r="N761" s="138"/>
      <c r="O761" s="141"/>
      <c r="S761" s="94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9"/>
      <c r="L762" s="140"/>
      <c r="N762" s="138"/>
      <c r="O762" s="141"/>
      <c r="S762" s="94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9"/>
      <c r="L763" s="140"/>
      <c r="N763" s="138"/>
      <c r="O763" s="141"/>
      <c r="S763" s="94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9"/>
      <c r="L764" s="140"/>
      <c r="N764" s="138"/>
      <c r="O764" s="141"/>
      <c r="S764" s="94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9"/>
      <c r="L765" s="140"/>
      <c r="N765" s="138"/>
      <c r="O765" s="141"/>
      <c r="S765" s="94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9"/>
      <c r="L766" s="140"/>
      <c r="N766" s="138"/>
      <c r="O766" s="141"/>
      <c r="S766" s="94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9"/>
      <c r="L767" s="140"/>
      <c r="N767" s="138"/>
      <c r="O767" s="141"/>
      <c r="S767" s="94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9"/>
      <c r="L768" s="140"/>
      <c r="N768" s="138"/>
      <c r="O768" s="141"/>
      <c r="S768" s="94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9"/>
      <c r="L769" s="140"/>
      <c r="N769" s="138"/>
      <c r="O769" s="141"/>
      <c r="S769" s="94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9"/>
      <c r="L770" s="140"/>
      <c r="N770" s="138"/>
      <c r="O770" s="141"/>
      <c r="S770" s="94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9"/>
      <c r="L771" s="140"/>
      <c r="N771" s="138"/>
      <c r="O771" s="141"/>
      <c r="S771" s="94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9"/>
      <c r="L772" s="140"/>
      <c r="N772" s="138"/>
      <c r="O772" s="141"/>
      <c r="S772" s="94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9"/>
      <c r="L773" s="140"/>
      <c r="N773" s="138"/>
      <c r="O773" s="141"/>
      <c r="S773" s="94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L774" s="140"/>
      <c r="N774" s="138"/>
      <c r="O774" s="141"/>
      <c r="S774" s="94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9"/>
      <c r="L775" s="140"/>
      <c r="N775" s="138"/>
      <c r="O775" s="141"/>
      <c r="S775" s="94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9"/>
      <c r="L776" s="140"/>
      <c r="N776" s="138"/>
      <c r="O776" s="141"/>
      <c r="S776" s="94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9"/>
      <c r="L777" s="140"/>
      <c r="N777" s="138"/>
      <c r="O777" s="141"/>
      <c r="S777" s="94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9"/>
      <c r="L778" s="140"/>
      <c r="N778" s="138"/>
      <c r="O778" s="141"/>
      <c r="S778" s="94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9"/>
      <c r="L779" s="140"/>
      <c r="N779" s="138"/>
      <c r="O779" s="141"/>
      <c r="S779" s="94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L780" s="140"/>
      <c r="N780" s="138"/>
      <c r="O780" s="141"/>
      <c r="S780" s="94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9"/>
      <c r="L781" s="140"/>
      <c r="N781" s="138"/>
      <c r="O781" s="141"/>
      <c r="S781" s="94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9"/>
      <c r="L782" s="140"/>
      <c r="N782" s="138"/>
      <c r="O782" s="141"/>
      <c r="S782" s="94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9"/>
      <c r="L783" s="140"/>
      <c r="N783" s="138"/>
      <c r="O783" s="141"/>
      <c r="S783" s="94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9"/>
      <c r="L784" s="140"/>
      <c r="N784" s="138"/>
      <c r="O784" s="141"/>
      <c r="S784" s="94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9"/>
      <c r="L785" s="140"/>
      <c r="N785" s="138"/>
      <c r="O785" s="141"/>
      <c r="S785" s="94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9"/>
      <c r="L786" s="140"/>
      <c r="N786" s="138"/>
      <c r="O786" s="141"/>
      <c r="S786" s="94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9"/>
      <c r="L787" s="140"/>
      <c r="N787" s="138"/>
      <c r="O787" s="141"/>
      <c r="S787" s="94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9"/>
      <c r="L788" s="140"/>
      <c r="N788" s="138"/>
      <c r="O788" s="141"/>
      <c r="S788" s="94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9"/>
      <c r="L789" s="140"/>
      <c r="N789" s="138"/>
      <c r="O789" s="141"/>
      <c r="S789" s="94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9"/>
      <c r="L790" s="140"/>
      <c r="N790" s="138"/>
      <c r="O790" s="141"/>
      <c r="S790" s="94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9"/>
      <c r="L791" s="140"/>
      <c r="N791" s="138"/>
      <c r="O791" s="141"/>
      <c r="S791" s="94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9"/>
      <c r="L792" s="140"/>
      <c r="N792" s="138"/>
      <c r="O792" s="141"/>
      <c r="S792" s="94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9"/>
      <c r="L793" s="140"/>
      <c r="N793" s="138"/>
      <c r="O793" s="141"/>
      <c r="S793" s="94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9"/>
      <c r="L794" s="140"/>
      <c r="N794" s="138"/>
      <c r="O794" s="141"/>
      <c r="S794" s="94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9"/>
      <c r="L795" s="140"/>
      <c r="N795" s="138"/>
      <c r="O795" s="141"/>
      <c r="S795" s="94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9"/>
      <c r="L796" s="140"/>
      <c r="N796" s="138"/>
      <c r="O796" s="141"/>
      <c r="S796" s="94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9"/>
      <c r="L797" s="140"/>
      <c r="N797" s="138"/>
      <c r="O797" s="141"/>
      <c r="S797" s="94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9"/>
      <c r="L798" s="140"/>
      <c r="N798" s="138"/>
      <c r="O798" s="141"/>
      <c r="S798" s="94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9"/>
      <c r="L799" s="140"/>
      <c r="N799" s="138"/>
      <c r="O799" s="141"/>
      <c r="S799" s="94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9"/>
      <c r="L800" s="140"/>
      <c r="N800" s="138"/>
      <c r="O800" s="141"/>
      <c r="S800" s="94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9"/>
      <c r="L801" s="140"/>
      <c r="N801" s="138"/>
      <c r="O801" s="141"/>
      <c r="S801" s="94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9"/>
      <c r="L802" s="140"/>
      <c r="N802" s="138"/>
      <c r="O802" s="141"/>
      <c r="S802" s="94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9"/>
      <c r="L803" s="140"/>
      <c r="N803" s="138"/>
      <c r="O803" s="141"/>
      <c r="S803" s="94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9"/>
      <c r="L804" s="140"/>
      <c r="N804" s="138"/>
      <c r="O804" s="141"/>
      <c r="S804" s="94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9"/>
      <c r="L805" s="140"/>
      <c r="N805" s="138"/>
      <c r="O805" s="141"/>
      <c r="S805" s="94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9"/>
      <c r="L806" s="140"/>
      <c r="N806" s="138"/>
      <c r="O806" s="141"/>
      <c r="S806" s="94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9"/>
      <c r="L807" s="140"/>
      <c r="N807" s="138"/>
      <c r="O807" s="141"/>
      <c r="S807" s="94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9"/>
      <c r="L808" s="140"/>
      <c r="N808" s="138"/>
      <c r="O808" s="141"/>
      <c r="S808" s="94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9"/>
      <c r="L809" s="140"/>
      <c r="N809" s="138"/>
      <c r="O809" s="141"/>
      <c r="S809" s="94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9"/>
      <c r="L810" s="140"/>
      <c r="N810" s="138"/>
      <c r="O810" s="141"/>
      <c r="S810" s="94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L811" s="140"/>
      <c r="N811" s="138"/>
      <c r="O811" s="141"/>
      <c r="S811" s="94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9"/>
      <c r="L812" s="140"/>
      <c r="N812" s="138"/>
      <c r="O812" s="141"/>
      <c r="S812" s="94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9"/>
      <c r="L813" s="140"/>
      <c r="N813" s="138"/>
      <c r="O813" s="141"/>
      <c r="S813" s="94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9"/>
      <c r="L814" s="140"/>
      <c r="N814" s="138"/>
      <c r="O814" s="141"/>
      <c r="S814" s="94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9"/>
      <c r="L815" s="140"/>
      <c r="N815" s="138"/>
      <c r="O815" s="141"/>
      <c r="S815" s="94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9"/>
      <c r="L816" s="140"/>
      <c r="N816" s="138"/>
      <c r="O816" s="141"/>
      <c r="S816" s="94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L817" s="140"/>
      <c r="N817" s="138"/>
      <c r="O817" s="141"/>
      <c r="S817" s="94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9"/>
      <c r="L818" s="140"/>
      <c r="N818" s="138"/>
      <c r="O818" s="141"/>
      <c r="S818" s="94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9"/>
      <c r="L819" s="140"/>
      <c r="N819" s="138"/>
      <c r="O819" s="141"/>
      <c r="S819" s="94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9"/>
      <c r="L820" s="140"/>
      <c r="N820" s="138"/>
      <c r="O820" s="141"/>
      <c r="S820" s="94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9"/>
      <c r="L821" s="140"/>
      <c r="N821" s="138"/>
      <c r="O821" s="141"/>
      <c r="S821" s="94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9"/>
      <c r="L822" s="140"/>
      <c r="N822" s="138"/>
      <c r="O822" s="141"/>
      <c r="S822" s="94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9"/>
      <c r="L823" s="140"/>
      <c r="N823" s="138"/>
      <c r="O823" s="141"/>
      <c r="S823" s="94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9"/>
      <c r="L824" s="140"/>
      <c r="N824" s="138"/>
      <c r="O824" s="141"/>
      <c r="S824" s="94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9"/>
      <c r="L825" s="140"/>
      <c r="N825" s="138"/>
      <c r="O825" s="141"/>
      <c r="S825" s="94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9"/>
      <c r="L826" s="140"/>
      <c r="N826" s="138"/>
      <c r="O826" s="141"/>
      <c r="S826" s="94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9"/>
      <c r="L827" s="140"/>
      <c r="N827" s="138"/>
      <c r="O827" s="141"/>
      <c r="S827" s="94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9"/>
      <c r="L828" s="140"/>
      <c r="N828" s="138"/>
      <c r="O828" s="141"/>
      <c r="S828" s="94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9"/>
      <c r="L829" s="140"/>
      <c r="N829" s="138"/>
      <c r="O829" s="141"/>
      <c r="S829" s="94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9"/>
      <c r="L830" s="140"/>
      <c r="N830" s="138"/>
      <c r="O830" s="141"/>
      <c r="S830" s="94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9"/>
      <c r="L831" s="140"/>
      <c r="N831" s="138"/>
      <c r="O831" s="141"/>
      <c r="S831" s="94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9"/>
      <c r="L832" s="140"/>
      <c r="N832" s="138"/>
      <c r="O832" s="141"/>
      <c r="S832" s="94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9"/>
      <c r="L833" s="140"/>
      <c r="N833" s="138"/>
      <c r="O833" s="141"/>
      <c r="S833" s="94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9"/>
      <c r="L834" s="140"/>
      <c r="N834" s="138"/>
      <c r="O834" s="141"/>
      <c r="S834" s="94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9"/>
      <c r="L835" s="140"/>
      <c r="N835" s="138"/>
      <c r="O835" s="141"/>
      <c r="S835" s="94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9"/>
      <c r="L836" s="140"/>
      <c r="N836" s="138"/>
      <c r="O836" s="141"/>
      <c r="S836" s="94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9"/>
      <c r="L837" s="140"/>
      <c r="N837" s="138"/>
      <c r="O837" s="141"/>
      <c r="S837" s="94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9"/>
      <c r="L838" s="140"/>
      <c r="N838" s="138"/>
      <c r="O838" s="141"/>
      <c r="S838" s="94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9"/>
      <c r="L839" s="140"/>
      <c r="N839" s="138"/>
      <c r="O839" s="141"/>
      <c r="S839" s="94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9"/>
      <c r="L840" s="140"/>
      <c r="N840" s="138"/>
      <c r="O840" s="141"/>
      <c r="S840" s="94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9"/>
      <c r="L841" s="140"/>
      <c r="N841" s="138"/>
      <c r="O841" s="141"/>
      <c r="S841" s="94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9"/>
      <c r="L842" s="140"/>
      <c r="N842" s="138"/>
      <c r="O842" s="141"/>
      <c r="S842" s="94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9"/>
      <c r="L843" s="140"/>
      <c r="N843" s="138"/>
      <c r="O843" s="141"/>
      <c r="S843" s="94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9"/>
      <c r="L844" s="140"/>
      <c r="N844" s="138"/>
      <c r="O844" s="141"/>
      <c r="S844" s="94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9"/>
      <c r="L845" s="140"/>
      <c r="N845" s="138"/>
      <c r="O845" s="141"/>
      <c r="S845" s="94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9"/>
      <c r="L846" s="140"/>
      <c r="N846" s="138"/>
      <c r="O846" s="141"/>
      <c r="S846" s="94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9"/>
      <c r="L847" s="140"/>
      <c r="N847" s="138"/>
      <c r="O847" s="141"/>
      <c r="S847" s="94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9"/>
      <c r="L848" s="140"/>
      <c r="N848" s="138"/>
      <c r="O848" s="141"/>
      <c r="S848" s="94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9"/>
      <c r="L849" s="140"/>
      <c r="N849" s="138"/>
      <c r="O849" s="141"/>
      <c r="S849" s="94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9"/>
      <c r="L850" s="140"/>
      <c r="N850" s="138"/>
      <c r="O850" s="141"/>
      <c r="S850" s="94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9"/>
      <c r="L851" s="140"/>
      <c r="N851" s="138"/>
      <c r="O851" s="141"/>
      <c r="S851" s="94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9"/>
      <c r="L852" s="140"/>
      <c r="N852" s="138"/>
      <c r="O852" s="141"/>
      <c r="S852" s="94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9"/>
      <c r="L853" s="140"/>
      <c r="N853" s="138"/>
      <c r="O853" s="141"/>
      <c r="S853" s="94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9"/>
      <c r="L854" s="140"/>
      <c r="N854" s="138"/>
      <c r="O854" s="141"/>
      <c r="S854" s="94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9"/>
      <c r="L855" s="140"/>
      <c r="N855" s="138"/>
      <c r="O855" s="141"/>
      <c r="S855" s="94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9"/>
      <c r="L856" s="140"/>
      <c r="N856" s="138"/>
      <c r="O856" s="141"/>
      <c r="S856" s="94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9"/>
      <c r="L857" s="140"/>
      <c r="N857" s="138"/>
      <c r="O857" s="141"/>
      <c r="S857" s="94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9"/>
      <c r="L858" s="140"/>
      <c r="N858" s="138"/>
      <c r="O858" s="141"/>
      <c r="S858" s="94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9"/>
      <c r="L859" s="140"/>
      <c r="N859" s="138"/>
      <c r="O859" s="141"/>
      <c r="S859" s="94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9"/>
      <c r="L860" s="140"/>
      <c r="N860" s="138"/>
      <c r="O860" s="141"/>
      <c r="S860" s="94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9"/>
      <c r="L861" s="140"/>
      <c r="N861" s="138"/>
      <c r="O861" s="141"/>
      <c r="S861" s="94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9"/>
      <c r="L862" s="140"/>
      <c r="N862" s="138"/>
      <c r="O862" s="141"/>
      <c r="S862" s="94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9"/>
      <c r="L863" s="140"/>
      <c r="N863" s="138"/>
      <c r="O863" s="141"/>
      <c r="S863" s="94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9"/>
      <c r="L864" s="140"/>
      <c r="N864" s="138"/>
      <c r="O864" s="141"/>
      <c r="S864" s="94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9"/>
      <c r="L865" s="140"/>
      <c r="N865" s="138"/>
      <c r="O865" s="141"/>
      <c r="S865" s="94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9"/>
      <c r="L866" s="140"/>
      <c r="N866" s="138"/>
      <c r="O866" s="141"/>
      <c r="S866" s="94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9"/>
      <c r="L867" s="140"/>
      <c r="N867" s="138"/>
      <c r="O867" s="141"/>
      <c r="S867" s="94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9"/>
      <c r="L868" s="140"/>
      <c r="N868" s="138"/>
      <c r="O868" s="141"/>
      <c r="S868" s="94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9"/>
      <c r="L869" s="140"/>
      <c r="N869" s="138"/>
      <c r="O869" s="141"/>
      <c r="S869" s="94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9"/>
      <c r="L870" s="140"/>
      <c r="N870" s="138"/>
      <c r="O870" s="141"/>
      <c r="S870" s="94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9"/>
      <c r="L871" s="140"/>
      <c r="N871" s="138"/>
      <c r="O871" s="141"/>
      <c r="S871" s="94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9"/>
      <c r="L872" s="140"/>
      <c r="N872" s="138"/>
      <c r="O872" s="141"/>
      <c r="S872" s="94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9"/>
      <c r="L873" s="140"/>
      <c r="N873" s="138"/>
      <c r="O873" s="141"/>
      <c r="S873" s="94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9"/>
      <c r="L874" s="140"/>
      <c r="N874" s="138"/>
      <c r="O874" s="141"/>
      <c r="S874" s="94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9"/>
      <c r="L875" s="140"/>
      <c r="N875" s="138"/>
      <c r="O875" s="141"/>
      <c r="S875" s="94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9"/>
      <c r="L876" s="140"/>
      <c r="N876" s="138"/>
      <c r="O876" s="141"/>
      <c r="S876" s="94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9"/>
      <c r="L877" s="140"/>
      <c r="N877" s="138"/>
      <c r="O877" s="141"/>
      <c r="S877" s="94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9"/>
      <c r="L878" s="140"/>
      <c r="N878" s="138"/>
      <c r="O878" s="141"/>
      <c r="S878" s="94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9"/>
      <c r="L879" s="140"/>
      <c r="N879" s="138"/>
      <c r="O879" s="141"/>
      <c r="S879" s="94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9"/>
      <c r="L880" s="140"/>
      <c r="N880" s="138"/>
      <c r="O880" s="141"/>
      <c r="S880" s="94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9"/>
      <c r="L881" s="140"/>
      <c r="N881" s="138"/>
      <c r="O881" s="141"/>
      <c r="S881" s="94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9"/>
      <c r="L882" s="140"/>
      <c r="N882" s="138"/>
      <c r="O882" s="141"/>
      <c r="S882" s="94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9"/>
      <c r="L883" s="140"/>
      <c r="N883" s="138"/>
      <c r="O883" s="141"/>
      <c r="S883" s="94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9"/>
      <c r="L884" s="140"/>
      <c r="N884" s="138"/>
      <c r="O884" s="141"/>
      <c r="S884" s="94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9"/>
      <c r="L885" s="140"/>
      <c r="N885" s="138"/>
      <c r="O885" s="141"/>
      <c r="S885" s="94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9"/>
      <c r="L886" s="140"/>
      <c r="N886" s="138"/>
      <c r="O886" s="141"/>
      <c r="S886" s="94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9"/>
      <c r="L887" s="140"/>
      <c r="N887" s="138"/>
      <c r="O887" s="141"/>
      <c r="S887" s="94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9"/>
      <c r="L888" s="140"/>
      <c r="N888" s="138"/>
      <c r="O888" s="141"/>
      <c r="S888" s="94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9"/>
      <c r="L889" s="140"/>
      <c r="N889" s="138"/>
      <c r="O889" s="141"/>
      <c r="S889" s="94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9"/>
      <c r="L890" s="140"/>
      <c r="N890" s="138"/>
      <c r="O890" s="141"/>
      <c r="S890" s="94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9"/>
      <c r="L891" s="140"/>
      <c r="N891" s="138"/>
      <c r="O891" s="141"/>
      <c r="S891" s="94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9"/>
      <c r="L892" s="140"/>
      <c r="N892" s="138"/>
      <c r="O892" s="141"/>
      <c r="S892" s="94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9"/>
      <c r="L893" s="140"/>
      <c r="N893" s="138"/>
      <c r="O893" s="141"/>
      <c r="S893" s="94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9"/>
      <c r="L894" s="140"/>
      <c r="N894" s="138"/>
      <c r="O894" s="141"/>
      <c r="S894" s="94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9"/>
      <c r="L895" s="140"/>
      <c r="N895" s="138"/>
      <c r="O895" s="141"/>
      <c r="S895" s="94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9"/>
      <c r="L896" s="140"/>
      <c r="N896" s="138"/>
      <c r="O896" s="141"/>
      <c r="S896" s="94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9"/>
      <c r="L897" s="140"/>
      <c r="N897" s="138"/>
      <c r="O897" s="141"/>
      <c r="S897" s="94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9"/>
      <c r="L898" s="140"/>
      <c r="N898" s="138"/>
      <c r="O898" s="141"/>
      <c r="S898" s="94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9"/>
      <c r="L899" s="140"/>
      <c r="N899" s="138"/>
      <c r="O899" s="141"/>
      <c r="S899" s="94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9"/>
      <c r="L900" s="140"/>
      <c r="N900" s="138"/>
      <c r="O900" s="141"/>
      <c r="S900" s="94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9"/>
      <c r="L901" s="140"/>
      <c r="N901" s="138"/>
      <c r="O901" s="141"/>
      <c r="S901" s="94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9"/>
      <c r="L902" s="140"/>
      <c r="N902" s="138"/>
      <c r="O902" s="141"/>
      <c r="S902" s="94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9"/>
      <c r="L903" s="140"/>
      <c r="N903" s="138"/>
      <c r="O903" s="141"/>
      <c r="S903" s="94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9"/>
      <c r="L904" s="140"/>
      <c r="N904" s="138"/>
      <c r="O904" s="141"/>
      <c r="S904" s="94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9"/>
      <c r="L905" s="140"/>
      <c r="N905" s="138"/>
      <c r="O905" s="141"/>
      <c r="S905" s="94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9"/>
      <c r="L906" s="140"/>
      <c r="N906" s="138"/>
      <c r="O906" s="141"/>
      <c r="S906" s="94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9"/>
      <c r="L907" s="140"/>
      <c r="N907" s="138"/>
      <c r="O907" s="141"/>
      <c r="S907" s="94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9"/>
      <c r="L908" s="140"/>
      <c r="N908" s="138"/>
      <c r="O908" s="141"/>
      <c r="S908" s="94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9"/>
      <c r="L909" s="140"/>
      <c r="N909" s="138"/>
      <c r="O909" s="141"/>
      <c r="S909" s="94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9"/>
      <c r="L910" s="140"/>
      <c r="N910" s="138"/>
      <c r="O910" s="141"/>
      <c r="S910" s="94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9"/>
      <c r="L911" s="140"/>
      <c r="N911" s="138"/>
      <c r="O911" s="141"/>
      <c r="S911" s="94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9"/>
      <c r="L912" s="140"/>
      <c r="N912" s="138"/>
      <c r="O912" s="141"/>
      <c r="S912" s="94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9"/>
      <c r="L913" s="140"/>
      <c r="N913" s="138"/>
      <c r="O913" s="141"/>
      <c r="S913" s="94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9"/>
      <c r="L914" s="140"/>
      <c r="N914" s="138"/>
      <c r="O914" s="141"/>
      <c r="S914" s="94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9"/>
      <c r="L915" s="140"/>
      <c r="N915" s="138"/>
      <c r="O915" s="141"/>
      <c r="S915" s="94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9"/>
      <c r="L916" s="140"/>
      <c r="N916" s="138"/>
      <c r="O916" s="141"/>
      <c r="S916" s="94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9"/>
      <c r="L917" s="140"/>
      <c r="N917" s="138"/>
      <c r="O917" s="141"/>
      <c r="S917" s="94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9"/>
      <c r="L918" s="140"/>
      <c r="N918" s="138"/>
      <c r="O918" s="141"/>
      <c r="S918" s="94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9"/>
      <c r="L919" s="140"/>
      <c r="N919" s="138"/>
      <c r="O919" s="141"/>
      <c r="S919" s="94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9"/>
      <c r="L920" s="140"/>
      <c r="N920" s="138"/>
      <c r="O920" s="141"/>
      <c r="S920" s="94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9"/>
      <c r="L921" s="140"/>
      <c r="N921" s="138"/>
      <c r="O921" s="141"/>
      <c r="S921" s="94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9"/>
      <c r="L922" s="140"/>
      <c r="N922" s="138"/>
      <c r="O922" s="141"/>
      <c r="S922" s="94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9"/>
      <c r="L923" s="140"/>
      <c r="N923" s="138"/>
      <c r="O923" s="141"/>
      <c r="S923" s="94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9"/>
      <c r="L924" s="140"/>
      <c r="N924" s="138"/>
      <c r="O924" s="141"/>
      <c r="S924" s="94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9"/>
      <c r="L925" s="140"/>
      <c r="N925" s="138"/>
      <c r="O925" s="141"/>
      <c r="S925" s="94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9"/>
      <c r="L926" s="140"/>
      <c r="N926" s="138"/>
      <c r="O926" s="141"/>
      <c r="S926" s="94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9"/>
      <c r="L927" s="140"/>
      <c r="N927" s="138"/>
      <c r="O927" s="141"/>
      <c r="S927" s="94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9"/>
      <c r="L928" s="140"/>
      <c r="N928" s="138"/>
      <c r="O928" s="141"/>
      <c r="S928" s="94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9"/>
      <c r="L929" s="140"/>
      <c r="N929" s="138"/>
      <c r="O929" s="141"/>
      <c r="S929" s="94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9"/>
      <c r="L930" s="140"/>
      <c r="N930" s="138"/>
      <c r="O930" s="141"/>
      <c r="S930" s="94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9"/>
      <c r="L931" s="140"/>
      <c r="N931" s="138"/>
      <c r="O931" s="141"/>
      <c r="S931" s="94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9"/>
      <c r="L932" s="140"/>
      <c r="N932" s="138"/>
      <c r="O932" s="141"/>
      <c r="S932" s="94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9"/>
      <c r="L933" s="140"/>
      <c r="N933" s="138"/>
      <c r="O933" s="141"/>
      <c r="S933" s="94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9"/>
      <c r="L934" s="140"/>
      <c r="N934" s="138"/>
      <c r="O934" s="141"/>
      <c r="S934" s="94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9"/>
      <c r="L935" s="140"/>
      <c r="N935" s="138"/>
      <c r="O935" s="141"/>
      <c r="S935" s="94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9"/>
      <c r="L936" s="140"/>
      <c r="N936" s="138"/>
      <c r="O936" s="141"/>
      <c r="S936" s="94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9"/>
      <c r="L937" s="140"/>
      <c r="N937" s="138"/>
      <c r="O937" s="141"/>
      <c r="S937" s="94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9"/>
      <c r="L938" s="140"/>
      <c r="N938" s="138"/>
      <c r="O938" s="141"/>
      <c r="S938" s="94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9"/>
      <c r="L939" s="140"/>
      <c r="N939" s="138"/>
      <c r="O939" s="141"/>
      <c r="S939" s="94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9"/>
      <c r="L940" s="140"/>
      <c r="N940" s="138"/>
      <c r="O940" s="141"/>
      <c r="S940" s="94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9"/>
      <c r="L941" s="140"/>
      <c r="N941" s="138"/>
      <c r="O941" s="141"/>
      <c r="S941" s="94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9"/>
      <c r="L942" s="140"/>
      <c r="N942" s="138"/>
      <c r="O942" s="141"/>
      <c r="S942" s="94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9"/>
      <c r="L943" s="140"/>
      <c r="N943" s="138"/>
      <c r="O943" s="141"/>
      <c r="S943" s="94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9"/>
      <c r="L944" s="140"/>
      <c r="N944" s="138"/>
      <c r="O944" s="141"/>
      <c r="S944" s="94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9"/>
      <c r="L945" s="140"/>
      <c r="N945" s="138"/>
      <c r="O945" s="141"/>
      <c r="S945" s="94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9"/>
      <c r="L946" s="140"/>
      <c r="N946" s="138"/>
      <c r="O946" s="141"/>
      <c r="S946" s="94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9"/>
      <c r="L947" s="140"/>
      <c r="N947" s="138"/>
      <c r="O947" s="141"/>
      <c r="S947" s="94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9"/>
      <c r="L948" s="140"/>
      <c r="N948" s="138"/>
      <c r="O948" s="141"/>
      <c r="S948" s="94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9"/>
      <c r="L949" s="140"/>
      <c r="N949" s="138"/>
      <c r="O949" s="141"/>
      <c r="S949" s="94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9"/>
      <c r="L950" s="140"/>
      <c r="N950" s="138"/>
      <c r="O950" s="141"/>
      <c r="S950" s="94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9"/>
      <c r="L951" s="140"/>
      <c r="N951" s="138"/>
      <c r="O951" s="141"/>
      <c r="S951" s="94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9"/>
      <c r="L952" s="140"/>
      <c r="N952" s="138"/>
      <c r="O952" s="141"/>
      <c r="S952" s="94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9"/>
      <c r="L953" s="140"/>
      <c r="N953" s="138"/>
      <c r="O953" s="141"/>
      <c r="S953" s="94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9"/>
      <c r="L954" s="140"/>
      <c r="N954" s="138"/>
      <c r="O954" s="141"/>
      <c r="S954" s="94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9"/>
      <c r="L955" s="140"/>
      <c r="N955" s="138"/>
      <c r="O955" s="141"/>
      <c r="S955" s="94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9"/>
      <c r="L956" s="140"/>
      <c r="N956" s="138"/>
      <c r="O956" s="141"/>
      <c r="S956" s="94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9"/>
      <c r="L957" s="140"/>
      <c r="N957" s="138"/>
      <c r="O957" s="141"/>
      <c r="S957" s="94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9"/>
      <c r="L958" s="140"/>
      <c r="N958" s="138"/>
      <c r="O958" s="141"/>
      <c r="S958" s="94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9"/>
      <c r="L959" s="140"/>
      <c r="N959" s="138"/>
      <c r="O959" s="141"/>
      <c r="S959" s="94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9"/>
      <c r="L960" s="140"/>
      <c r="N960" s="138"/>
      <c r="O960" s="141"/>
      <c r="S960" s="94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9"/>
      <c r="L961" s="140"/>
      <c r="N961" s="138"/>
      <c r="O961" s="141"/>
      <c r="S961" s="94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9"/>
      <c r="L962" s="140"/>
      <c r="N962" s="138"/>
      <c r="O962" s="141"/>
      <c r="S962" s="94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9"/>
      <c r="L963" s="140"/>
      <c r="N963" s="138"/>
      <c r="O963" s="141"/>
      <c r="S963" s="94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9"/>
      <c r="L964" s="140"/>
      <c r="N964" s="138"/>
      <c r="O964" s="141"/>
      <c r="S964" s="94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9"/>
      <c r="L965" s="140"/>
      <c r="N965" s="138"/>
      <c r="O965" s="141"/>
      <c r="S965" s="94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9"/>
      <c r="L966" s="140"/>
      <c r="N966" s="138"/>
      <c r="O966" s="141"/>
      <c r="S966" s="94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9"/>
      <c r="L967" s="140"/>
      <c r="N967" s="138"/>
      <c r="O967" s="141"/>
      <c r="S967" s="94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9"/>
      <c r="L968" s="140"/>
      <c r="N968" s="138"/>
      <c r="O968" s="141"/>
      <c r="S968" s="94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9"/>
      <c r="L969" s="140"/>
      <c r="N969" s="138"/>
      <c r="O969" s="141"/>
      <c r="S969" s="94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9"/>
      <c r="L970" s="140"/>
      <c r="N970" s="138"/>
      <c r="O970" s="141"/>
      <c r="S970" s="94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9"/>
      <c r="L971" s="140"/>
      <c r="N971" s="138"/>
      <c r="O971" s="141"/>
      <c r="S971" s="94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9"/>
      <c r="L972" s="140"/>
      <c r="N972" s="138"/>
      <c r="O972" s="141"/>
      <c r="S972" s="94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9"/>
      <c r="L973" s="140"/>
      <c r="N973" s="138"/>
      <c r="O973" s="141"/>
      <c r="S973" s="94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9"/>
      <c r="L974" s="140"/>
      <c r="N974" s="138"/>
      <c r="O974" s="141"/>
      <c r="S974" s="94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9"/>
      <c r="L975" s="140"/>
      <c r="N975" s="138"/>
      <c r="O975" s="141"/>
      <c r="S975" s="94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9"/>
      <c r="L976" s="140"/>
      <c r="N976" s="138"/>
      <c r="O976" s="141"/>
      <c r="S976" s="94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9"/>
      <c r="L977" s="140"/>
      <c r="N977" s="138"/>
      <c r="O977" s="141"/>
      <c r="S977" s="94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9"/>
      <c r="L978" s="140"/>
      <c r="N978" s="138"/>
      <c r="O978" s="141"/>
      <c r="S978" s="94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9"/>
      <c r="L979" s="140"/>
      <c r="N979" s="138"/>
      <c r="O979" s="141"/>
      <c r="S979" s="94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9"/>
      <c r="L980" s="140"/>
      <c r="N980" s="138"/>
      <c r="O980" s="141"/>
      <c r="S980" s="94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9"/>
      <c r="L981" s="140"/>
      <c r="N981" s="138"/>
      <c r="O981" s="141"/>
      <c r="S981" s="94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9"/>
      <c r="L982" s="140"/>
      <c r="N982" s="138"/>
      <c r="O982" s="141"/>
      <c r="S982" s="94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9"/>
      <c r="L983" s="140"/>
      <c r="N983" s="138"/>
      <c r="O983" s="141"/>
      <c r="S983" s="94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9"/>
      <c r="L984" s="140"/>
      <c r="N984" s="138"/>
      <c r="O984" s="141"/>
      <c r="S984" s="94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9"/>
      <c r="L985" s="140"/>
      <c r="N985" s="138"/>
      <c r="O985" s="141"/>
      <c r="S985" s="94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9"/>
      <c r="L986" s="140"/>
      <c r="N986" s="138"/>
      <c r="O986" s="141"/>
      <c r="S986" s="94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9"/>
      <c r="L987" s="140"/>
      <c r="N987" s="138"/>
      <c r="O987" s="141"/>
      <c r="S987" s="94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9"/>
      <c r="L988" s="140"/>
      <c r="N988" s="138"/>
      <c r="O988" s="141"/>
      <c r="S988" s="94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9"/>
      <c r="L989" s="140"/>
      <c r="N989" s="138"/>
      <c r="O989" s="141"/>
      <c r="S989" s="94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9"/>
      <c r="L990" s="140"/>
      <c r="N990" s="138"/>
      <c r="O990" s="141"/>
      <c r="S990" s="94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9"/>
      <c r="L991" s="140"/>
      <c r="N991" s="138"/>
      <c r="O991" s="141"/>
      <c r="S991" s="94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9"/>
      <c r="L992" s="140"/>
      <c r="N992" s="138"/>
      <c r="O992" s="141"/>
      <c r="S992" s="94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9"/>
      <c r="L993" s="140"/>
      <c r="N993" s="138"/>
      <c r="O993" s="141"/>
      <c r="S993" s="94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9"/>
      <c r="L994" s="140"/>
      <c r="N994" s="138"/>
      <c r="O994" s="141"/>
      <c r="S994" s="94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9"/>
      <c r="L995" s="140"/>
      <c r="N995" s="138"/>
      <c r="O995" s="141"/>
      <c r="S995" s="94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9"/>
      <c r="L996" s="140"/>
      <c r="N996" s="138"/>
      <c r="O996" s="141"/>
      <c r="S996" s="94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9"/>
      <c r="L997" s="140"/>
      <c r="N997" s="138"/>
      <c r="O997" s="141"/>
      <c r="S997" s="94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9"/>
      <c r="L998" s="140"/>
      <c r="N998" s="138"/>
      <c r="O998" s="141"/>
      <c r="S998" s="94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9"/>
      <c r="L999" s="140"/>
      <c r="N999" s="138"/>
      <c r="O999" s="141"/>
      <c r="S999" s="94"/>
    </row>
  </sheetData>
  <mergeCells count="8">
    <mergeCell ref="B1:D1"/>
    <mergeCell ref="E1:G1"/>
    <mergeCell ref="H1:J1"/>
    <mergeCell ref="K1:M1"/>
    <mergeCell ref="N1:P1"/>
    <mergeCell ref="R6:S6"/>
    <mergeCell ref="R53:S53"/>
    <mergeCell ref="R68:S68"/>
  </mergeCells>
  <conditionalFormatting sqref="E19 E50 E81">
    <cfRule type="notContainsBlanks" dxfId="7" priority="1">
      <formula>LEN(TRIM(E19))&gt;0</formula>
    </cfRule>
  </conditionalFormatting>
  <conditionalFormatting sqref="D3:D101">
    <cfRule type="cellIs" dxfId="6" priority="2" operator="lessThan">
      <formula>C3:C100</formula>
    </cfRule>
  </conditionalFormatting>
  <conditionalFormatting sqref="D3:D101">
    <cfRule type="cellIs" dxfId="4" priority="3" operator="greaterThan">
      <formula>C3:C100</formula>
    </cfRule>
  </conditionalFormatting>
  <conditionalFormatting sqref="G3:G101">
    <cfRule type="cellIs" dxfId="4" priority="4" operator="greaterThan">
      <formula>0</formula>
    </cfRule>
  </conditionalFormatting>
  <conditionalFormatting sqref="G3:G101">
    <cfRule type="cellIs" dxfId="6" priority="5" operator="lessThan">
      <formula>0</formula>
    </cfRule>
  </conditionalFormatting>
  <conditionalFormatting sqref="J3:J102">
    <cfRule type="cellIs" dxfId="5" priority="6" operator="lessThan">
      <formula>I3:I101</formula>
    </cfRule>
  </conditionalFormatting>
  <conditionalFormatting sqref="J3:J102">
    <cfRule type="cellIs" dxfId="4" priority="7" operator="greaterThan">
      <formula>I3:I101</formula>
    </cfRule>
  </conditionalFormatting>
  <conditionalFormatting sqref="M1:M999">
    <cfRule type="cellIs" dxfId="4" priority="8" operator="greaterThan">
      <formula>0%</formula>
    </cfRule>
  </conditionalFormatting>
  <conditionalFormatting sqref="M1:M999">
    <cfRule type="cellIs" dxfId="6" priority="9" operator="lessThan">
      <formula>0%</formula>
    </cfRule>
  </conditionalFormatting>
  <conditionalFormatting sqref="P1:P999">
    <cfRule type="cellIs" dxfId="4" priority="10" operator="greaterThan">
      <formula>0</formula>
    </cfRule>
  </conditionalFormatting>
  <conditionalFormatting sqref="P1:P999">
    <cfRule type="cellIs" dxfId="6" priority="11" operator="lessThan">
      <formula>0</formula>
    </cfRule>
  </conditionalFormatting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3"/>
  <cols>
    <col customWidth="1" min="1" max="1" width="11.13"/>
    <col customWidth="1" min="2" max="2" width="9.25"/>
    <col customWidth="1" min="3" max="3" width="4.75"/>
    <col customWidth="1" min="4" max="4" width="5.13"/>
    <col customWidth="1" min="5" max="5" width="9.25"/>
    <col customWidth="1" min="6" max="6" width="4.75"/>
    <col customWidth="1" min="7" max="7" width="4.25"/>
    <col customWidth="1" min="8" max="8" width="11.13"/>
    <col customWidth="1" min="9" max="9" width="10.5"/>
    <col customWidth="1" min="10" max="10" width="11.13"/>
    <col customWidth="1" min="11" max="11" width="12.0"/>
    <col customWidth="1" min="12" max="12" width="4.75"/>
    <col customWidth="1" min="13" max="13" width="4.88"/>
    <col customWidth="1" min="14" max="14" width="11.0"/>
    <col customWidth="1" min="15" max="15" width="6.38"/>
    <col customWidth="1" min="16" max="16" width="8.75"/>
    <col customWidth="1" min="18" max="18" width="16.25"/>
  </cols>
  <sheetData>
    <row r="1">
      <c r="A1" s="337"/>
      <c r="B1" s="337" t="s">
        <v>1</v>
      </c>
      <c r="E1" s="337" t="s">
        <v>2</v>
      </c>
      <c r="H1" s="337" t="s">
        <v>3</v>
      </c>
      <c r="K1" s="337" t="s">
        <v>4</v>
      </c>
      <c r="N1" s="337" t="s">
        <v>5</v>
      </c>
      <c r="Q1" s="90"/>
      <c r="R1" s="90"/>
      <c r="S1" s="91"/>
      <c r="T1" s="90"/>
      <c r="U1" s="90"/>
      <c r="V1" s="90"/>
      <c r="W1" s="90"/>
      <c r="X1" s="90"/>
      <c r="Y1" s="90"/>
      <c r="Z1" s="90"/>
      <c r="AA1" s="90"/>
      <c r="AB1" s="90"/>
    </row>
    <row r="2">
      <c r="A2" s="337"/>
      <c r="B2" s="337" t="s">
        <v>7</v>
      </c>
      <c r="C2" s="337" t="s">
        <v>8</v>
      </c>
      <c r="D2" s="337" t="s">
        <v>9</v>
      </c>
      <c r="E2" s="337" t="s">
        <v>7</v>
      </c>
      <c r="F2" s="337" t="s">
        <v>8</v>
      </c>
      <c r="G2" s="337" t="s">
        <v>9</v>
      </c>
      <c r="H2" s="337" t="s">
        <v>7</v>
      </c>
      <c r="I2" s="337" t="s">
        <v>8</v>
      </c>
      <c r="J2" s="337" t="s">
        <v>9</v>
      </c>
      <c r="K2" s="337" t="s">
        <v>7</v>
      </c>
      <c r="L2" s="338" t="s">
        <v>8</v>
      </c>
      <c r="M2" s="337" t="s">
        <v>9</v>
      </c>
      <c r="N2" s="337" t="s">
        <v>7</v>
      </c>
      <c r="O2" s="339" t="s">
        <v>8</v>
      </c>
      <c r="P2" s="337" t="s">
        <v>9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340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2"/>
      <c r="P3" s="341"/>
      <c r="S3" s="94"/>
    </row>
    <row r="4">
      <c r="A4" s="340" t="s">
        <v>11</v>
      </c>
      <c r="B4" s="343">
        <f t="shared" ref="B4:J4" si="1">B5+B36+B67+B98</f>
        <v>1198</v>
      </c>
      <c r="C4" s="343">
        <f t="shared" si="1"/>
        <v>4360</v>
      </c>
      <c r="D4" s="343">
        <f t="shared" si="1"/>
        <v>-3042</v>
      </c>
      <c r="E4" s="343">
        <f t="shared" si="1"/>
        <v>608</v>
      </c>
      <c r="F4" s="343">
        <f t="shared" si="1"/>
        <v>1002</v>
      </c>
      <c r="G4" s="343">
        <f t="shared" si="1"/>
        <v>-374</v>
      </c>
      <c r="H4" s="344">
        <f t="shared" si="1"/>
        <v>148805.69</v>
      </c>
      <c r="I4" s="344">
        <f t="shared" si="1"/>
        <v>243900</v>
      </c>
      <c r="J4" s="344">
        <f t="shared" si="1"/>
        <v>-90094.31</v>
      </c>
      <c r="K4" s="345">
        <f>K5+K36</f>
        <v>0.5022749042</v>
      </c>
      <c r="L4" s="346">
        <v>0.4</v>
      </c>
      <c r="M4" s="345">
        <f>K4*L4</f>
        <v>0.2009099617</v>
      </c>
      <c r="N4" s="344">
        <f>H4/E4</f>
        <v>244.7462007</v>
      </c>
      <c r="O4" s="347">
        <v>250.0</v>
      </c>
      <c r="P4" s="344">
        <f t="shared" ref="P4:P125" si="3">N4-O4</f>
        <v>-5.253799342</v>
      </c>
      <c r="S4" s="94"/>
    </row>
    <row r="5" outlineLevel="1" collapsed="1">
      <c r="A5" s="100" t="s">
        <v>59</v>
      </c>
      <c r="B5" s="100">
        <f t="shared" ref="B5:J5" si="2">SUM(B6:B35)</f>
        <v>576</v>
      </c>
      <c r="C5" s="100">
        <f t="shared" si="2"/>
        <v>880</v>
      </c>
      <c r="D5" s="100">
        <f t="shared" si="2"/>
        <v>-304</v>
      </c>
      <c r="E5" s="100">
        <f t="shared" si="2"/>
        <v>190</v>
      </c>
      <c r="F5" s="100">
        <f t="shared" si="2"/>
        <v>264</v>
      </c>
      <c r="G5" s="100">
        <f t="shared" si="2"/>
        <v>-74</v>
      </c>
      <c r="H5" s="102">
        <f t="shared" si="2"/>
        <v>48083.94</v>
      </c>
      <c r="I5" s="102">
        <f t="shared" si="2"/>
        <v>66000</v>
      </c>
      <c r="J5" s="102">
        <f t="shared" si="2"/>
        <v>-17916.06</v>
      </c>
      <c r="K5" s="103">
        <f t="shared" ref="K5:K128" si="4">IFERROR(E5/B5,"")</f>
        <v>0.3298611111</v>
      </c>
      <c r="L5" s="103">
        <v>0.3</v>
      </c>
      <c r="M5" s="103">
        <f t="shared" ref="M5:M11" si="5">L5-K5</f>
        <v>-0.02986111111</v>
      </c>
      <c r="N5" s="102">
        <f t="shared" ref="N5:N35" si="6">IFERROR(H5/E5,"")</f>
        <v>253.0733684</v>
      </c>
      <c r="O5" s="104">
        <v>250.0</v>
      </c>
      <c r="P5" s="102">
        <f t="shared" si="3"/>
        <v>3.073368421</v>
      </c>
      <c r="S5" s="94"/>
    </row>
    <row r="6" hidden="1" outlineLevel="2">
      <c r="A6" s="105">
        <v>45901.0</v>
      </c>
      <c r="B6" s="106">
        <v>21.0</v>
      </c>
      <c r="C6" s="107">
        <v>80.0</v>
      </c>
      <c r="D6" s="107">
        <f t="shared" ref="D6:D11" si="7">B6-C6</f>
        <v>-59</v>
      </c>
      <c r="E6" s="106">
        <v>11.0</v>
      </c>
      <c r="F6" s="107">
        <f t="shared" ref="F6:F11" si="8">C6*30%</f>
        <v>24</v>
      </c>
      <c r="G6" s="107">
        <f t="shared" ref="G6:G11" si="9">E6-F6</f>
        <v>-13</v>
      </c>
      <c r="H6" s="108">
        <v>2697.24</v>
      </c>
      <c r="I6" s="109">
        <f t="shared" ref="I6:I35" si="10">F6*O6</f>
        <v>6000</v>
      </c>
      <c r="J6" s="109">
        <f t="shared" ref="J6:J11" si="11">H6-I6</f>
        <v>-3302.76</v>
      </c>
      <c r="K6" s="111">
        <f t="shared" si="4"/>
        <v>0.5238095238</v>
      </c>
      <c r="L6" s="111">
        <v>0.3</v>
      </c>
      <c r="M6" s="111">
        <f t="shared" si="5"/>
        <v>-0.2238095238</v>
      </c>
      <c r="N6" s="109">
        <f t="shared" si="6"/>
        <v>245.2036364</v>
      </c>
      <c r="O6" s="112">
        <v>250.0</v>
      </c>
      <c r="P6" s="109">
        <f t="shared" si="3"/>
        <v>-4.796363636</v>
      </c>
      <c r="R6" s="115" t="s">
        <v>131</v>
      </c>
    </row>
    <row r="7" hidden="1" outlineLevel="2">
      <c r="A7" s="105">
        <v>45902.0</v>
      </c>
      <c r="B7" s="106">
        <v>82.0</v>
      </c>
      <c r="C7" s="107">
        <v>80.0</v>
      </c>
      <c r="D7" s="107">
        <f t="shared" si="7"/>
        <v>2</v>
      </c>
      <c r="E7" s="106">
        <v>13.0</v>
      </c>
      <c r="F7" s="107">
        <f t="shared" si="8"/>
        <v>24</v>
      </c>
      <c r="G7" s="107">
        <f t="shared" si="9"/>
        <v>-11</v>
      </c>
      <c r="H7" s="108">
        <v>2528.42</v>
      </c>
      <c r="I7" s="109">
        <f t="shared" si="10"/>
        <v>6000</v>
      </c>
      <c r="J7" s="109">
        <f t="shared" si="11"/>
        <v>-3471.58</v>
      </c>
      <c r="K7" s="111">
        <f t="shared" si="4"/>
        <v>0.1585365854</v>
      </c>
      <c r="L7" s="111">
        <v>0.3</v>
      </c>
      <c r="M7" s="111">
        <f t="shared" si="5"/>
        <v>0.1414634146</v>
      </c>
      <c r="N7" s="109">
        <f t="shared" si="6"/>
        <v>194.4938462</v>
      </c>
      <c r="O7" s="112">
        <v>250.0</v>
      </c>
      <c r="P7" s="109">
        <f t="shared" si="3"/>
        <v>-55.50615385</v>
      </c>
      <c r="R7" s="113" t="s">
        <v>8</v>
      </c>
      <c r="S7" s="116">
        <v>110000.0</v>
      </c>
    </row>
    <row r="8" hidden="1" outlineLevel="2">
      <c r="A8" s="105">
        <v>45903.0</v>
      </c>
      <c r="B8" s="106">
        <v>59.0</v>
      </c>
      <c r="C8" s="107">
        <v>80.0</v>
      </c>
      <c r="D8" s="107">
        <f t="shared" si="7"/>
        <v>-21</v>
      </c>
      <c r="E8" s="106">
        <v>19.0</v>
      </c>
      <c r="F8" s="107">
        <f t="shared" si="8"/>
        <v>24</v>
      </c>
      <c r="G8" s="107">
        <f t="shared" si="9"/>
        <v>-5</v>
      </c>
      <c r="H8" s="108">
        <v>5018.52</v>
      </c>
      <c r="I8" s="109">
        <f t="shared" si="10"/>
        <v>6000</v>
      </c>
      <c r="J8" s="109">
        <f t="shared" si="11"/>
        <v>-981.48</v>
      </c>
      <c r="K8" s="111">
        <f t="shared" si="4"/>
        <v>0.3220338983</v>
      </c>
      <c r="L8" s="111">
        <v>0.3</v>
      </c>
      <c r="M8" s="111">
        <f t="shared" si="5"/>
        <v>-0.02203389831</v>
      </c>
      <c r="N8" s="109">
        <f t="shared" si="6"/>
        <v>264.1326316</v>
      </c>
      <c r="O8" s="112">
        <v>250.0</v>
      </c>
      <c r="P8" s="109">
        <f t="shared" si="3"/>
        <v>14.13263158</v>
      </c>
      <c r="R8" s="113" t="s">
        <v>45</v>
      </c>
      <c r="S8" s="117">
        <f>S7/30</f>
        <v>3666.666667</v>
      </c>
    </row>
    <row r="9" hidden="1" outlineLevel="2">
      <c r="A9" s="105">
        <v>45904.0</v>
      </c>
      <c r="B9" s="106">
        <v>14.0</v>
      </c>
      <c r="C9" s="107">
        <v>80.0</v>
      </c>
      <c r="D9" s="107">
        <f t="shared" si="7"/>
        <v>-66</v>
      </c>
      <c r="E9" s="106">
        <v>14.0</v>
      </c>
      <c r="F9" s="107">
        <f t="shared" si="8"/>
        <v>24</v>
      </c>
      <c r="G9" s="107">
        <f t="shared" si="9"/>
        <v>-10</v>
      </c>
      <c r="H9" s="108">
        <v>3333.31</v>
      </c>
      <c r="I9" s="109">
        <f t="shared" si="10"/>
        <v>6000</v>
      </c>
      <c r="J9" s="109">
        <f t="shared" si="11"/>
        <v>-2666.69</v>
      </c>
      <c r="K9" s="111">
        <f t="shared" si="4"/>
        <v>1</v>
      </c>
      <c r="L9" s="111">
        <v>0.3</v>
      </c>
      <c r="M9" s="111">
        <f t="shared" si="5"/>
        <v>-0.7</v>
      </c>
      <c r="N9" s="109">
        <f t="shared" si="6"/>
        <v>238.0935714</v>
      </c>
      <c r="O9" s="112">
        <v>250.0</v>
      </c>
      <c r="P9" s="109">
        <f t="shared" si="3"/>
        <v>-11.90642857</v>
      </c>
      <c r="R9" s="113" t="s">
        <v>46</v>
      </c>
      <c r="S9" s="117">
        <f>S7/22</f>
        <v>5000</v>
      </c>
    </row>
    <row r="10" hidden="1" outlineLevel="2">
      <c r="A10" s="105">
        <v>45905.0</v>
      </c>
      <c r="B10" s="106">
        <v>77.0</v>
      </c>
      <c r="C10" s="107">
        <v>80.0</v>
      </c>
      <c r="D10" s="107">
        <f t="shared" si="7"/>
        <v>-3</v>
      </c>
      <c r="E10" s="106">
        <v>10.0</v>
      </c>
      <c r="F10" s="107">
        <f t="shared" si="8"/>
        <v>24</v>
      </c>
      <c r="G10" s="107">
        <f t="shared" si="9"/>
        <v>-14</v>
      </c>
      <c r="H10" s="108">
        <v>1921.59</v>
      </c>
      <c r="I10" s="109">
        <f t="shared" si="10"/>
        <v>6000</v>
      </c>
      <c r="J10" s="109">
        <f t="shared" si="11"/>
        <v>-4078.41</v>
      </c>
      <c r="K10" s="111">
        <f t="shared" si="4"/>
        <v>0.1298701299</v>
      </c>
      <c r="L10" s="111">
        <v>0.3</v>
      </c>
      <c r="M10" s="111">
        <f t="shared" si="5"/>
        <v>0.1701298701</v>
      </c>
      <c r="N10" s="109">
        <f t="shared" si="6"/>
        <v>192.159</v>
      </c>
      <c r="O10" s="112">
        <v>250.0</v>
      </c>
      <c r="P10" s="109">
        <f t="shared" si="3"/>
        <v>-57.841</v>
      </c>
      <c r="R10" s="113" t="s">
        <v>7</v>
      </c>
      <c r="S10" s="117">
        <f>H5</f>
        <v>48083.94</v>
      </c>
    </row>
    <row r="11" hidden="1" outlineLevel="2">
      <c r="A11" s="105">
        <v>45906.0</v>
      </c>
      <c r="B11" s="106">
        <v>52.0</v>
      </c>
      <c r="C11" s="107">
        <v>80.0</v>
      </c>
      <c r="D11" s="107">
        <f t="shared" si="7"/>
        <v>-28</v>
      </c>
      <c r="E11" s="106">
        <v>7.0</v>
      </c>
      <c r="F11" s="107">
        <f t="shared" si="8"/>
        <v>24</v>
      </c>
      <c r="G11" s="107">
        <f t="shared" si="9"/>
        <v>-17</v>
      </c>
      <c r="H11" s="108">
        <v>2617.3</v>
      </c>
      <c r="I11" s="109">
        <f t="shared" si="10"/>
        <v>6000</v>
      </c>
      <c r="J11" s="109">
        <f t="shared" si="11"/>
        <v>-3382.7</v>
      </c>
      <c r="K11" s="111">
        <f t="shared" si="4"/>
        <v>0.1346153846</v>
      </c>
      <c r="L11" s="111">
        <v>0.3</v>
      </c>
      <c r="M11" s="111">
        <f t="shared" si="5"/>
        <v>0.1653846154</v>
      </c>
      <c r="N11" s="109">
        <f t="shared" si="6"/>
        <v>373.9</v>
      </c>
      <c r="O11" s="112">
        <v>250.0</v>
      </c>
      <c r="P11" s="109">
        <f t="shared" si="3"/>
        <v>123.9</v>
      </c>
      <c r="R11" s="113" t="s">
        <v>47</v>
      </c>
      <c r="S11" s="119">
        <f>S10/S7</f>
        <v>0.4371267273</v>
      </c>
    </row>
    <row r="12" hidden="1" outlineLevel="2">
      <c r="A12" s="105">
        <v>45907.0</v>
      </c>
      <c r="B12" s="328"/>
      <c r="C12" s="107"/>
      <c r="D12" s="107"/>
      <c r="E12" s="328"/>
      <c r="F12" s="107"/>
      <c r="G12" s="107"/>
      <c r="H12" s="328"/>
      <c r="I12" s="109">
        <f t="shared" si="10"/>
        <v>0</v>
      </c>
      <c r="J12" s="109"/>
      <c r="K12" s="111" t="str">
        <f t="shared" si="4"/>
        <v/>
      </c>
      <c r="L12" s="111"/>
      <c r="M12" s="114"/>
      <c r="N12" s="109" t="str">
        <f t="shared" si="6"/>
        <v/>
      </c>
      <c r="O12" s="112"/>
      <c r="P12" s="109">
        <f t="shared" si="3"/>
        <v>0</v>
      </c>
      <c r="R12" s="113" t="s">
        <v>48</v>
      </c>
      <c r="S12" s="120">
        <v>12.0</v>
      </c>
    </row>
    <row r="13" hidden="1" outlineLevel="2">
      <c r="A13" s="105">
        <v>45908.0</v>
      </c>
      <c r="B13" s="106">
        <v>57.0</v>
      </c>
      <c r="C13" s="107">
        <v>80.0</v>
      </c>
      <c r="D13" s="107">
        <f t="shared" ref="D13:D35" si="12">B13-C13</f>
        <v>-23</v>
      </c>
      <c r="E13" s="106">
        <v>25.0</v>
      </c>
      <c r="F13" s="107">
        <f t="shared" ref="F13:F35" si="13">C13*30%</f>
        <v>24</v>
      </c>
      <c r="G13" s="107">
        <f t="shared" ref="G13:G35" si="14">E13-F13</f>
        <v>1</v>
      </c>
      <c r="H13" s="108">
        <v>6796.36</v>
      </c>
      <c r="I13" s="109">
        <f t="shared" si="10"/>
        <v>6000</v>
      </c>
      <c r="J13" s="348">
        <f t="shared" ref="J13:J35" si="15">H13-I13</f>
        <v>796.36</v>
      </c>
      <c r="K13" s="111">
        <f t="shared" si="4"/>
        <v>0.4385964912</v>
      </c>
      <c r="L13" s="111">
        <v>0.3</v>
      </c>
      <c r="M13" s="111">
        <f t="shared" ref="M13:M42" si="16">L13-K13</f>
        <v>-0.1385964912</v>
      </c>
      <c r="N13" s="109">
        <f t="shared" si="6"/>
        <v>271.8544</v>
      </c>
      <c r="O13" s="112">
        <v>250.0</v>
      </c>
      <c r="P13" s="109">
        <f t="shared" si="3"/>
        <v>21.8544</v>
      </c>
      <c r="R13" s="113" t="s">
        <v>49</v>
      </c>
      <c r="S13" s="121">
        <f>(S7-S10)/S12</f>
        <v>5159.671667</v>
      </c>
    </row>
    <row r="14" hidden="1" outlineLevel="2">
      <c r="A14" s="105">
        <v>45909.0</v>
      </c>
      <c r="B14" s="106">
        <v>14.0</v>
      </c>
      <c r="C14" s="107">
        <v>80.0</v>
      </c>
      <c r="D14" s="107">
        <f t="shared" si="12"/>
        <v>-66</v>
      </c>
      <c r="E14" s="106">
        <v>11.0</v>
      </c>
      <c r="F14" s="107">
        <f t="shared" si="13"/>
        <v>24</v>
      </c>
      <c r="G14" s="107">
        <f t="shared" si="14"/>
        <v>-13</v>
      </c>
      <c r="H14" s="108">
        <v>2948.88</v>
      </c>
      <c r="I14" s="109">
        <f t="shared" si="10"/>
        <v>6000</v>
      </c>
      <c r="J14" s="109">
        <f t="shared" si="15"/>
        <v>-3051.12</v>
      </c>
      <c r="K14" s="111">
        <f t="shared" si="4"/>
        <v>0.7857142857</v>
      </c>
      <c r="L14" s="111">
        <v>0.3</v>
      </c>
      <c r="M14" s="111">
        <f t="shared" si="16"/>
        <v>-0.4857142857</v>
      </c>
      <c r="N14" s="109">
        <f t="shared" si="6"/>
        <v>268.08</v>
      </c>
      <c r="O14" s="112">
        <v>250.0</v>
      </c>
      <c r="P14" s="109">
        <f t="shared" si="3"/>
        <v>18.08</v>
      </c>
      <c r="R14" s="113" t="s">
        <v>50</v>
      </c>
      <c r="S14" s="122">
        <f>N5</f>
        <v>253.0733684</v>
      </c>
    </row>
    <row r="15" hidden="1" outlineLevel="2">
      <c r="A15" s="105">
        <v>45910.0</v>
      </c>
      <c r="B15" s="106">
        <v>49.0</v>
      </c>
      <c r="C15" s="107">
        <v>80.0</v>
      </c>
      <c r="D15" s="107">
        <f t="shared" si="12"/>
        <v>-31</v>
      </c>
      <c r="E15" s="106">
        <v>15.0</v>
      </c>
      <c r="F15" s="107">
        <f t="shared" si="13"/>
        <v>24</v>
      </c>
      <c r="G15" s="107">
        <f t="shared" si="14"/>
        <v>-9</v>
      </c>
      <c r="H15" s="108">
        <v>2718.89</v>
      </c>
      <c r="I15" s="109">
        <f t="shared" si="10"/>
        <v>6000</v>
      </c>
      <c r="J15" s="109">
        <f t="shared" si="15"/>
        <v>-3281.11</v>
      </c>
      <c r="K15" s="111">
        <f t="shared" si="4"/>
        <v>0.306122449</v>
      </c>
      <c r="L15" s="111">
        <v>0.3</v>
      </c>
      <c r="M15" s="111">
        <f t="shared" si="16"/>
        <v>-0.00612244898</v>
      </c>
      <c r="N15" s="109">
        <f t="shared" si="6"/>
        <v>181.2593333</v>
      </c>
      <c r="O15" s="112">
        <v>250.0</v>
      </c>
      <c r="P15" s="109">
        <f t="shared" si="3"/>
        <v>-68.74066667</v>
      </c>
      <c r="R15" s="113" t="s">
        <v>51</v>
      </c>
      <c r="S15" s="128">
        <f>B5</f>
        <v>576</v>
      </c>
    </row>
    <row r="16" hidden="1" outlineLevel="2">
      <c r="A16" s="132">
        <v>45911.0</v>
      </c>
      <c r="B16" s="329">
        <v>58.0</v>
      </c>
      <c r="C16" s="123">
        <v>80.0</v>
      </c>
      <c r="D16" s="123">
        <f t="shared" si="12"/>
        <v>-22</v>
      </c>
      <c r="E16" s="329">
        <v>14.0</v>
      </c>
      <c r="F16" s="123">
        <f t="shared" si="13"/>
        <v>24</v>
      </c>
      <c r="G16" s="123">
        <f t="shared" si="14"/>
        <v>-10</v>
      </c>
      <c r="H16" s="330">
        <v>4424.64</v>
      </c>
      <c r="I16" s="124">
        <f t="shared" si="10"/>
        <v>6000</v>
      </c>
      <c r="J16" s="124">
        <f t="shared" si="15"/>
        <v>-1575.36</v>
      </c>
      <c r="K16" s="125">
        <f t="shared" si="4"/>
        <v>0.2413793103</v>
      </c>
      <c r="L16" s="125">
        <v>0.3</v>
      </c>
      <c r="M16" s="125">
        <f t="shared" si="16"/>
        <v>0.05862068966</v>
      </c>
      <c r="N16" s="124">
        <f t="shared" si="6"/>
        <v>316.0457143</v>
      </c>
      <c r="O16" s="126">
        <v>250.0</v>
      </c>
      <c r="P16" s="124">
        <f t="shared" si="3"/>
        <v>66.04571429</v>
      </c>
      <c r="R16" s="113" t="s">
        <v>52</v>
      </c>
      <c r="S16" s="128">
        <f>E5</f>
        <v>190</v>
      </c>
    </row>
    <row r="17" hidden="1" outlineLevel="2">
      <c r="A17" s="132">
        <v>45912.0</v>
      </c>
      <c r="B17" s="329">
        <v>36.0</v>
      </c>
      <c r="C17" s="123">
        <v>80.0</v>
      </c>
      <c r="D17" s="123">
        <f t="shared" si="12"/>
        <v>-44</v>
      </c>
      <c r="E17" s="329">
        <v>8.0</v>
      </c>
      <c r="F17" s="123">
        <f t="shared" si="13"/>
        <v>24</v>
      </c>
      <c r="G17" s="123">
        <f t="shared" si="14"/>
        <v>-16</v>
      </c>
      <c r="H17" s="330">
        <v>2402.84</v>
      </c>
      <c r="I17" s="124">
        <f t="shared" si="10"/>
        <v>6000</v>
      </c>
      <c r="J17" s="124">
        <f t="shared" si="15"/>
        <v>-3597.16</v>
      </c>
      <c r="K17" s="125">
        <f t="shared" si="4"/>
        <v>0.2222222222</v>
      </c>
      <c r="L17" s="125">
        <v>0.3</v>
      </c>
      <c r="M17" s="125">
        <f t="shared" si="16"/>
        <v>0.07777777778</v>
      </c>
      <c r="N17" s="124">
        <f t="shared" si="6"/>
        <v>300.355</v>
      </c>
      <c r="O17" s="126">
        <v>250.0</v>
      </c>
      <c r="P17" s="124">
        <f t="shared" si="3"/>
        <v>50.355</v>
      </c>
      <c r="R17" s="113" t="s">
        <v>4</v>
      </c>
      <c r="S17" s="119">
        <f>E5/B5</f>
        <v>0.3298611111</v>
      </c>
    </row>
    <row r="18" hidden="1" outlineLevel="2">
      <c r="A18" s="132">
        <v>45913.0</v>
      </c>
      <c r="B18" s="329">
        <v>0.0</v>
      </c>
      <c r="C18" s="332"/>
      <c r="D18" s="123">
        <f t="shared" si="12"/>
        <v>0</v>
      </c>
      <c r="E18" s="329">
        <v>1.0</v>
      </c>
      <c r="F18" s="123">
        <f t="shared" si="13"/>
        <v>0</v>
      </c>
      <c r="G18" s="123">
        <f t="shared" si="14"/>
        <v>1</v>
      </c>
      <c r="H18" s="329">
        <v>160.0</v>
      </c>
      <c r="I18" s="124">
        <f t="shared" si="10"/>
        <v>0</v>
      </c>
      <c r="J18" s="124">
        <f t="shared" si="15"/>
        <v>160</v>
      </c>
      <c r="K18" s="125" t="str">
        <f t="shared" si="4"/>
        <v/>
      </c>
      <c r="L18" s="125">
        <v>0.3</v>
      </c>
      <c r="M18" s="125">
        <f t="shared" si="16"/>
        <v>0.3</v>
      </c>
      <c r="N18" s="124">
        <f t="shared" si="6"/>
        <v>160</v>
      </c>
      <c r="O18" s="126">
        <v>250.0</v>
      </c>
      <c r="P18" s="124">
        <f t="shared" si="3"/>
        <v>-90</v>
      </c>
      <c r="S18" s="94"/>
    </row>
    <row r="19" hidden="1" outlineLevel="2">
      <c r="A19" s="132">
        <v>45914.0</v>
      </c>
      <c r="B19" s="331"/>
      <c r="C19" s="332"/>
      <c r="D19" s="123">
        <f t="shared" si="12"/>
        <v>0</v>
      </c>
      <c r="E19" s="329"/>
      <c r="F19" s="123">
        <f t="shared" si="13"/>
        <v>0</v>
      </c>
      <c r="G19" s="123">
        <f t="shared" si="14"/>
        <v>0</v>
      </c>
      <c r="H19" s="331"/>
      <c r="I19" s="124">
        <f t="shared" si="10"/>
        <v>0</v>
      </c>
      <c r="J19" s="124">
        <f t="shared" si="15"/>
        <v>0</v>
      </c>
      <c r="K19" s="125" t="str">
        <f t="shared" si="4"/>
        <v/>
      </c>
      <c r="L19" s="125">
        <v>0.3</v>
      </c>
      <c r="M19" s="125">
        <f t="shared" si="16"/>
        <v>0.3</v>
      </c>
      <c r="N19" s="124" t="str">
        <f t="shared" si="6"/>
        <v/>
      </c>
      <c r="O19" s="126">
        <v>250.0</v>
      </c>
      <c r="P19" s="124">
        <f t="shared" si="3"/>
        <v>-250</v>
      </c>
      <c r="S19" s="94"/>
    </row>
    <row r="20" hidden="1" outlineLevel="2">
      <c r="A20" s="132">
        <v>45915.0</v>
      </c>
      <c r="B20" s="331"/>
      <c r="C20" s="332"/>
      <c r="D20" s="123">
        <f t="shared" si="12"/>
        <v>0</v>
      </c>
      <c r="E20" s="329"/>
      <c r="F20" s="123">
        <f t="shared" si="13"/>
        <v>0</v>
      </c>
      <c r="G20" s="123">
        <f t="shared" si="14"/>
        <v>0</v>
      </c>
      <c r="H20" s="331"/>
      <c r="I20" s="124">
        <f t="shared" si="10"/>
        <v>0</v>
      </c>
      <c r="J20" s="124">
        <f t="shared" si="15"/>
        <v>0</v>
      </c>
      <c r="K20" s="125" t="str">
        <f t="shared" si="4"/>
        <v/>
      </c>
      <c r="L20" s="125">
        <v>0.3</v>
      </c>
      <c r="M20" s="125">
        <f t="shared" si="16"/>
        <v>0.3</v>
      </c>
      <c r="N20" s="124" t="str">
        <f t="shared" si="6"/>
        <v/>
      </c>
      <c r="O20" s="126">
        <v>250.0</v>
      </c>
      <c r="P20" s="124">
        <f t="shared" si="3"/>
        <v>-250</v>
      </c>
      <c r="S20" s="94"/>
    </row>
    <row r="21" hidden="1" outlineLevel="2">
      <c r="A21" s="132">
        <v>45916.0</v>
      </c>
      <c r="B21" s="331"/>
      <c r="C21" s="332"/>
      <c r="D21" s="123">
        <f t="shared" si="12"/>
        <v>0</v>
      </c>
      <c r="E21" s="329"/>
      <c r="F21" s="123">
        <f t="shared" si="13"/>
        <v>0</v>
      </c>
      <c r="G21" s="123">
        <f t="shared" si="14"/>
        <v>0</v>
      </c>
      <c r="H21" s="331"/>
      <c r="I21" s="124">
        <f t="shared" si="10"/>
        <v>0</v>
      </c>
      <c r="J21" s="124">
        <f t="shared" si="15"/>
        <v>0</v>
      </c>
      <c r="K21" s="125" t="str">
        <f t="shared" si="4"/>
        <v/>
      </c>
      <c r="L21" s="125">
        <v>0.3</v>
      </c>
      <c r="M21" s="125">
        <f t="shared" si="16"/>
        <v>0.3</v>
      </c>
      <c r="N21" s="124" t="str">
        <f t="shared" si="6"/>
        <v/>
      </c>
      <c r="O21" s="126">
        <v>250.0</v>
      </c>
      <c r="P21" s="124">
        <f t="shared" si="3"/>
        <v>-250</v>
      </c>
      <c r="S21" s="94"/>
    </row>
    <row r="22" hidden="1" outlineLevel="2">
      <c r="A22" s="132">
        <v>45917.0</v>
      </c>
      <c r="B22" s="331"/>
      <c r="C22" s="332"/>
      <c r="D22" s="123">
        <f t="shared" si="12"/>
        <v>0</v>
      </c>
      <c r="E22" s="329"/>
      <c r="F22" s="123">
        <f t="shared" si="13"/>
        <v>0</v>
      </c>
      <c r="G22" s="123">
        <f t="shared" si="14"/>
        <v>0</v>
      </c>
      <c r="H22" s="331"/>
      <c r="I22" s="124">
        <f t="shared" si="10"/>
        <v>0</v>
      </c>
      <c r="J22" s="124">
        <f t="shared" si="15"/>
        <v>0</v>
      </c>
      <c r="K22" s="125" t="str">
        <f t="shared" si="4"/>
        <v/>
      </c>
      <c r="L22" s="125">
        <v>0.3</v>
      </c>
      <c r="M22" s="125">
        <f t="shared" si="16"/>
        <v>0.3</v>
      </c>
      <c r="N22" s="124" t="str">
        <f t="shared" si="6"/>
        <v/>
      </c>
      <c r="O22" s="126">
        <v>250.0</v>
      </c>
      <c r="P22" s="124">
        <f t="shared" si="3"/>
        <v>-250</v>
      </c>
      <c r="S22" s="94"/>
    </row>
    <row r="23" hidden="1" outlineLevel="2">
      <c r="A23" s="132">
        <v>45918.0</v>
      </c>
      <c r="B23" s="331"/>
      <c r="C23" s="332"/>
      <c r="D23" s="123">
        <f t="shared" si="12"/>
        <v>0</v>
      </c>
      <c r="E23" s="329"/>
      <c r="F23" s="123">
        <f t="shared" si="13"/>
        <v>0</v>
      </c>
      <c r="G23" s="123">
        <f t="shared" si="14"/>
        <v>0</v>
      </c>
      <c r="H23" s="331"/>
      <c r="I23" s="124">
        <f t="shared" si="10"/>
        <v>0</v>
      </c>
      <c r="J23" s="124">
        <f t="shared" si="15"/>
        <v>0</v>
      </c>
      <c r="K23" s="125" t="str">
        <f t="shared" si="4"/>
        <v/>
      </c>
      <c r="L23" s="125">
        <v>0.3</v>
      </c>
      <c r="M23" s="125">
        <f t="shared" si="16"/>
        <v>0.3</v>
      </c>
      <c r="N23" s="124" t="str">
        <f t="shared" si="6"/>
        <v/>
      </c>
      <c r="O23" s="126">
        <v>250.0</v>
      </c>
      <c r="P23" s="124">
        <f t="shared" si="3"/>
        <v>-250</v>
      </c>
      <c r="S23" s="94"/>
    </row>
    <row r="24" hidden="1" outlineLevel="2">
      <c r="A24" s="132">
        <v>45919.0</v>
      </c>
      <c r="B24" s="331"/>
      <c r="C24" s="332"/>
      <c r="D24" s="123">
        <f t="shared" si="12"/>
        <v>0</v>
      </c>
      <c r="E24" s="329"/>
      <c r="F24" s="123">
        <f t="shared" si="13"/>
        <v>0</v>
      </c>
      <c r="G24" s="123">
        <f t="shared" si="14"/>
        <v>0</v>
      </c>
      <c r="H24" s="331"/>
      <c r="I24" s="124">
        <f t="shared" si="10"/>
        <v>0</v>
      </c>
      <c r="J24" s="124">
        <f t="shared" si="15"/>
        <v>0</v>
      </c>
      <c r="K24" s="125" t="str">
        <f t="shared" si="4"/>
        <v/>
      </c>
      <c r="L24" s="125">
        <v>0.3</v>
      </c>
      <c r="M24" s="125">
        <f t="shared" si="16"/>
        <v>0.3</v>
      </c>
      <c r="N24" s="124" t="str">
        <f t="shared" si="6"/>
        <v/>
      </c>
      <c r="O24" s="126">
        <v>250.0</v>
      </c>
      <c r="P24" s="124">
        <f t="shared" si="3"/>
        <v>-250</v>
      </c>
      <c r="S24" s="94"/>
    </row>
    <row r="25" hidden="1" outlineLevel="2">
      <c r="A25" s="132">
        <v>45920.0</v>
      </c>
      <c r="B25" s="331"/>
      <c r="C25" s="332"/>
      <c r="D25" s="123">
        <f t="shared" si="12"/>
        <v>0</v>
      </c>
      <c r="E25" s="331"/>
      <c r="F25" s="123">
        <f t="shared" si="13"/>
        <v>0</v>
      </c>
      <c r="G25" s="123">
        <f t="shared" si="14"/>
        <v>0</v>
      </c>
      <c r="H25" s="331"/>
      <c r="I25" s="124">
        <f t="shared" si="10"/>
        <v>0</v>
      </c>
      <c r="J25" s="124">
        <f t="shared" si="15"/>
        <v>0</v>
      </c>
      <c r="K25" s="125" t="str">
        <f t="shared" si="4"/>
        <v/>
      </c>
      <c r="L25" s="125">
        <v>0.3</v>
      </c>
      <c r="M25" s="125">
        <f t="shared" si="16"/>
        <v>0.3</v>
      </c>
      <c r="N25" s="124" t="str">
        <f t="shared" si="6"/>
        <v/>
      </c>
      <c r="O25" s="126">
        <v>250.0</v>
      </c>
      <c r="P25" s="124">
        <f t="shared" si="3"/>
        <v>-250</v>
      </c>
      <c r="S25" s="94"/>
    </row>
    <row r="26" hidden="1" outlineLevel="2">
      <c r="A26" s="132">
        <v>45921.0</v>
      </c>
      <c r="B26" s="331"/>
      <c r="C26" s="332"/>
      <c r="D26" s="123">
        <f t="shared" si="12"/>
        <v>0</v>
      </c>
      <c r="E26" s="331"/>
      <c r="F26" s="123">
        <f t="shared" si="13"/>
        <v>0</v>
      </c>
      <c r="G26" s="123">
        <f t="shared" si="14"/>
        <v>0</v>
      </c>
      <c r="H26" s="331"/>
      <c r="I26" s="124">
        <f t="shared" si="10"/>
        <v>0</v>
      </c>
      <c r="J26" s="124">
        <f t="shared" si="15"/>
        <v>0</v>
      </c>
      <c r="K26" s="125" t="str">
        <f t="shared" si="4"/>
        <v/>
      </c>
      <c r="L26" s="125">
        <v>0.3</v>
      </c>
      <c r="M26" s="125">
        <f t="shared" si="16"/>
        <v>0.3</v>
      </c>
      <c r="N26" s="124" t="str">
        <f t="shared" si="6"/>
        <v/>
      </c>
      <c r="O26" s="126">
        <v>250.0</v>
      </c>
      <c r="P26" s="124">
        <f t="shared" si="3"/>
        <v>-250</v>
      </c>
      <c r="S26" s="94"/>
    </row>
    <row r="27" hidden="1" outlineLevel="2">
      <c r="A27" s="132">
        <v>45922.0</v>
      </c>
      <c r="B27" s="331"/>
      <c r="C27" s="332"/>
      <c r="D27" s="123">
        <f t="shared" si="12"/>
        <v>0</v>
      </c>
      <c r="E27" s="331"/>
      <c r="F27" s="123">
        <f t="shared" si="13"/>
        <v>0</v>
      </c>
      <c r="G27" s="123">
        <f t="shared" si="14"/>
        <v>0</v>
      </c>
      <c r="H27" s="331"/>
      <c r="I27" s="124">
        <f t="shared" si="10"/>
        <v>0</v>
      </c>
      <c r="J27" s="124">
        <f t="shared" si="15"/>
        <v>0</v>
      </c>
      <c r="K27" s="125" t="str">
        <f t="shared" si="4"/>
        <v/>
      </c>
      <c r="L27" s="125">
        <v>0.3</v>
      </c>
      <c r="M27" s="125">
        <f t="shared" si="16"/>
        <v>0.3</v>
      </c>
      <c r="N27" s="124" t="str">
        <f t="shared" si="6"/>
        <v/>
      </c>
      <c r="O27" s="126">
        <v>250.0</v>
      </c>
      <c r="P27" s="124">
        <f t="shared" si="3"/>
        <v>-250</v>
      </c>
      <c r="S27" s="94"/>
    </row>
    <row r="28" hidden="1" outlineLevel="2">
      <c r="A28" s="132">
        <v>45923.0</v>
      </c>
      <c r="B28" s="331"/>
      <c r="C28" s="332"/>
      <c r="D28" s="123">
        <f t="shared" si="12"/>
        <v>0</v>
      </c>
      <c r="E28" s="331"/>
      <c r="F28" s="123">
        <f t="shared" si="13"/>
        <v>0</v>
      </c>
      <c r="G28" s="123">
        <f t="shared" si="14"/>
        <v>0</v>
      </c>
      <c r="H28" s="331"/>
      <c r="I28" s="124">
        <f t="shared" si="10"/>
        <v>0</v>
      </c>
      <c r="J28" s="124">
        <f t="shared" si="15"/>
        <v>0</v>
      </c>
      <c r="K28" s="125" t="str">
        <f t="shared" si="4"/>
        <v/>
      </c>
      <c r="L28" s="125">
        <v>0.3</v>
      </c>
      <c r="M28" s="125">
        <f t="shared" si="16"/>
        <v>0.3</v>
      </c>
      <c r="N28" s="124" t="str">
        <f t="shared" si="6"/>
        <v/>
      </c>
      <c r="O28" s="126">
        <v>250.0</v>
      </c>
      <c r="P28" s="124">
        <f t="shared" si="3"/>
        <v>-250</v>
      </c>
      <c r="S28" s="94"/>
    </row>
    <row r="29" hidden="1" outlineLevel="2">
      <c r="A29" s="132">
        <v>45924.0</v>
      </c>
      <c r="B29" s="331"/>
      <c r="C29" s="332"/>
      <c r="D29" s="123">
        <f t="shared" si="12"/>
        <v>0</v>
      </c>
      <c r="E29" s="331"/>
      <c r="F29" s="123">
        <f t="shared" si="13"/>
        <v>0</v>
      </c>
      <c r="G29" s="123">
        <f t="shared" si="14"/>
        <v>0</v>
      </c>
      <c r="H29" s="331"/>
      <c r="I29" s="124">
        <f t="shared" si="10"/>
        <v>0</v>
      </c>
      <c r="J29" s="124">
        <f t="shared" si="15"/>
        <v>0</v>
      </c>
      <c r="K29" s="125" t="str">
        <f t="shared" si="4"/>
        <v/>
      </c>
      <c r="L29" s="125">
        <v>0.3</v>
      </c>
      <c r="M29" s="125">
        <f t="shared" si="16"/>
        <v>0.3</v>
      </c>
      <c r="N29" s="124" t="str">
        <f t="shared" si="6"/>
        <v/>
      </c>
      <c r="O29" s="126">
        <v>250.0</v>
      </c>
      <c r="P29" s="124">
        <f t="shared" si="3"/>
        <v>-250</v>
      </c>
      <c r="S29" s="94"/>
    </row>
    <row r="30" hidden="1" outlineLevel="2">
      <c r="A30" s="132">
        <v>45925.0</v>
      </c>
      <c r="B30" s="331"/>
      <c r="C30" s="332"/>
      <c r="D30" s="123">
        <f t="shared" si="12"/>
        <v>0</v>
      </c>
      <c r="E30" s="331"/>
      <c r="F30" s="123">
        <f t="shared" si="13"/>
        <v>0</v>
      </c>
      <c r="G30" s="123">
        <f t="shared" si="14"/>
        <v>0</v>
      </c>
      <c r="H30" s="331"/>
      <c r="I30" s="124">
        <f t="shared" si="10"/>
        <v>0</v>
      </c>
      <c r="J30" s="124">
        <f t="shared" si="15"/>
        <v>0</v>
      </c>
      <c r="K30" s="125" t="str">
        <f t="shared" si="4"/>
        <v/>
      </c>
      <c r="L30" s="125">
        <v>0.3</v>
      </c>
      <c r="M30" s="125">
        <f t="shared" si="16"/>
        <v>0.3</v>
      </c>
      <c r="N30" s="124" t="str">
        <f t="shared" si="6"/>
        <v/>
      </c>
      <c r="O30" s="126">
        <v>250.0</v>
      </c>
      <c r="P30" s="124">
        <f t="shared" si="3"/>
        <v>-250</v>
      </c>
      <c r="S30" s="94"/>
    </row>
    <row r="31" hidden="1" outlineLevel="2">
      <c r="A31" s="132">
        <v>45926.0</v>
      </c>
      <c r="B31" s="331"/>
      <c r="C31" s="332"/>
      <c r="D31" s="123">
        <f t="shared" si="12"/>
        <v>0</v>
      </c>
      <c r="E31" s="331"/>
      <c r="F31" s="123">
        <f t="shared" si="13"/>
        <v>0</v>
      </c>
      <c r="G31" s="123">
        <f t="shared" si="14"/>
        <v>0</v>
      </c>
      <c r="H31" s="331"/>
      <c r="I31" s="124">
        <f t="shared" si="10"/>
        <v>0</v>
      </c>
      <c r="J31" s="124">
        <f t="shared" si="15"/>
        <v>0</v>
      </c>
      <c r="K31" s="125" t="str">
        <f t="shared" si="4"/>
        <v/>
      </c>
      <c r="L31" s="125">
        <v>0.3</v>
      </c>
      <c r="M31" s="125">
        <f t="shared" si="16"/>
        <v>0.3</v>
      </c>
      <c r="N31" s="124" t="str">
        <f t="shared" si="6"/>
        <v/>
      </c>
      <c r="O31" s="126">
        <v>250.0</v>
      </c>
      <c r="P31" s="124">
        <f t="shared" si="3"/>
        <v>-250</v>
      </c>
      <c r="S31" s="94"/>
    </row>
    <row r="32" hidden="1" outlineLevel="2">
      <c r="A32" s="132">
        <v>45927.0</v>
      </c>
      <c r="B32" s="331"/>
      <c r="C32" s="332"/>
      <c r="D32" s="123">
        <f t="shared" si="12"/>
        <v>0</v>
      </c>
      <c r="E32" s="331"/>
      <c r="F32" s="123">
        <f t="shared" si="13"/>
        <v>0</v>
      </c>
      <c r="G32" s="123">
        <f t="shared" si="14"/>
        <v>0</v>
      </c>
      <c r="H32" s="331"/>
      <c r="I32" s="124">
        <f t="shared" si="10"/>
        <v>0</v>
      </c>
      <c r="J32" s="124">
        <f t="shared" si="15"/>
        <v>0</v>
      </c>
      <c r="K32" s="125" t="str">
        <f t="shared" si="4"/>
        <v/>
      </c>
      <c r="L32" s="125">
        <v>0.3</v>
      </c>
      <c r="M32" s="125">
        <f t="shared" si="16"/>
        <v>0.3</v>
      </c>
      <c r="N32" s="124" t="str">
        <f t="shared" si="6"/>
        <v/>
      </c>
      <c r="O32" s="126">
        <v>250.0</v>
      </c>
      <c r="P32" s="124">
        <f t="shared" si="3"/>
        <v>-250</v>
      </c>
      <c r="S32" s="94"/>
    </row>
    <row r="33" hidden="1" outlineLevel="2">
      <c r="A33" s="132">
        <v>45928.0</v>
      </c>
      <c r="B33" s="331"/>
      <c r="C33" s="332"/>
      <c r="D33" s="123">
        <f t="shared" si="12"/>
        <v>0</v>
      </c>
      <c r="E33" s="331"/>
      <c r="F33" s="123">
        <f t="shared" si="13"/>
        <v>0</v>
      </c>
      <c r="G33" s="123">
        <f t="shared" si="14"/>
        <v>0</v>
      </c>
      <c r="H33" s="331"/>
      <c r="I33" s="124">
        <f t="shared" si="10"/>
        <v>0</v>
      </c>
      <c r="J33" s="124">
        <f t="shared" si="15"/>
        <v>0</v>
      </c>
      <c r="K33" s="125" t="str">
        <f t="shared" si="4"/>
        <v/>
      </c>
      <c r="L33" s="125">
        <v>0.3</v>
      </c>
      <c r="M33" s="125">
        <f t="shared" si="16"/>
        <v>0.3</v>
      </c>
      <c r="N33" s="124" t="str">
        <f t="shared" si="6"/>
        <v/>
      </c>
      <c r="O33" s="126">
        <v>250.0</v>
      </c>
      <c r="P33" s="124">
        <f t="shared" si="3"/>
        <v>-250</v>
      </c>
      <c r="S33" s="94"/>
    </row>
    <row r="34" hidden="1" outlineLevel="2">
      <c r="A34" s="132">
        <v>45929.0</v>
      </c>
      <c r="B34" s="329">
        <v>33.0</v>
      </c>
      <c r="C34" s="332"/>
      <c r="D34" s="123">
        <f t="shared" si="12"/>
        <v>33</v>
      </c>
      <c r="E34" s="329">
        <v>22.0</v>
      </c>
      <c r="F34" s="123">
        <f t="shared" si="13"/>
        <v>0</v>
      </c>
      <c r="G34" s="123">
        <f t="shared" si="14"/>
        <v>22</v>
      </c>
      <c r="H34" s="329">
        <v>5450.42</v>
      </c>
      <c r="I34" s="124">
        <f t="shared" si="10"/>
        <v>0</v>
      </c>
      <c r="J34" s="124">
        <f t="shared" si="15"/>
        <v>5450.42</v>
      </c>
      <c r="K34" s="125">
        <f t="shared" si="4"/>
        <v>0.6666666667</v>
      </c>
      <c r="L34" s="125">
        <v>0.3</v>
      </c>
      <c r="M34" s="125">
        <f t="shared" si="16"/>
        <v>-0.3666666667</v>
      </c>
      <c r="N34" s="124">
        <f t="shared" si="6"/>
        <v>247.7463636</v>
      </c>
      <c r="O34" s="126">
        <v>250.0</v>
      </c>
      <c r="P34" s="124">
        <f t="shared" si="3"/>
        <v>-2.253636364</v>
      </c>
      <c r="S34" s="94"/>
    </row>
    <row r="35" hidden="1" outlineLevel="2">
      <c r="A35" s="132">
        <v>45930.0</v>
      </c>
      <c r="B35" s="329">
        <v>24.0</v>
      </c>
      <c r="C35" s="332"/>
      <c r="D35" s="123">
        <f t="shared" si="12"/>
        <v>24</v>
      </c>
      <c r="E35" s="329">
        <v>20.0</v>
      </c>
      <c r="F35" s="123">
        <f t="shared" si="13"/>
        <v>0</v>
      </c>
      <c r="G35" s="123">
        <f t="shared" si="14"/>
        <v>20</v>
      </c>
      <c r="H35" s="329">
        <v>5065.53</v>
      </c>
      <c r="I35" s="124">
        <f t="shared" si="10"/>
        <v>0</v>
      </c>
      <c r="J35" s="124">
        <f t="shared" si="15"/>
        <v>5065.53</v>
      </c>
      <c r="K35" s="125">
        <f t="shared" si="4"/>
        <v>0.8333333333</v>
      </c>
      <c r="L35" s="125">
        <v>0.3</v>
      </c>
      <c r="M35" s="125">
        <f t="shared" si="16"/>
        <v>-0.5333333333</v>
      </c>
      <c r="N35" s="124">
        <f t="shared" si="6"/>
        <v>253.2765</v>
      </c>
      <c r="O35" s="126">
        <v>250.0</v>
      </c>
      <c r="P35" s="124">
        <f t="shared" si="3"/>
        <v>3.2765</v>
      </c>
      <c r="S35" s="94"/>
    </row>
    <row r="36" outlineLevel="1" collapsed="1">
      <c r="A36" s="100" t="s">
        <v>133</v>
      </c>
      <c r="B36" s="349">
        <f t="shared" ref="B36:J36" si="17">SUM(B37:B66)</f>
        <v>116</v>
      </c>
      <c r="C36" s="349">
        <f t="shared" si="17"/>
        <v>240</v>
      </c>
      <c r="D36" s="349">
        <f t="shared" si="17"/>
        <v>-124</v>
      </c>
      <c r="E36" s="349">
        <f t="shared" si="17"/>
        <v>20</v>
      </c>
      <c r="F36" s="349">
        <f t="shared" si="17"/>
        <v>72</v>
      </c>
      <c r="G36" s="349">
        <f t="shared" si="17"/>
        <v>-52</v>
      </c>
      <c r="H36" s="350">
        <f t="shared" si="17"/>
        <v>3203.13</v>
      </c>
      <c r="I36" s="350">
        <f t="shared" si="17"/>
        <v>18000</v>
      </c>
      <c r="J36" s="350">
        <f t="shared" si="17"/>
        <v>-14796.87</v>
      </c>
      <c r="K36" s="103">
        <f t="shared" si="4"/>
        <v>0.1724137931</v>
      </c>
      <c r="L36" s="103">
        <v>0.3</v>
      </c>
      <c r="M36" s="103">
        <f t="shared" si="16"/>
        <v>0.1275862069</v>
      </c>
      <c r="N36" s="350">
        <f>H36/E36</f>
        <v>160.1565</v>
      </c>
      <c r="O36" s="104">
        <v>250.0</v>
      </c>
      <c r="P36" s="102">
        <f t="shared" si="3"/>
        <v>-89.8435</v>
      </c>
      <c r="Q36" s="90"/>
      <c r="R36" s="90"/>
      <c r="S36" s="91"/>
      <c r="T36" s="90"/>
      <c r="U36" s="90"/>
      <c r="V36" s="90"/>
      <c r="W36" s="90"/>
      <c r="X36" s="90"/>
      <c r="Y36" s="90"/>
      <c r="Z36" s="90"/>
      <c r="AA36" s="90"/>
      <c r="AB36" s="90"/>
    </row>
    <row r="37" hidden="1" outlineLevel="3">
      <c r="A37" s="132">
        <v>45901.0</v>
      </c>
      <c r="B37" s="329">
        <v>0.0</v>
      </c>
      <c r="C37" s="123"/>
      <c r="D37" s="123">
        <f t="shared" ref="D37:D42" si="18">B37-C37</f>
        <v>0</v>
      </c>
      <c r="E37" s="329"/>
      <c r="F37" s="123">
        <f t="shared" ref="F37:F42" si="19">C37*30%</f>
        <v>0</v>
      </c>
      <c r="G37" s="123">
        <f t="shared" ref="G37:G42" si="20">E37-F37</f>
        <v>0</v>
      </c>
      <c r="H37" s="330">
        <v>0.0</v>
      </c>
      <c r="I37" s="124"/>
      <c r="J37" s="124">
        <f t="shared" ref="J37:J42" si="21">H37-I37</f>
        <v>0</v>
      </c>
      <c r="K37" s="125" t="str">
        <f t="shared" si="4"/>
        <v/>
      </c>
      <c r="L37" s="125">
        <v>0.3</v>
      </c>
      <c r="M37" s="125">
        <f t="shared" si="16"/>
        <v>0.3</v>
      </c>
      <c r="N37" s="124" t="str">
        <f t="shared" ref="N37:N128" si="22">IFERROR(H37/E37,"")</f>
        <v/>
      </c>
      <c r="O37" s="126">
        <v>250.0</v>
      </c>
      <c r="P37" s="124">
        <f t="shared" si="3"/>
        <v>-250</v>
      </c>
    </row>
    <row r="38" hidden="1" outlineLevel="3">
      <c r="A38" s="132">
        <v>45902.0</v>
      </c>
      <c r="B38" s="329">
        <v>0.0</v>
      </c>
      <c r="C38" s="123"/>
      <c r="D38" s="123">
        <f t="shared" si="18"/>
        <v>0</v>
      </c>
      <c r="E38" s="329"/>
      <c r="F38" s="123">
        <f t="shared" si="19"/>
        <v>0</v>
      </c>
      <c r="G38" s="123">
        <f t="shared" si="20"/>
        <v>0</v>
      </c>
      <c r="H38" s="330">
        <v>0.0</v>
      </c>
      <c r="I38" s="124"/>
      <c r="J38" s="124">
        <f t="shared" si="21"/>
        <v>0</v>
      </c>
      <c r="K38" s="125" t="str">
        <f t="shared" si="4"/>
        <v/>
      </c>
      <c r="L38" s="125">
        <v>0.3</v>
      </c>
      <c r="M38" s="125">
        <f t="shared" si="16"/>
        <v>0.3</v>
      </c>
      <c r="N38" s="124" t="str">
        <f t="shared" si="22"/>
        <v/>
      </c>
      <c r="O38" s="126">
        <v>250.0</v>
      </c>
      <c r="P38" s="124">
        <f t="shared" si="3"/>
        <v>-250</v>
      </c>
    </row>
    <row r="39" hidden="1" outlineLevel="3">
      <c r="A39" s="132">
        <v>45903.0</v>
      </c>
      <c r="B39" s="329">
        <v>0.0</v>
      </c>
      <c r="C39" s="123"/>
      <c r="D39" s="123">
        <f t="shared" si="18"/>
        <v>0</v>
      </c>
      <c r="E39" s="329"/>
      <c r="F39" s="123">
        <f t="shared" si="19"/>
        <v>0</v>
      </c>
      <c r="G39" s="123">
        <f t="shared" si="20"/>
        <v>0</v>
      </c>
      <c r="H39" s="330">
        <v>0.0</v>
      </c>
      <c r="I39" s="124"/>
      <c r="J39" s="124">
        <f t="shared" si="21"/>
        <v>0</v>
      </c>
      <c r="K39" s="125" t="str">
        <f t="shared" si="4"/>
        <v/>
      </c>
      <c r="L39" s="125">
        <v>0.3</v>
      </c>
      <c r="M39" s="125">
        <f t="shared" si="16"/>
        <v>0.3</v>
      </c>
      <c r="N39" s="124" t="str">
        <f t="shared" si="22"/>
        <v/>
      </c>
      <c r="O39" s="126">
        <v>250.0</v>
      </c>
      <c r="P39" s="124">
        <f t="shared" si="3"/>
        <v>-250</v>
      </c>
    </row>
    <row r="40" hidden="1" outlineLevel="3">
      <c r="A40" s="132">
        <v>45904.0</v>
      </c>
      <c r="B40" s="329">
        <v>0.0</v>
      </c>
      <c r="C40" s="123"/>
      <c r="D40" s="123">
        <f t="shared" si="18"/>
        <v>0</v>
      </c>
      <c r="E40" s="329"/>
      <c r="F40" s="123">
        <f t="shared" si="19"/>
        <v>0</v>
      </c>
      <c r="G40" s="123">
        <f t="shared" si="20"/>
        <v>0</v>
      </c>
      <c r="H40" s="330">
        <v>0.0</v>
      </c>
      <c r="I40" s="124"/>
      <c r="J40" s="124">
        <f t="shared" si="21"/>
        <v>0</v>
      </c>
      <c r="K40" s="125" t="str">
        <f t="shared" si="4"/>
        <v/>
      </c>
      <c r="L40" s="125">
        <v>0.3</v>
      </c>
      <c r="M40" s="125">
        <f t="shared" si="16"/>
        <v>0.3</v>
      </c>
      <c r="N40" s="124" t="str">
        <f t="shared" si="22"/>
        <v/>
      </c>
      <c r="O40" s="126">
        <v>250.0</v>
      </c>
      <c r="P40" s="124">
        <f t="shared" si="3"/>
        <v>-250</v>
      </c>
    </row>
    <row r="41" hidden="1" outlineLevel="3">
      <c r="A41" s="132">
        <v>45905.0</v>
      </c>
      <c r="B41" s="329">
        <v>0.0</v>
      </c>
      <c r="C41" s="123"/>
      <c r="D41" s="123">
        <f t="shared" si="18"/>
        <v>0</v>
      </c>
      <c r="E41" s="329"/>
      <c r="F41" s="123">
        <f t="shared" si="19"/>
        <v>0</v>
      </c>
      <c r="G41" s="123">
        <f t="shared" si="20"/>
        <v>0</v>
      </c>
      <c r="H41" s="330">
        <v>0.0</v>
      </c>
      <c r="I41" s="124"/>
      <c r="J41" s="124">
        <f t="shared" si="21"/>
        <v>0</v>
      </c>
      <c r="K41" s="125" t="str">
        <f t="shared" si="4"/>
        <v/>
      </c>
      <c r="L41" s="125">
        <v>0.3</v>
      </c>
      <c r="M41" s="125">
        <f t="shared" si="16"/>
        <v>0.3</v>
      </c>
      <c r="N41" s="124" t="str">
        <f t="shared" si="22"/>
        <v/>
      </c>
      <c r="O41" s="126">
        <v>250.0</v>
      </c>
      <c r="P41" s="124">
        <f t="shared" si="3"/>
        <v>-250</v>
      </c>
    </row>
    <row r="42" hidden="1" outlineLevel="3">
      <c r="A42" s="132">
        <v>45906.0</v>
      </c>
      <c r="B42" s="329">
        <v>0.0</v>
      </c>
      <c r="C42" s="123"/>
      <c r="D42" s="123">
        <f t="shared" si="18"/>
        <v>0</v>
      </c>
      <c r="E42" s="329"/>
      <c r="F42" s="123">
        <f t="shared" si="19"/>
        <v>0</v>
      </c>
      <c r="G42" s="123">
        <f t="shared" si="20"/>
        <v>0</v>
      </c>
      <c r="H42" s="330">
        <v>0.0</v>
      </c>
      <c r="I42" s="124"/>
      <c r="J42" s="124">
        <f t="shared" si="21"/>
        <v>0</v>
      </c>
      <c r="K42" s="125" t="str">
        <f t="shared" si="4"/>
        <v/>
      </c>
      <c r="L42" s="125">
        <v>0.3</v>
      </c>
      <c r="M42" s="125">
        <f t="shared" si="16"/>
        <v>0.3</v>
      </c>
      <c r="N42" s="124" t="str">
        <f t="shared" si="22"/>
        <v/>
      </c>
      <c r="O42" s="126">
        <v>250.0</v>
      </c>
      <c r="P42" s="124">
        <f t="shared" si="3"/>
        <v>-250</v>
      </c>
    </row>
    <row r="43" hidden="1" outlineLevel="3">
      <c r="A43" s="132">
        <v>45907.0</v>
      </c>
      <c r="B43" s="329">
        <v>0.0</v>
      </c>
      <c r="C43" s="123"/>
      <c r="D43" s="123"/>
      <c r="E43" s="329"/>
      <c r="F43" s="123"/>
      <c r="G43" s="123"/>
      <c r="H43" s="330">
        <v>0.0</v>
      </c>
      <c r="I43" s="124"/>
      <c r="J43" s="124"/>
      <c r="K43" s="125" t="str">
        <f t="shared" si="4"/>
        <v/>
      </c>
      <c r="L43" s="125"/>
      <c r="M43" s="129"/>
      <c r="N43" s="124" t="str">
        <f t="shared" si="22"/>
        <v/>
      </c>
      <c r="O43" s="126"/>
      <c r="P43" s="124">
        <f t="shared" si="3"/>
        <v>0</v>
      </c>
    </row>
    <row r="44" hidden="1" outlineLevel="3">
      <c r="A44" s="132">
        <v>45908.0</v>
      </c>
      <c r="B44" s="329">
        <v>0.0</v>
      </c>
      <c r="C44" s="123"/>
      <c r="D44" s="123">
        <f t="shared" ref="D44:D66" si="23">B44-C44</f>
        <v>0</v>
      </c>
      <c r="E44" s="329"/>
      <c r="F44" s="123">
        <f t="shared" ref="F44:F66" si="24">C44*30%</f>
        <v>0</v>
      </c>
      <c r="G44" s="123">
        <f t="shared" ref="G44:G66" si="25">E44-F44</f>
        <v>0</v>
      </c>
      <c r="H44" s="330">
        <v>0.0</v>
      </c>
      <c r="I44" s="124"/>
      <c r="J44" s="124">
        <f t="shared" ref="J44:J66" si="26">H44-I44</f>
        <v>0</v>
      </c>
      <c r="K44" s="125" t="str">
        <f t="shared" si="4"/>
        <v/>
      </c>
      <c r="L44" s="125">
        <v>0.3</v>
      </c>
      <c r="M44" s="125">
        <f t="shared" ref="M44:M73" si="27">L44-K44</f>
        <v>0.3</v>
      </c>
      <c r="N44" s="124" t="str">
        <f t="shared" si="22"/>
        <v/>
      </c>
      <c r="O44" s="126">
        <v>250.0</v>
      </c>
      <c r="P44" s="124">
        <f t="shared" si="3"/>
        <v>-250</v>
      </c>
    </row>
    <row r="45" hidden="1" outlineLevel="3">
      <c r="A45" s="132">
        <v>45909.0</v>
      </c>
      <c r="B45" s="329">
        <v>0.0</v>
      </c>
      <c r="C45" s="123"/>
      <c r="D45" s="123">
        <f t="shared" si="23"/>
        <v>0</v>
      </c>
      <c r="E45" s="329"/>
      <c r="F45" s="123">
        <f t="shared" si="24"/>
        <v>0</v>
      </c>
      <c r="G45" s="123">
        <f t="shared" si="25"/>
        <v>0</v>
      </c>
      <c r="H45" s="330">
        <v>0.0</v>
      </c>
      <c r="I45" s="124"/>
      <c r="J45" s="124">
        <f t="shared" si="26"/>
        <v>0</v>
      </c>
      <c r="K45" s="125" t="str">
        <f t="shared" si="4"/>
        <v/>
      </c>
      <c r="L45" s="125">
        <v>0.3</v>
      </c>
      <c r="M45" s="125">
        <f t="shared" si="27"/>
        <v>0.3</v>
      </c>
      <c r="N45" s="124" t="str">
        <f t="shared" si="22"/>
        <v/>
      </c>
      <c r="O45" s="126">
        <v>250.0</v>
      </c>
      <c r="P45" s="124">
        <f t="shared" si="3"/>
        <v>-250</v>
      </c>
    </row>
    <row r="46" hidden="1" outlineLevel="2">
      <c r="A46" s="132">
        <v>45910.0</v>
      </c>
      <c r="B46" s="329">
        <v>8.0</v>
      </c>
      <c r="C46" s="123">
        <v>80.0</v>
      </c>
      <c r="D46" s="123">
        <f t="shared" si="23"/>
        <v>-72</v>
      </c>
      <c r="E46" s="329">
        <v>4.0</v>
      </c>
      <c r="F46" s="123">
        <f t="shared" si="24"/>
        <v>24</v>
      </c>
      <c r="G46" s="123">
        <f t="shared" si="25"/>
        <v>-20</v>
      </c>
      <c r="H46" s="330">
        <v>1054.9</v>
      </c>
      <c r="I46" s="124">
        <f t="shared" ref="I46:I66" si="28">F46*O46</f>
        <v>6000</v>
      </c>
      <c r="J46" s="124">
        <f t="shared" si="26"/>
        <v>-4945.1</v>
      </c>
      <c r="K46" s="125">
        <f t="shared" si="4"/>
        <v>0.5</v>
      </c>
      <c r="L46" s="125">
        <v>0.3</v>
      </c>
      <c r="M46" s="125">
        <f t="shared" si="27"/>
        <v>-0.2</v>
      </c>
      <c r="N46" s="124">
        <f t="shared" si="22"/>
        <v>263.725</v>
      </c>
      <c r="O46" s="126">
        <v>250.0</v>
      </c>
      <c r="P46" s="124">
        <f t="shared" si="3"/>
        <v>13.725</v>
      </c>
    </row>
    <row r="47" hidden="1" outlineLevel="2">
      <c r="A47" s="132">
        <v>45911.0</v>
      </c>
      <c r="B47" s="329">
        <v>17.0</v>
      </c>
      <c r="C47" s="123">
        <v>80.0</v>
      </c>
      <c r="D47" s="123">
        <f t="shared" si="23"/>
        <v>-63</v>
      </c>
      <c r="E47" s="329">
        <v>8.0</v>
      </c>
      <c r="F47" s="123">
        <f t="shared" si="24"/>
        <v>24</v>
      </c>
      <c r="G47" s="123">
        <f t="shared" si="25"/>
        <v>-16</v>
      </c>
      <c r="H47" s="330">
        <v>1001.79</v>
      </c>
      <c r="I47" s="124">
        <f t="shared" si="28"/>
        <v>6000</v>
      </c>
      <c r="J47" s="124">
        <f t="shared" si="26"/>
        <v>-4998.21</v>
      </c>
      <c r="K47" s="125">
        <f t="shared" si="4"/>
        <v>0.4705882353</v>
      </c>
      <c r="L47" s="125">
        <v>0.3</v>
      </c>
      <c r="M47" s="125">
        <f t="shared" si="27"/>
        <v>-0.1705882353</v>
      </c>
      <c r="N47" s="124">
        <f t="shared" si="22"/>
        <v>125.22375</v>
      </c>
      <c r="O47" s="126">
        <v>250.0</v>
      </c>
      <c r="P47" s="124">
        <f t="shared" si="3"/>
        <v>-124.77625</v>
      </c>
    </row>
    <row r="48" hidden="1" outlineLevel="2">
      <c r="A48" s="132">
        <v>45912.0</v>
      </c>
      <c r="B48" s="329">
        <v>91.0</v>
      </c>
      <c r="C48" s="123">
        <v>80.0</v>
      </c>
      <c r="D48" s="123">
        <f t="shared" si="23"/>
        <v>11</v>
      </c>
      <c r="E48" s="329">
        <v>8.0</v>
      </c>
      <c r="F48" s="123">
        <f t="shared" si="24"/>
        <v>24</v>
      </c>
      <c r="G48" s="123">
        <f t="shared" si="25"/>
        <v>-16</v>
      </c>
      <c r="H48" s="330">
        <v>1146.44</v>
      </c>
      <c r="I48" s="124">
        <f t="shared" si="28"/>
        <v>6000</v>
      </c>
      <c r="J48" s="124">
        <f t="shared" si="26"/>
        <v>-4853.56</v>
      </c>
      <c r="K48" s="125">
        <f t="shared" si="4"/>
        <v>0.08791208791</v>
      </c>
      <c r="L48" s="125">
        <v>0.3</v>
      </c>
      <c r="M48" s="125">
        <f t="shared" si="27"/>
        <v>0.2120879121</v>
      </c>
      <c r="N48" s="124">
        <f t="shared" si="22"/>
        <v>143.305</v>
      </c>
      <c r="O48" s="126">
        <v>250.0</v>
      </c>
      <c r="P48" s="124">
        <f t="shared" si="3"/>
        <v>-106.695</v>
      </c>
    </row>
    <row r="49" hidden="1" outlineLevel="2">
      <c r="A49" s="132">
        <v>45913.0</v>
      </c>
      <c r="B49" s="331"/>
      <c r="C49" s="332"/>
      <c r="D49" s="123">
        <f t="shared" si="23"/>
        <v>0</v>
      </c>
      <c r="E49" s="331"/>
      <c r="F49" s="123">
        <f t="shared" si="24"/>
        <v>0</v>
      </c>
      <c r="G49" s="123">
        <f t="shared" si="25"/>
        <v>0</v>
      </c>
      <c r="H49" s="331"/>
      <c r="I49" s="124">
        <f t="shared" si="28"/>
        <v>0</v>
      </c>
      <c r="J49" s="124">
        <f t="shared" si="26"/>
        <v>0</v>
      </c>
      <c r="K49" s="125" t="str">
        <f t="shared" si="4"/>
        <v/>
      </c>
      <c r="L49" s="125">
        <v>0.3</v>
      </c>
      <c r="M49" s="125">
        <f t="shared" si="27"/>
        <v>0.3</v>
      </c>
      <c r="N49" s="124" t="str">
        <f t="shared" si="22"/>
        <v/>
      </c>
      <c r="O49" s="126">
        <v>250.0</v>
      </c>
      <c r="P49" s="124">
        <f t="shared" si="3"/>
        <v>-250</v>
      </c>
      <c r="S49" s="94"/>
    </row>
    <row r="50" hidden="1" outlineLevel="2">
      <c r="A50" s="132">
        <v>45914.0</v>
      </c>
      <c r="B50" s="331"/>
      <c r="C50" s="332"/>
      <c r="D50" s="123">
        <f t="shared" si="23"/>
        <v>0</v>
      </c>
      <c r="E50" s="329"/>
      <c r="F50" s="123">
        <f t="shared" si="24"/>
        <v>0</v>
      </c>
      <c r="G50" s="123">
        <f t="shared" si="25"/>
        <v>0</v>
      </c>
      <c r="H50" s="331"/>
      <c r="I50" s="124">
        <f t="shared" si="28"/>
        <v>0</v>
      </c>
      <c r="J50" s="124">
        <f t="shared" si="26"/>
        <v>0</v>
      </c>
      <c r="K50" s="125" t="str">
        <f t="shared" si="4"/>
        <v/>
      </c>
      <c r="L50" s="125">
        <v>0.3</v>
      </c>
      <c r="M50" s="125">
        <f t="shared" si="27"/>
        <v>0.3</v>
      </c>
      <c r="N50" s="124" t="str">
        <f t="shared" si="22"/>
        <v/>
      </c>
      <c r="O50" s="126">
        <v>250.0</v>
      </c>
      <c r="P50" s="124">
        <f t="shared" si="3"/>
        <v>-250</v>
      </c>
      <c r="S50" s="94"/>
    </row>
    <row r="51" hidden="1" outlineLevel="2">
      <c r="A51" s="132">
        <v>45915.0</v>
      </c>
      <c r="B51" s="331"/>
      <c r="C51" s="332"/>
      <c r="D51" s="123">
        <f t="shared" si="23"/>
        <v>0</v>
      </c>
      <c r="E51" s="329"/>
      <c r="F51" s="123">
        <f t="shared" si="24"/>
        <v>0</v>
      </c>
      <c r="G51" s="123">
        <f t="shared" si="25"/>
        <v>0</v>
      </c>
      <c r="H51" s="331"/>
      <c r="I51" s="124">
        <f t="shared" si="28"/>
        <v>0</v>
      </c>
      <c r="J51" s="124">
        <f t="shared" si="26"/>
        <v>0</v>
      </c>
      <c r="K51" s="125" t="str">
        <f t="shared" si="4"/>
        <v/>
      </c>
      <c r="L51" s="125">
        <v>0.3</v>
      </c>
      <c r="M51" s="125">
        <f t="shared" si="27"/>
        <v>0.3</v>
      </c>
      <c r="N51" s="124" t="str">
        <f t="shared" si="22"/>
        <v/>
      </c>
      <c r="O51" s="126">
        <v>250.0</v>
      </c>
      <c r="P51" s="124">
        <f t="shared" si="3"/>
        <v>-250</v>
      </c>
      <c r="S51" s="94"/>
    </row>
    <row r="52" hidden="1" outlineLevel="2">
      <c r="A52" s="132">
        <v>45916.0</v>
      </c>
      <c r="B52" s="331"/>
      <c r="C52" s="332"/>
      <c r="D52" s="123">
        <f t="shared" si="23"/>
        <v>0</v>
      </c>
      <c r="E52" s="329"/>
      <c r="F52" s="123">
        <f t="shared" si="24"/>
        <v>0</v>
      </c>
      <c r="G52" s="123">
        <f t="shared" si="25"/>
        <v>0</v>
      </c>
      <c r="H52" s="331"/>
      <c r="I52" s="124">
        <f t="shared" si="28"/>
        <v>0</v>
      </c>
      <c r="J52" s="124">
        <f t="shared" si="26"/>
        <v>0</v>
      </c>
      <c r="K52" s="125" t="str">
        <f t="shared" si="4"/>
        <v/>
      </c>
      <c r="L52" s="125">
        <v>0.3</v>
      </c>
      <c r="M52" s="125">
        <f t="shared" si="27"/>
        <v>0.3</v>
      </c>
      <c r="N52" s="124" t="str">
        <f t="shared" si="22"/>
        <v/>
      </c>
      <c r="O52" s="126">
        <v>250.0</v>
      </c>
      <c r="P52" s="124">
        <f t="shared" si="3"/>
        <v>-250</v>
      </c>
      <c r="S52" s="94"/>
    </row>
    <row r="53" hidden="1" outlineLevel="2">
      <c r="A53" s="132">
        <v>45917.0</v>
      </c>
      <c r="B53" s="331"/>
      <c r="C53" s="332"/>
      <c r="D53" s="123">
        <f t="shared" si="23"/>
        <v>0</v>
      </c>
      <c r="E53" s="329"/>
      <c r="F53" s="123">
        <f t="shared" si="24"/>
        <v>0</v>
      </c>
      <c r="G53" s="123">
        <f t="shared" si="25"/>
        <v>0</v>
      </c>
      <c r="H53" s="331"/>
      <c r="I53" s="124">
        <f t="shared" si="28"/>
        <v>0</v>
      </c>
      <c r="J53" s="124">
        <f t="shared" si="26"/>
        <v>0</v>
      </c>
      <c r="K53" s="125" t="str">
        <f t="shared" si="4"/>
        <v/>
      </c>
      <c r="L53" s="125">
        <v>0.3</v>
      </c>
      <c r="M53" s="125">
        <f t="shared" si="27"/>
        <v>0.3</v>
      </c>
      <c r="N53" s="124" t="str">
        <f t="shared" si="22"/>
        <v/>
      </c>
      <c r="O53" s="126">
        <v>250.0</v>
      </c>
      <c r="P53" s="124">
        <f t="shared" si="3"/>
        <v>-250</v>
      </c>
      <c r="R53" s="115" t="s">
        <v>131</v>
      </c>
    </row>
    <row r="54" hidden="1" outlineLevel="2">
      <c r="A54" s="132">
        <v>45918.0</v>
      </c>
      <c r="B54" s="331"/>
      <c r="C54" s="332"/>
      <c r="D54" s="123">
        <f t="shared" si="23"/>
        <v>0</v>
      </c>
      <c r="E54" s="329"/>
      <c r="F54" s="123">
        <f t="shared" si="24"/>
        <v>0</v>
      </c>
      <c r="G54" s="123">
        <f t="shared" si="25"/>
        <v>0</v>
      </c>
      <c r="H54" s="331"/>
      <c r="I54" s="124">
        <f t="shared" si="28"/>
        <v>0</v>
      </c>
      <c r="J54" s="124">
        <f t="shared" si="26"/>
        <v>0</v>
      </c>
      <c r="K54" s="125" t="str">
        <f t="shared" si="4"/>
        <v/>
      </c>
      <c r="L54" s="125">
        <v>0.3</v>
      </c>
      <c r="M54" s="125">
        <f t="shared" si="27"/>
        <v>0.3</v>
      </c>
      <c r="N54" s="124" t="str">
        <f t="shared" si="22"/>
        <v/>
      </c>
      <c r="O54" s="126">
        <v>250.0</v>
      </c>
      <c r="P54" s="124">
        <f t="shared" si="3"/>
        <v>-250</v>
      </c>
      <c r="R54" s="113" t="s">
        <v>8</v>
      </c>
      <c r="S54" s="351">
        <v>40000.0</v>
      </c>
    </row>
    <row r="55" hidden="1" outlineLevel="2">
      <c r="A55" s="132">
        <v>45919.0</v>
      </c>
      <c r="B55" s="331"/>
      <c r="C55" s="332"/>
      <c r="D55" s="123">
        <f t="shared" si="23"/>
        <v>0</v>
      </c>
      <c r="E55" s="329"/>
      <c r="F55" s="123">
        <f t="shared" si="24"/>
        <v>0</v>
      </c>
      <c r="G55" s="123">
        <f t="shared" si="25"/>
        <v>0</v>
      </c>
      <c r="H55" s="331"/>
      <c r="I55" s="124">
        <f t="shared" si="28"/>
        <v>0</v>
      </c>
      <c r="J55" s="124">
        <f t="shared" si="26"/>
        <v>0</v>
      </c>
      <c r="K55" s="125" t="str">
        <f t="shared" si="4"/>
        <v/>
      </c>
      <c r="L55" s="125">
        <v>0.3</v>
      </c>
      <c r="M55" s="125">
        <f t="shared" si="27"/>
        <v>0.3</v>
      </c>
      <c r="N55" s="124" t="str">
        <f t="shared" si="22"/>
        <v/>
      </c>
      <c r="O55" s="126">
        <v>250.0</v>
      </c>
      <c r="P55" s="124">
        <f t="shared" si="3"/>
        <v>-250</v>
      </c>
      <c r="R55" s="113" t="s">
        <v>45</v>
      </c>
      <c r="S55" s="117">
        <f>S54/30</f>
        <v>1333.333333</v>
      </c>
    </row>
    <row r="56" hidden="1" outlineLevel="2">
      <c r="A56" s="132">
        <v>45920.0</v>
      </c>
      <c r="B56" s="331"/>
      <c r="C56" s="332"/>
      <c r="D56" s="123">
        <f t="shared" si="23"/>
        <v>0</v>
      </c>
      <c r="E56" s="331"/>
      <c r="F56" s="123">
        <f t="shared" si="24"/>
        <v>0</v>
      </c>
      <c r="G56" s="123">
        <f t="shared" si="25"/>
        <v>0</v>
      </c>
      <c r="H56" s="331"/>
      <c r="I56" s="124">
        <f t="shared" si="28"/>
        <v>0</v>
      </c>
      <c r="J56" s="124">
        <f t="shared" si="26"/>
        <v>0</v>
      </c>
      <c r="K56" s="125" t="str">
        <f t="shared" si="4"/>
        <v/>
      </c>
      <c r="L56" s="125">
        <v>0.3</v>
      </c>
      <c r="M56" s="125">
        <f t="shared" si="27"/>
        <v>0.3</v>
      </c>
      <c r="N56" s="124" t="str">
        <f t="shared" si="22"/>
        <v/>
      </c>
      <c r="O56" s="126">
        <v>250.0</v>
      </c>
      <c r="P56" s="124">
        <f t="shared" si="3"/>
        <v>-250</v>
      </c>
      <c r="R56" s="113" t="s">
        <v>46</v>
      </c>
      <c r="S56" s="117">
        <f>S54/22</f>
        <v>1818.181818</v>
      </c>
    </row>
    <row r="57" hidden="1" outlineLevel="2">
      <c r="A57" s="132">
        <v>45921.0</v>
      </c>
      <c r="B57" s="331"/>
      <c r="C57" s="332"/>
      <c r="D57" s="123">
        <f t="shared" si="23"/>
        <v>0</v>
      </c>
      <c r="E57" s="331"/>
      <c r="F57" s="123">
        <f t="shared" si="24"/>
        <v>0</v>
      </c>
      <c r="G57" s="123">
        <f t="shared" si="25"/>
        <v>0</v>
      </c>
      <c r="H57" s="331"/>
      <c r="I57" s="124">
        <f t="shared" si="28"/>
        <v>0</v>
      </c>
      <c r="J57" s="124">
        <f t="shared" si="26"/>
        <v>0</v>
      </c>
      <c r="K57" s="125" t="str">
        <f t="shared" si="4"/>
        <v/>
      </c>
      <c r="L57" s="125">
        <v>0.3</v>
      </c>
      <c r="M57" s="125">
        <f t="shared" si="27"/>
        <v>0.3</v>
      </c>
      <c r="N57" s="124" t="str">
        <f t="shared" si="22"/>
        <v/>
      </c>
      <c r="O57" s="126">
        <v>250.0</v>
      </c>
      <c r="P57" s="124">
        <f t="shared" si="3"/>
        <v>-250</v>
      </c>
      <c r="R57" s="113" t="s">
        <v>7</v>
      </c>
      <c r="S57" s="117">
        <f>H36</f>
        <v>3203.13</v>
      </c>
    </row>
    <row r="58" hidden="1" outlineLevel="2">
      <c r="A58" s="132">
        <v>45922.0</v>
      </c>
      <c r="B58" s="331"/>
      <c r="C58" s="332"/>
      <c r="D58" s="123">
        <f t="shared" si="23"/>
        <v>0</v>
      </c>
      <c r="E58" s="331"/>
      <c r="F58" s="123">
        <f t="shared" si="24"/>
        <v>0</v>
      </c>
      <c r="G58" s="123">
        <f t="shared" si="25"/>
        <v>0</v>
      </c>
      <c r="H58" s="331"/>
      <c r="I58" s="124">
        <f t="shared" si="28"/>
        <v>0</v>
      </c>
      <c r="J58" s="124">
        <f t="shared" si="26"/>
        <v>0</v>
      </c>
      <c r="K58" s="125" t="str">
        <f t="shared" si="4"/>
        <v/>
      </c>
      <c r="L58" s="125">
        <v>0.3</v>
      </c>
      <c r="M58" s="125">
        <f t="shared" si="27"/>
        <v>0.3</v>
      </c>
      <c r="N58" s="124" t="str">
        <f t="shared" si="22"/>
        <v/>
      </c>
      <c r="O58" s="126">
        <v>250.0</v>
      </c>
      <c r="P58" s="124">
        <f t="shared" si="3"/>
        <v>-250</v>
      </c>
      <c r="R58" s="113" t="s">
        <v>47</v>
      </c>
      <c r="S58" s="119">
        <f>S57/S54</f>
        <v>0.08007825</v>
      </c>
    </row>
    <row r="59" hidden="1" outlineLevel="2">
      <c r="A59" s="132">
        <v>45923.0</v>
      </c>
      <c r="B59" s="331"/>
      <c r="C59" s="332"/>
      <c r="D59" s="123">
        <f t="shared" si="23"/>
        <v>0</v>
      </c>
      <c r="E59" s="331"/>
      <c r="F59" s="123">
        <f t="shared" si="24"/>
        <v>0</v>
      </c>
      <c r="G59" s="123">
        <f t="shared" si="25"/>
        <v>0</v>
      </c>
      <c r="H59" s="331"/>
      <c r="I59" s="124">
        <f t="shared" si="28"/>
        <v>0</v>
      </c>
      <c r="J59" s="124">
        <f t="shared" si="26"/>
        <v>0</v>
      </c>
      <c r="K59" s="125" t="str">
        <f t="shared" si="4"/>
        <v/>
      </c>
      <c r="L59" s="125">
        <v>0.3</v>
      </c>
      <c r="M59" s="125">
        <f t="shared" si="27"/>
        <v>0.3</v>
      </c>
      <c r="N59" s="124" t="str">
        <f t="shared" si="22"/>
        <v/>
      </c>
      <c r="O59" s="126">
        <v>250.0</v>
      </c>
      <c r="P59" s="124">
        <f t="shared" si="3"/>
        <v>-250</v>
      </c>
      <c r="R59" s="113" t="s">
        <v>48</v>
      </c>
      <c r="S59" s="120">
        <v>12.0</v>
      </c>
    </row>
    <row r="60" hidden="1" outlineLevel="2">
      <c r="A60" s="132">
        <v>45924.0</v>
      </c>
      <c r="B60" s="331"/>
      <c r="C60" s="332"/>
      <c r="D60" s="123">
        <f t="shared" si="23"/>
        <v>0</v>
      </c>
      <c r="E60" s="331"/>
      <c r="F60" s="123">
        <f t="shared" si="24"/>
        <v>0</v>
      </c>
      <c r="G60" s="123">
        <f t="shared" si="25"/>
        <v>0</v>
      </c>
      <c r="H60" s="331"/>
      <c r="I60" s="124">
        <f t="shared" si="28"/>
        <v>0</v>
      </c>
      <c r="J60" s="124">
        <f t="shared" si="26"/>
        <v>0</v>
      </c>
      <c r="K60" s="125" t="str">
        <f t="shared" si="4"/>
        <v/>
      </c>
      <c r="L60" s="125">
        <v>0.3</v>
      </c>
      <c r="M60" s="125">
        <f t="shared" si="27"/>
        <v>0.3</v>
      </c>
      <c r="N60" s="124" t="str">
        <f t="shared" si="22"/>
        <v/>
      </c>
      <c r="O60" s="126">
        <v>250.0</v>
      </c>
      <c r="P60" s="124">
        <f t="shared" si="3"/>
        <v>-250</v>
      </c>
      <c r="R60" s="113" t="s">
        <v>49</v>
      </c>
      <c r="S60" s="121">
        <f>(S54-S57)/S59</f>
        <v>3066.405833</v>
      </c>
    </row>
    <row r="61" hidden="1" outlineLevel="2">
      <c r="A61" s="132">
        <v>45925.0</v>
      </c>
      <c r="B61" s="331"/>
      <c r="C61" s="332"/>
      <c r="D61" s="123">
        <f t="shared" si="23"/>
        <v>0</v>
      </c>
      <c r="E61" s="331"/>
      <c r="F61" s="123">
        <f t="shared" si="24"/>
        <v>0</v>
      </c>
      <c r="G61" s="123">
        <f t="shared" si="25"/>
        <v>0</v>
      </c>
      <c r="H61" s="331"/>
      <c r="I61" s="124">
        <f t="shared" si="28"/>
        <v>0</v>
      </c>
      <c r="J61" s="124">
        <f t="shared" si="26"/>
        <v>0</v>
      </c>
      <c r="K61" s="125" t="str">
        <f t="shared" si="4"/>
        <v/>
      </c>
      <c r="L61" s="125">
        <v>0.3</v>
      </c>
      <c r="M61" s="125">
        <f t="shared" si="27"/>
        <v>0.3</v>
      </c>
      <c r="N61" s="124" t="str">
        <f t="shared" si="22"/>
        <v/>
      </c>
      <c r="O61" s="126">
        <v>250.0</v>
      </c>
      <c r="P61" s="124">
        <f t="shared" si="3"/>
        <v>-250</v>
      </c>
      <c r="R61" s="113" t="s">
        <v>50</v>
      </c>
      <c r="S61" s="122">
        <f>N36</f>
        <v>160.1565</v>
      </c>
    </row>
    <row r="62" hidden="1" outlineLevel="2">
      <c r="A62" s="132">
        <v>45926.0</v>
      </c>
      <c r="B62" s="331"/>
      <c r="C62" s="332"/>
      <c r="D62" s="123">
        <f t="shared" si="23"/>
        <v>0</v>
      </c>
      <c r="E62" s="331"/>
      <c r="F62" s="123">
        <f t="shared" si="24"/>
        <v>0</v>
      </c>
      <c r="G62" s="123">
        <f t="shared" si="25"/>
        <v>0</v>
      </c>
      <c r="H62" s="331"/>
      <c r="I62" s="124">
        <f t="shared" si="28"/>
        <v>0</v>
      </c>
      <c r="J62" s="124">
        <f t="shared" si="26"/>
        <v>0</v>
      </c>
      <c r="K62" s="125" t="str">
        <f t="shared" si="4"/>
        <v/>
      </c>
      <c r="L62" s="125">
        <v>0.3</v>
      </c>
      <c r="M62" s="125">
        <f t="shared" si="27"/>
        <v>0.3</v>
      </c>
      <c r="N62" s="124" t="str">
        <f t="shared" si="22"/>
        <v/>
      </c>
      <c r="O62" s="126">
        <v>250.0</v>
      </c>
      <c r="P62" s="124">
        <f t="shared" si="3"/>
        <v>-250</v>
      </c>
      <c r="R62" s="113" t="s">
        <v>51</v>
      </c>
      <c r="S62" s="128">
        <f>B36</f>
        <v>116</v>
      </c>
    </row>
    <row r="63" hidden="1" outlineLevel="2">
      <c r="A63" s="132">
        <v>45927.0</v>
      </c>
      <c r="B63" s="331"/>
      <c r="C63" s="332"/>
      <c r="D63" s="123">
        <f t="shared" si="23"/>
        <v>0</v>
      </c>
      <c r="E63" s="331"/>
      <c r="F63" s="123">
        <f t="shared" si="24"/>
        <v>0</v>
      </c>
      <c r="G63" s="123">
        <f t="shared" si="25"/>
        <v>0</v>
      </c>
      <c r="H63" s="331"/>
      <c r="I63" s="124">
        <f t="shared" si="28"/>
        <v>0</v>
      </c>
      <c r="J63" s="124">
        <f t="shared" si="26"/>
        <v>0</v>
      </c>
      <c r="K63" s="125" t="str">
        <f t="shared" si="4"/>
        <v/>
      </c>
      <c r="L63" s="125">
        <v>0.3</v>
      </c>
      <c r="M63" s="125">
        <f t="shared" si="27"/>
        <v>0.3</v>
      </c>
      <c r="N63" s="124" t="str">
        <f t="shared" si="22"/>
        <v/>
      </c>
      <c r="O63" s="126">
        <v>250.0</v>
      </c>
      <c r="P63" s="124">
        <f t="shared" si="3"/>
        <v>-250</v>
      </c>
      <c r="R63" s="113" t="s">
        <v>52</v>
      </c>
      <c r="S63" s="128">
        <f>E36</f>
        <v>20</v>
      </c>
    </row>
    <row r="64" hidden="1" outlineLevel="2">
      <c r="A64" s="132">
        <v>45928.0</v>
      </c>
      <c r="B64" s="331"/>
      <c r="C64" s="332"/>
      <c r="D64" s="123">
        <f t="shared" si="23"/>
        <v>0</v>
      </c>
      <c r="E64" s="331"/>
      <c r="F64" s="123">
        <f t="shared" si="24"/>
        <v>0</v>
      </c>
      <c r="G64" s="123">
        <f t="shared" si="25"/>
        <v>0</v>
      </c>
      <c r="H64" s="331"/>
      <c r="I64" s="124">
        <f t="shared" si="28"/>
        <v>0</v>
      </c>
      <c r="J64" s="124">
        <f t="shared" si="26"/>
        <v>0</v>
      </c>
      <c r="K64" s="125" t="str">
        <f t="shared" si="4"/>
        <v/>
      </c>
      <c r="L64" s="125">
        <v>0.3</v>
      </c>
      <c r="M64" s="125">
        <f t="shared" si="27"/>
        <v>0.3</v>
      </c>
      <c r="N64" s="124" t="str">
        <f t="shared" si="22"/>
        <v/>
      </c>
      <c r="O64" s="126">
        <v>250.0</v>
      </c>
      <c r="P64" s="124">
        <f t="shared" si="3"/>
        <v>-250</v>
      </c>
      <c r="R64" s="113" t="s">
        <v>4</v>
      </c>
      <c r="S64" s="119">
        <f>E36/B36</f>
        <v>0.1724137931</v>
      </c>
    </row>
    <row r="65" hidden="1" outlineLevel="2">
      <c r="A65" s="132">
        <v>45929.0</v>
      </c>
      <c r="B65" s="331"/>
      <c r="C65" s="332"/>
      <c r="D65" s="123">
        <f t="shared" si="23"/>
        <v>0</v>
      </c>
      <c r="E65" s="331"/>
      <c r="F65" s="123">
        <f t="shared" si="24"/>
        <v>0</v>
      </c>
      <c r="G65" s="123">
        <f t="shared" si="25"/>
        <v>0</v>
      </c>
      <c r="H65" s="331"/>
      <c r="I65" s="124">
        <f t="shared" si="28"/>
        <v>0</v>
      </c>
      <c r="J65" s="124">
        <f t="shared" si="26"/>
        <v>0</v>
      </c>
      <c r="K65" s="125" t="str">
        <f t="shared" si="4"/>
        <v/>
      </c>
      <c r="L65" s="125">
        <v>0.3</v>
      </c>
      <c r="M65" s="125">
        <f t="shared" si="27"/>
        <v>0.3</v>
      </c>
      <c r="N65" s="124" t="str">
        <f t="shared" si="22"/>
        <v/>
      </c>
      <c r="O65" s="126">
        <v>250.0</v>
      </c>
      <c r="P65" s="124">
        <f t="shared" si="3"/>
        <v>-250</v>
      </c>
      <c r="S65" s="94"/>
    </row>
    <row r="66" hidden="1" outlineLevel="2">
      <c r="A66" s="132">
        <v>45930.0</v>
      </c>
      <c r="B66" s="331"/>
      <c r="C66" s="332"/>
      <c r="D66" s="123">
        <f t="shared" si="23"/>
        <v>0</v>
      </c>
      <c r="E66" s="331"/>
      <c r="F66" s="123">
        <f t="shared" si="24"/>
        <v>0</v>
      </c>
      <c r="G66" s="123">
        <f t="shared" si="25"/>
        <v>0</v>
      </c>
      <c r="H66" s="331"/>
      <c r="I66" s="124">
        <f t="shared" si="28"/>
        <v>0</v>
      </c>
      <c r="J66" s="124">
        <f t="shared" si="26"/>
        <v>0</v>
      </c>
      <c r="K66" s="125" t="str">
        <f t="shared" si="4"/>
        <v/>
      </c>
      <c r="L66" s="125">
        <v>0.3</v>
      </c>
      <c r="M66" s="125">
        <f t="shared" si="27"/>
        <v>0.3</v>
      </c>
      <c r="N66" s="124" t="str">
        <f t="shared" si="22"/>
        <v/>
      </c>
      <c r="O66" s="126">
        <v>250.0</v>
      </c>
      <c r="P66" s="124">
        <f t="shared" si="3"/>
        <v>-250</v>
      </c>
      <c r="S66" s="94"/>
    </row>
    <row r="67" outlineLevel="1" collapsed="1">
      <c r="A67" s="100" t="s">
        <v>61</v>
      </c>
      <c r="B67" s="100">
        <f t="shared" ref="B67:J67" si="29">SUM(B68:B97)</f>
        <v>506</v>
      </c>
      <c r="C67" s="100">
        <f t="shared" si="29"/>
        <v>3000</v>
      </c>
      <c r="D67" s="100">
        <f t="shared" si="29"/>
        <v>-2394</v>
      </c>
      <c r="E67" s="100">
        <f t="shared" si="29"/>
        <v>247</v>
      </c>
      <c r="F67" s="100">
        <f t="shared" si="29"/>
        <v>600</v>
      </c>
      <c r="G67" s="100">
        <f t="shared" si="29"/>
        <v>-333</v>
      </c>
      <c r="H67" s="102">
        <f t="shared" si="29"/>
        <v>67646.63</v>
      </c>
      <c r="I67" s="102">
        <f t="shared" si="29"/>
        <v>150000</v>
      </c>
      <c r="J67" s="102">
        <f t="shared" si="29"/>
        <v>-77353.37</v>
      </c>
      <c r="K67" s="103">
        <f t="shared" si="4"/>
        <v>0.4881422925</v>
      </c>
      <c r="L67" s="103">
        <v>0.3</v>
      </c>
      <c r="M67" s="103">
        <f t="shared" si="27"/>
        <v>-0.1881422925</v>
      </c>
      <c r="N67" s="102">
        <f t="shared" si="22"/>
        <v>273.872996</v>
      </c>
      <c r="O67" s="104">
        <f>O68</f>
        <v>250</v>
      </c>
      <c r="P67" s="102">
        <f t="shared" si="3"/>
        <v>23.87299595</v>
      </c>
      <c r="Q67" s="90"/>
      <c r="R67" s="90"/>
      <c r="S67" s="91"/>
      <c r="T67" s="90"/>
      <c r="U67" s="90"/>
      <c r="V67" s="90"/>
      <c r="W67" s="90"/>
      <c r="X67" s="90"/>
      <c r="Y67" s="90"/>
      <c r="Z67" s="90"/>
      <c r="AA67" s="90"/>
      <c r="AB67" s="90"/>
    </row>
    <row r="68" hidden="1" outlineLevel="2">
      <c r="A68" s="132">
        <v>45901.0</v>
      </c>
      <c r="B68" s="329">
        <v>30.0</v>
      </c>
      <c r="C68" s="123">
        <v>100.0</v>
      </c>
      <c r="D68" s="123">
        <f t="shared" ref="D68:D73" si="30">B68-C68</f>
        <v>-70</v>
      </c>
      <c r="E68" s="329">
        <v>22.0</v>
      </c>
      <c r="F68" s="123">
        <f t="shared" ref="F68:F97" si="31">C68*20%</f>
        <v>20</v>
      </c>
      <c r="G68" s="123">
        <f t="shared" ref="G68:G73" si="32">E68-F68</f>
        <v>2</v>
      </c>
      <c r="H68" s="330">
        <v>6301.87</v>
      </c>
      <c r="I68" s="124">
        <f t="shared" ref="I68:I97" si="33">F68*O68</f>
        <v>5000</v>
      </c>
      <c r="J68" s="124">
        <f t="shared" ref="J68:J73" si="34">H68-I68</f>
        <v>1301.87</v>
      </c>
      <c r="K68" s="125">
        <f t="shared" si="4"/>
        <v>0.7333333333</v>
      </c>
      <c r="L68" s="125">
        <v>0.3</v>
      </c>
      <c r="M68" s="125">
        <f t="shared" si="27"/>
        <v>-0.4333333333</v>
      </c>
      <c r="N68" s="124">
        <f t="shared" si="22"/>
        <v>286.4486364</v>
      </c>
      <c r="O68" s="126">
        <v>250.0</v>
      </c>
      <c r="P68" s="124">
        <f t="shared" si="3"/>
        <v>36.44863636</v>
      </c>
      <c r="R68" s="115" t="s">
        <v>131</v>
      </c>
    </row>
    <row r="69" hidden="1" outlineLevel="2">
      <c r="A69" s="132">
        <v>45902.0</v>
      </c>
      <c r="B69" s="329">
        <v>34.0</v>
      </c>
      <c r="C69" s="123">
        <v>100.0</v>
      </c>
      <c r="D69" s="123">
        <f t="shared" si="30"/>
        <v>-66</v>
      </c>
      <c r="E69" s="329">
        <v>14.0</v>
      </c>
      <c r="F69" s="123">
        <f t="shared" si="31"/>
        <v>20</v>
      </c>
      <c r="G69" s="123">
        <f t="shared" si="32"/>
        <v>-6</v>
      </c>
      <c r="H69" s="330">
        <v>6724.8</v>
      </c>
      <c r="I69" s="124">
        <f t="shared" si="33"/>
        <v>5000</v>
      </c>
      <c r="J69" s="124">
        <f t="shared" si="34"/>
        <v>1724.8</v>
      </c>
      <c r="K69" s="125">
        <f t="shared" si="4"/>
        <v>0.4117647059</v>
      </c>
      <c r="L69" s="125">
        <v>0.3</v>
      </c>
      <c r="M69" s="125">
        <f t="shared" si="27"/>
        <v>-0.1117647059</v>
      </c>
      <c r="N69" s="124">
        <f t="shared" si="22"/>
        <v>480.3428571</v>
      </c>
      <c r="O69" s="126">
        <v>250.0</v>
      </c>
      <c r="P69" s="124">
        <f t="shared" si="3"/>
        <v>230.3428571</v>
      </c>
      <c r="R69" s="113" t="s">
        <v>8</v>
      </c>
      <c r="S69" s="116">
        <v>130000.0</v>
      </c>
    </row>
    <row r="70" hidden="1" outlineLevel="2">
      <c r="A70" s="132">
        <v>45903.0</v>
      </c>
      <c r="B70" s="329">
        <v>34.0</v>
      </c>
      <c r="C70" s="123">
        <v>100.0</v>
      </c>
      <c r="D70" s="123">
        <f t="shared" si="30"/>
        <v>-66</v>
      </c>
      <c r="E70" s="329">
        <v>22.0</v>
      </c>
      <c r="F70" s="123">
        <f t="shared" si="31"/>
        <v>20</v>
      </c>
      <c r="G70" s="123">
        <f t="shared" si="32"/>
        <v>2</v>
      </c>
      <c r="H70" s="330">
        <v>5361.1</v>
      </c>
      <c r="I70" s="352">
        <f t="shared" si="33"/>
        <v>5000</v>
      </c>
      <c r="J70" s="124">
        <f t="shared" si="34"/>
        <v>361.1</v>
      </c>
      <c r="K70" s="125">
        <f t="shared" si="4"/>
        <v>0.6470588235</v>
      </c>
      <c r="L70" s="125">
        <v>0.3</v>
      </c>
      <c r="M70" s="125">
        <f t="shared" si="27"/>
        <v>-0.3470588235</v>
      </c>
      <c r="N70" s="124">
        <f t="shared" si="22"/>
        <v>243.6863636</v>
      </c>
      <c r="O70" s="126">
        <v>250.0</v>
      </c>
      <c r="P70" s="124">
        <f t="shared" si="3"/>
        <v>-6.313636364</v>
      </c>
      <c r="R70" s="113" t="s">
        <v>45</v>
      </c>
      <c r="S70" s="117">
        <f>S69/30</f>
        <v>4333.333333</v>
      </c>
    </row>
    <row r="71" hidden="1" outlineLevel="2">
      <c r="A71" s="132">
        <v>45904.0</v>
      </c>
      <c r="B71" s="329">
        <v>21.0</v>
      </c>
      <c r="C71" s="123">
        <v>100.0</v>
      </c>
      <c r="D71" s="123">
        <f t="shared" si="30"/>
        <v>-79</v>
      </c>
      <c r="E71" s="329">
        <v>14.0</v>
      </c>
      <c r="F71" s="123">
        <f t="shared" si="31"/>
        <v>20</v>
      </c>
      <c r="G71" s="123">
        <f t="shared" si="32"/>
        <v>-6</v>
      </c>
      <c r="H71" s="330">
        <v>2588.45</v>
      </c>
      <c r="I71" s="124">
        <f t="shared" si="33"/>
        <v>5000</v>
      </c>
      <c r="J71" s="124">
        <f t="shared" si="34"/>
        <v>-2411.55</v>
      </c>
      <c r="K71" s="125">
        <f t="shared" si="4"/>
        <v>0.6666666667</v>
      </c>
      <c r="L71" s="125">
        <v>0.3</v>
      </c>
      <c r="M71" s="125">
        <f t="shared" si="27"/>
        <v>-0.3666666667</v>
      </c>
      <c r="N71" s="124">
        <f t="shared" si="22"/>
        <v>184.8892857</v>
      </c>
      <c r="O71" s="126">
        <v>250.0</v>
      </c>
      <c r="P71" s="124">
        <f t="shared" si="3"/>
        <v>-65.11071429</v>
      </c>
      <c r="R71" s="113" t="s">
        <v>46</v>
      </c>
      <c r="S71" s="117">
        <f>S69/22</f>
        <v>5909.090909</v>
      </c>
    </row>
    <row r="72" hidden="1" outlineLevel="2">
      <c r="A72" s="132">
        <v>45905.0</v>
      </c>
      <c r="B72" s="329">
        <v>78.0</v>
      </c>
      <c r="C72" s="123">
        <v>100.0</v>
      </c>
      <c r="D72" s="123">
        <f t="shared" si="30"/>
        <v>-22</v>
      </c>
      <c r="E72" s="329">
        <v>21.0</v>
      </c>
      <c r="F72" s="123">
        <f t="shared" si="31"/>
        <v>20</v>
      </c>
      <c r="G72" s="123">
        <f t="shared" si="32"/>
        <v>1</v>
      </c>
      <c r="H72" s="330">
        <v>5506.52</v>
      </c>
      <c r="I72" s="124">
        <f t="shared" si="33"/>
        <v>5000</v>
      </c>
      <c r="J72" s="124">
        <f t="shared" si="34"/>
        <v>506.52</v>
      </c>
      <c r="K72" s="125">
        <f t="shared" si="4"/>
        <v>0.2692307692</v>
      </c>
      <c r="L72" s="125">
        <v>0.3</v>
      </c>
      <c r="M72" s="125">
        <f t="shared" si="27"/>
        <v>0.03076923077</v>
      </c>
      <c r="N72" s="124">
        <f t="shared" si="22"/>
        <v>262.2152381</v>
      </c>
      <c r="O72" s="126">
        <v>250.0</v>
      </c>
      <c r="P72" s="124">
        <f t="shared" si="3"/>
        <v>12.2152381</v>
      </c>
      <c r="R72" s="113" t="s">
        <v>7</v>
      </c>
      <c r="S72" s="117">
        <f>H67</f>
        <v>67646.63</v>
      </c>
    </row>
    <row r="73" hidden="1" outlineLevel="2">
      <c r="A73" s="132">
        <v>45906.0</v>
      </c>
      <c r="B73" s="329">
        <v>60.0</v>
      </c>
      <c r="C73" s="123">
        <v>100.0</v>
      </c>
      <c r="D73" s="123">
        <f t="shared" si="30"/>
        <v>-40</v>
      </c>
      <c r="E73" s="329">
        <v>4.0</v>
      </c>
      <c r="F73" s="123">
        <f t="shared" si="31"/>
        <v>20</v>
      </c>
      <c r="G73" s="123">
        <f t="shared" si="32"/>
        <v>-16</v>
      </c>
      <c r="H73" s="330">
        <v>2943.0</v>
      </c>
      <c r="I73" s="124">
        <f t="shared" si="33"/>
        <v>5000</v>
      </c>
      <c r="J73" s="124">
        <f t="shared" si="34"/>
        <v>-2057</v>
      </c>
      <c r="K73" s="125">
        <f t="shared" si="4"/>
        <v>0.06666666667</v>
      </c>
      <c r="L73" s="125">
        <v>0.3</v>
      </c>
      <c r="M73" s="125">
        <f t="shared" si="27"/>
        <v>0.2333333333</v>
      </c>
      <c r="N73" s="124">
        <f t="shared" si="22"/>
        <v>735.75</v>
      </c>
      <c r="O73" s="126">
        <v>250.0</v>
      </c>
      <c r="P73" s="124">
        <f t="shared" si="3"/>
        <v>485.75</v>
      </c>
      <c r="R73" s="113" t="s">
        <v>47</v>
      </c>
      <c r="S73" s="119">
        <f>S72/S69</f>
        <v>0.5203586923</v>
      </c>
    </row>
    <row r="74" hidden="1" outlineLevel="2">
      <c r="A74" s="132">
        <v>45907.0</v>
      </c>
      <c r="B74" s="331"/>
      <c r="C74" s="123">
        <v>100.0</v>
      </c>
      <c r="D74" s="123"/>
      <c r="E74" s="331"/>
      <c r="F74" s="123">
        <f t="shared" si="31"/>
        <v>20</v>
      </c>
      <c r="G74" s="123"/>
      <c r="H74" s="331"/>
      <c r="I74" s="124">
        <f t="shared" si="33"/>
        <v>5000</v>
      </c>
      <c r="J74" s="124"/>
      <c r="K74" s="125" t="str">
        <f t="shared" si="4"/>
        <v/>
      </c>
      <c r="L74" s="125"/>
      <c r="M74" s="129"/>
      <c r="N74" s="124" t="str">
        <f t="shared" si="22"/>
        <v/>
      </c>
      <c r="O74" s="126">
        <v>250.0</v>
      </c>
      <c r="P74" s="124">
        <f t="shared" si="3"/>
        <v>-250</v>
      </c>
      <c r="R74" s="113" t="s">
        <v>48</v>
      </c>
      <c r="S74" s="120">
        <v>12.0</v>
      </c>
    </row>
    <row r="75" hidden="1" outlineLevel="2">
      <c r="A75" s="132">
        <v>45908.0</v>
      </c>
      <c r="B75" s="329">
        <v>74.0</v>
      </c>
      <c r="C75" s="123">
        <v>100.0</v>
      </c>
      <c r="D75" s="123">
        <f t="shared" ref="D75:D97" si="35">B75-C75</f>
        <v>-26</v>
      </c>
      <c r="E75" s="329">
        <v>31.0</v>
      </c>
      <c r="F75" s="123">
        <f t="shared" si="31"/>
        <v>20</v>
      </c>
      <c r="G75" s="123">
        <f t="shared" ref="G75:G97" si="36">E75-F75</f>
        <v>11</v>
      </c>
      <c r="H75" s="330">
        <v>7152.47</v>
      </c>
      <c r="I75" s="124">
        <f t="shared" si="33"/>
        <v>5000</v>
      </c>
      <c r="J75" s="124">
        <f t="shared" ref="J75:J97" si="37">H75-I75</f>
        <v>2152.47</v>
      </c>
      <c r="K75" s="125">
        <f t="shared" si="4"/>
        <v>0.4189189189</v>
      </c>
      <c r="L75" s="125">
        <v>0.3</v>
      </c>
      <c r="M75" s="125">
        <f t="shared" ref="M75:M104" si="38">L75-K75</f>
        <v>-0.1189189189</v>
      </c>
      <c r="N75" s="124">
        <f t="shared" si="22"/>
        <v>230.7248387</v>
      </c>
      <c r="O75" s="126">
        <v>250.0</v>
      </c>
      <c r="P75" s="124">
        <f t="shared" si="3"/>
        <v>-19.27516129</v>
      </c>
      <c r="R75" s="113" t="s">
        <v>49</v>
      </c>
      <c r="S75" s="121">
        <f>(S69-S72)/S74</f>
        <v>5196.114167</v>
      </c>
    </row>
    <row r="76" hidden="1" outlineLevel="2">
      <c r="A76" s="132">
        <v>45909.0</v>
      </c>
      <c r="B76" s="329">
        <v>24.0</v>
      </c>
      <c r="C76" s="123">
        <v>100.0</v>
      </c>
      <c r="D76" s="123">
        <f t="shared" si="35"/>
        <v>-76</v>
      </c>
      <c r="E76" s="329">
        <v>23.0</v>
      </c>
      <c r="F76" s="123">
        <f t="shared" si="31"/>
        <v>20</v>
      </c>
      <c r="G76" s="123">
        <f t="shared" si="36"/>
        <v>3</v>
      </c>
      <c r="H76" s="330">
        <v>6463.67</v>
      </c>
      <c r="I76" s="124">
        <f t="shared" si="33"/>
        <v>5000</v>
      </c>
      <c r="J76" s="124">
        <f t="shared" si="37"/>
        <v>1463.67</v>
      </c>
      <c r="K76" s="125">
        <f t="shared" si="4"/>
        <v>0.9583333333</v>
      </c>
      <c r="L76" s="125">
        <v>0.3</v>
      </c>
      <c r="M76" s="125">
        <f t="shared" si="38"/>
        <v>-0.6583333333</v>
      </c>
      <c r="N76" s="124">
        <f t="shared" si="22"/>
        <v>281.0291304</v>
      </c>
      <c r="O76" s="126">
        <v>250.0</v>
      </c>
      <c r="P76" s="124">
        <f t="shared" si="3"/>
        <v>31.02913043</v>
      </c>
      <c r="R76" s="113" t="s">
        <v>50</v>
      </c>
      <c r="S76" s="122">
        <f>N67</f>
        <v>273.872996</v>
      </c>
    </row>
    <row r="77" hidden="1" outlineLevel="2">
      <c r="A77" s="132">
        <v>45910.0</v>
      </c>
      <c r="B77" s="329">
        <v>19.0</v>
      </c>
      <c r="C77" s="123">
        <v>100.0</v>
      </c>
      <c r="D77" s="123">
        <f t="shared" si="35"/>
        <v>-81</v>
      </c>
      <c r="E77" s="329">
        <v>16.0</v>
      </c>
      <c r="F77" s="123">
        <f t="shared" si="31"/>
        <v>20</v>
      </c>
      <c r="G77" s="123">
        <f t="shared" si="36"/>
        <v>-4</v>
      </c>
      <c r="H77" s="330">
        <v>5537.56</v>
      </c>
      <c r="I77" s="124">
        <f t="shared" si="33"/>
        <v>5000</v>
      </c>
      <c r="J77" s="124">
        <f t="shared" si="37"/>
        <v>537.56</v>
      </c>
      <c r="K77" s="125">
        <f t="shared" si="4"/>
        <v>0.8421052632</v>
      </c>
      <c r="L77" s="125">
        <v>0.3</v>
      </c>
      <c r="M77" s="125">
        <f t="shared" si="38"/>
        <v>-0.5421052632</v>
      </c>
      <c r="N77" s="124">
        <f t="shared" si="22"/>
        <v>346.0975</v>
      </c>
      <c r="O77" s="126">
        <v>250.0</v>
      </c>
      <c r="P77" s="124">
        <f t="shared" si="3"/>
        <v>96.0975</v>
      </c>
      <c r="R77" s="113" t="s">
        <v>51</v>
      </c>
      <c r="S77" s="128">
        <f>B67</f>
        <v>506</v>
      </c>
    </row>
    <row r="78" hidden="1" outlineLevel="2">
      <c r="A78" s="132">
        <v>45911.0</v>
      </c>
      <c r="B78" s="329">
        <v>36.0</v>
      </c>
      <c r="C78" s="123">
        <v>100.0</v>
      </c>
      <c r="D78" s="123">
        <f t="shared" si="35"/>
        <v>-64</v>
      </c>
      <c r="E78" s="329">
        <v>19.0</v>
      </c>
      <c r="F78" s="123">
        <f t="shared" si="31"/>
        <v>20</v>
      </c>
      <c r="G78" s="123">
        <f t="shared" si="36"/>
        <v>-1</v>
      </c>
      <c r="H78" s="330">
        <v>4379.13</v>
      </c>
      <c r="I78" s="124">
        <f t="shared" si="33"/>
        <v>5000</v>
      </c>
      <c r="J78" s="124">
        <f t="shared" si="37"/>
        <v>-620.87</v>
      </c>
      <c r="K78" s="125">
        <f t="shared" si="4"/>
        <v>0.5277777778</v>
      </c>
      <c r="L78" s="125">
        <v>0.3</v>
      </c>
      <c r="M78" s="125">
        <f t="shared" si="38"/>
        <v>-0.2277777778</v>
      </c>
      <c r="N78" s="124">
        <f t="shared" si="22"/>
        <v>230.4805263</v>
      </c>
      <c r="O78" s="126">
        <v>250.0</v>
      </c>
      <c r="P78" s="124">
        <f t="shared" si="3"/>
        <v>-19.51947368</v>
      </c>
      <c r="R78" s="113" t="s">
        <v>52</v>
      </c>
      <c r="S78" s="128">
        <f>E67</f>
        <v>247</v>
      </c>
    </row>
    <row r="79" hidden="1" outlineLevel="2">
      <c r="A79" s="132">
        <v>45912.0</v>
      </c>
      <c r="B79" s="329">
        <v>21.0</v>
      </c>
      <c r="C79" s="123">
        <v>100.0</v>
      </c>
      <c r="D79" s="123">
        <f t="shared" si="35"/>
        <v>-79</v>
      </c>
      <c r="E79" s="329">
        <v>19.0</v>
      </c>
      <c r="F79" s="123">
        <f t="shared" si="31"/>
        <v>20</v>
      </c>
      <c r="G79" s="123">
        <f t="shared" si="36"/>
        <v>-1</v>
      </c>
      <c r="H79" s="330">
        <v>5826.52</v>
      </c>
      <c r="I79" s="124">
        <f t="shared" si="33"/>
        <v>5000</v>
      </c>
      <c r="J79" s="124">
        <f t="shared" si="37"/>
        <v>826.52</v>
      </c>
      <c r="K79" s="125">
        <f t="shared" si="4"/>
        <v>0.9047619048</v>
      </c>
      <c r="L79" s="125">
        <v>0.3</v>
      </c>
      <c r="M79" s="125">
        <f t="shared" si="38"/>
        <v>-0.6047619048</v>
      </c>
      <c r="N79" s="124">
        <f t="shared" si="22"/>
        <v>306.6589474</v>
      </c>
      <c r="O79" s="126">
        <v>250.0</v>
      </c>
      <c r="P79" s="124">
        <f t="shared" si="3"/>
        <v>56.65894737</v>
      </c>
      <c r="R79" s="113" t="s">
        <v>4</v>
      </c>
      <c r="S79" s="119">
        <f>E67/B67</f>
        <v>0.4881422925</v>
      </c>
    </row>
    <row r="80" hidden="1" outlineLevel="2">
      <c r="A80" s="132">
        <v>45913.0</v>
      </c>
      <c r="B80" s="329">
        <v>1.0</v>
      </c>
      <c r="C80" s="123">
        <v>100.0</v>
      </c>
      <c r="D80" s="123">
        <f t="shared" si="35"/>
        <v>-99</v>
      </c>
      <c r="E80" s="331"/>
      <c r="F80" s="123">
        <f t="shared" si="31"/>
        <v>20</v>
      </c>
      <c r="G80" s="123">
        <f t="shared" si="36"/>
        <v>-20</v>
      </c>
      <c r="H80" s="331"/>
      <c r="I80" s="124">
        <f t="shared" si="33"/>
        <v>5000</v>
      </c>
      <c r="J80" s="124">
        <f t="shared" si="37"/>
        <v>-5000</v>
      </c>
      <c r="K80" s="125">
        <f t="shared" si="4"/>
        <v>0</v>
      </c>
      <c r="L80" s="125">
        <v>0.3</v>
      </c>
      <c r="M80" s="125">
        <f t="shared" si="38"/>
        <v>0.3</v>
      </c>
      <c r="N80" s="124" t="str">
        <f t="shared" si="22"/>
        <v/>
      </c>
      <c r="O80" s="126">
        <v>250.0</v>
      </c>
      <c r="P80" s="124">
        <f t="shared" si="3"/>
        <v>-250</v>
      </c>
      <c r="S80" s="94"/>
    </row>
    <row r="81" hidden="1" outlineLevel="2">
      <c r="A81" s="132">
        <v>45914.0</v>
      </c>
      <c r="B81" s="331"/>
      <c r="C81" s="123">
        <v>100.0</v>
      </c>
      <c r="D81" s="123">
        <f t="shared" si="35"/>
        <v>-100</v>
      </c>
      <c r="E81" s="329"/>
      <c r="F81" s="123">
        <f t="shared" si="31"/>
        <v>20</v>
      </c>
      <c r="G81" s="123">
        <f t="shared" si="36"/>
        <v>-20</v>
      </c>
      <c r="H81" s="331"/>
      <c r="I81" s="124">
        <f t="shared" si="33"/>
        <v>5000</v>
      </c>
      <c r="J81" s="124">
        <f t="shared" si="37"/>
        <v>-5000</v>
      </c>
      <c r="K81" s="125" t="str">
        <f t="shared" si="4"/>
        <v/>
      </c>
      <c r="L81" s="125">
        <v>0.3</v>
      </c>
      <c r="M81" s="125">
        <f t="shared" si="38"/>
        <v>0.3</v>
      </c>
      <c r="N81" s="124" t="str">
        <f t="shared" si="22"/>
        <v/>
      </c>
      <c r="O81" s="126">
        <v>250.0</v>
      </c>
      <c r="P81" s="124">
        <f t="shared" si="3"/>
        <v>-250</v>
      </c>
      <c r="S81" s="94"/>
    </row>
    <row r="82" hidden="1" outlineLevel="2">
      <c r="A82" s="132">
        <v>45915.0</v>
      </c>
      <c r="B82" s="331"/>
      <c r="C82" s="123">
        <v>100.0</v>
      </c>
      <c r="D82" s="123">
        <f t="shared" si="35"/>
        <v>-100</v>
      </c>
      <c r="E82" s="329"/>
      <c r="F82" s="123">
        <f t="shared" si="31"/>
        <v>20</v>
      </c>
      <c r="G82" s="123">
        <f t="shared" si="36"/>
        <v>-20</v>
      </c>
      <c r="H82" s="331"/>
      <c r="I82" s="124">
        <f t="shared" si="33"/>
        <v>5000</v>
      </c>
      <c r="J82" s="124">
        <f t="shared" si="37"/>
        <v>-5000</v>
      </c>
      <c r="K82" s="125" t="str">
        <f t="shared" si="4"/>
        <v/>
      </c>
      <c r="L82" s="125">
        <v>0.3</v>
      </c>
      <c r="M82" s="125">
        <f t="shared" si="38"/>
        <v>0.3</v>
      </c>
      <c r="N82" s="124" t="str">
        <f t="shared" si="22"/>
        <v/>
      </c>
      <c r="O82" s="126">
        <v>250.0</v>
      </c>
      <c r="P82" s="124">
        <f t="shared" si="3"/>
        <v>-250</v>
      </c>
      <c r="S82" s="94"/>
    </row>
    <row r="83" hidden="1" outlineLevel="2">
      <c r="A83" s="132">
        <v>45916.0</v>
      </c>
      <c r="B83" s="331"/>
      <c r="C83" s="123">
        <v>100.0</v>
      </c>
      <c r="D83" s="123">
        <f t="shared" si="35"/>
        <v>-100</v>
      </c>
      <c r="E83" s="329"/>
      <c r="F83" s="123">
        <f t="shared" si="31"/>
        <v>20</v>
      </c>
      <c r="G83" s="123">
        <f t="shared" si="36"/>
        <v>-20</v>
      </c>
      <c r="H83" s="331"/>
      <c r="I83" s="124">
        <f t="shared" si="33"/>
        <v>5000</v>
      </c>
      <c r="J83" s="124">
        <f t="shared" si="37"/>
        <v>-5000</v>
      </c>
      <c r="K83" s="125" t="str">
        <f t="shared" si="4"/>
        <v/>
      </c>
      <c r="L83" s="125">
        <v>0.3</v>
      </c>
      <c r="M83" s="125">
        <f t="shared" si="38"/>
        <v>0.3</v>
      </c>
      <c r="N83" s="124" t="str">
        <f t="shared" si="22"/>
        <v/>
      </c>
      <c r="O83" s="126">
        <v>250.0</v>
      </c>
      <c r="P83" s="124">
        <f t="shared" si="3"/>
        <v>-250</v>
      </c>
      <c r="S83" s="94"/>
    </row>
    <row r="84" hidden="1" outlineLevel="2">
      <c r="A84" s="132">
        <v>45917.0</v>
      </c>
      <c r="B84" s="331"/>
      <c r="C84" s="123">
        <v>100.0</v>
      </c>
      <c r="D84" s="123">
        <f t="shared" si="35"/>
        <v>-100</v>
      </c>
      <c r="E84" s="329"/>
      <c r="F84" s="123">
        <f t="shared" si="31"/>
        <v>20</v>
      </c>
      <c r="G84" s="123">
        <f t="shared" si="36"/>
        <v>-20</v>
      </c>
      <c r="H84" s="331"/>
      <c r="I84" s="124">
        <f t="shared" si="33"/>
        <v>5000</v>
      </c>
      <c r="J84" s="124">
        <f t="shared" si="37"/>
        <v>-5000</v>
      </c>
      <c r="K84" s="125" t="str">
        <f t="shared" si="4"/>
        <v/>
      </c>
      <c r="L84" s="125">
        <v>0.3</v>
      </c>
      <c r="M84" s="125">
        <f t="shared" si="38"/>
        <v>0.3</v>
      </c>
      <c r="N84" s="124" t="str">
        <f t="shared" si="22"/>
        <v/>
      </c>
      <c r="O84" s="126">
        <v>250.0</v>
      </c>
      <c r="P84" s="124">
        <f t="shared" si="3"/>
        <v>-250</v>
      </c>
      <c r="S84" s="94"/>
    </row>
    <row r="85" hidden="1" outlineLevel="2">
      <c r="A85" s="132">
        <v>45918.0</v>
      </c>
      <c r="B85" s="331"/>
      <c r="C85" s="123">
        <v>100.0</v>
      </c>
      <c r="D85" s="123">
        <f t="shared" si="35"/>
        <v>-100</v>
      </c>
      <c r="E85" s="329"/>
      <c r="F85" s="123">
        <f t="shared" si="31"/>
        <v>20</v>
      </c>
      <c r="G85" s="123">
        <f t="shared" si="36"/>
        <v>-20</v>
      </c>
      <c r="H85" s="331"/>
      <c r="I85" s="124">
        <f t="shared" si="33"/>
        <v>5000</v>
      </c>
      <c r="J85" s="124">
        <f t="shared" si="37"/>
        <v>-5000</v>
      </c>
      <c r="K85" s="125" t="str">
        <f t="shared" si="4"/>
        <v/>
      </c>
      <c r="L85" s="125">
        <v>0.3</v>
      </c>
      <c r="M85" s="125">
        <f t="shared" si="38"/>
        <v>0.3</v>
      </c>
      <c r="N85" s="124" t="str">
        <f t="shared" si="22"/>
        <v/>
      </c>
      <c r="O85" s="126">
        <v>250.0</v>
      </c>
      <c r="P85" s="124">
        <f t="shared" si="3"/>
        <v>-250</v>
      </c>
      <c r="S85" s="94"/>
    </row>
    <row r="86" hidden="1" outlineLevel="2">
      <c r="A86" s="132">
        <v>45919.0</v>
      </c>
      <c r="B86" s="331"/>
      <c r="C86" s="123">
        <v>100.0</v>
      </c>
      <c r="D86" s="123">
        <f t="shared" si="35"/>
        <v>-100</v>
      </c>
      <c r="E86" s="329"/>
      <c r="F86" s="123">
        <f t="shared" si="31"/>
        <v>20</v>
      </c>
      <c r="G86" s="123">
        <f t="shared" si="36"/>
        <v>-20</v>
      </c>
      <c r="H86" s="331"/>
      <c r="I86" s="124">
        <f t="shared" si="33"/>
        <v>5000</v>
      </c>
      <c r="J86" s="124">
        <f t="shared" si="37"/>
        <v>-5000</v>
      </c>
      <c r="K86" s="125" t="str">
        <f t="shared" si="4"/>
        <v/>
      </c>
      <c r="L86" s="125">
        <v>0.3</v>
      </c>
      <c r="M86" s="125">
        <f t="shared" si="38"/>
        <v>0.3</v>
      </c>
      <c r="N86" s="124" t="str">
        <f t="shared" si="22"/>
        <v/>
      </c>
      <c r="O86" s="126">
        <v>250.0</v>
      </c>
      <c r="P86" s="124">
        <f t="shared" si="3"/>
        <v>-250</v>
      </c>
      <c r="S86" s="94"/>
    </row>
    <row r="87" hidden="1" outlineLevel="2">
      <c r="A87" s="132">
        <v>45920.0</v>
      </c>
      <c r="B87" s="331"/>
      <c r="C87" s="123">
        <v>100.0</v>
      </c>
      <c r="D87" s="123">
        <f t="shared" si="35"/>
        <v>-100</v>
      </c>
      <c r="E87" s="331"/>
      <c r="F87" s="123">
        <f t="shared" si="31"/>
        <v>20</v>
      </c>
      <c r="G87" s="123">
        <f t="shared" si="36"/>
        <v>-20</v>
      </c>
      <c r="H87" s="331"/>
      <c r="I87" s="124">
        <f t="shared" si="33"/>
        <v>5000</v>
      </c>
      <c r="J87" s="124">
        <f t="shared" si="37"/>
        <v>-5000</v>
      </c>
      <c r="K87" s="125" t="str">
        <f t="shared" si="4"/>
        <v/>
      </c>
      <c r="L87" s="125">
        <v>0.3</v>
      </c>
      <c r="M87" s="125">
        <f t="shared" si="38"/>
        <v>0.3</v>
      </c>
      <c r="N87" s="124" t="str">
        <f t="shared" si="22"/>
        <v/>
      </c>
      <c r="O87" s="126">
        <v>250.0</v>
      </c>
      <c r="P87" s="124">
        <f t="shared" si="3"/>
        <v>-250</v>
      </c>
      <c r="S87" s="94"/>
    </row>
    <row r="88" hidden="1" outlineLevel="2">
      <c r="A88" s="132">
        <v>45921.0</v>
      </c>
      <c r="B88" s="331"/>
      <c r="C88" s="123">
        <v>100.0</v>
      </c>
      <c r="D88" s="123">
        <f t="shared" si="35"/>
        <v>-100</v>
      </c>
      <c r="E88" s="331"/>
      <c r="F88" s="123">
        <f t="shared" si="31"/>
        <v>20</v>
      </c>
      <c r="G88" s="123">
        <f t="shared" si="36"/>
        <v>-20</v>
      </c>
      <c r="H88" s="331"/>
      <c r="I88" s="124">
        <f t="shared" si="33"/>
        <v>5000</v>
      </c>
      <c r="J88" s="124">
        <f t="shared" si="37"/>
        <v>-5000</v>
      </c>
      <c r="K88" s="125" t="str">
        <f t="shared" si="4"/>
        <v/>
      </c>
      <c r="L88" s="125">
        <v>0.3</v>
      </c>
      <c r="M88" s="125">
        <f t="shared" si="38"/>
        <v>0.3</v>
      </c>
      <c r="N88" s="124" t="str">
        <f t="shared" si="22"/>
        <v/>
      </c>
      <c r="O88" s="126">
        <v>250.0</v>
      </c>
      <c r="P88" s="124">
        <f t="shared" si="3"/>
        <v>-250</v>
      </c>
      <c r="S88" s="94"/>
    </row>
    <row r="89" hidden="1" outlineLevel="2">
      <c r="A89" s="132">
        <v>45922.0</v>
      </c>
      <c r="B89" s="331"/>
      <c r="C89" s="123">
        <v>100.0</v>
      </c>
      <c r="D89" s="123">
        <f t="shared" si="35"/>
        <v>-100</v>
      </c>
      <c r="E89" s="331"/>
      <c r="F89" s="123">
        <f t="shared" si="31"/>
        <v>20</v>
      </c>
      <c r="G89" s="123">
        <f t="shared" si="36"/>
        <v>-20</v>
      </c>
      <c r="H89" s="331"/>
      <c r="I89" s="124">
        <f t="shared" si="33"/>
        <v>5000</v>
      </c>
      <c r="J89" s="124">
        <f t="shared" si="37"/>
        <v>-5000</v>
      </c>
      <c r="K89" s="125" t="str">
        <f t="shared" si="4"/>
        <v/>
      </c>
      <c r="L89" s="125">
        <v>0.3</v>
      </c>
      <c r="M89" s="125">
        <f t="shared" si="38"/>
        <v>0.3</v>
      </c>
      <c r="N89" s="124" t="str">
        <f t="shared" si="22"/>
        <v/>
      </c>
      <c r="O89" s="126">
        <v>250.0</v>
      </c>
      <c r="P89" s="124">
        <f t="shared" si="3"/>
        <v>-250</v>
      </c>
      <c r="S89" s="94"/>
    </row>
    <row r="90" hidden="1" outlineLevel="2">
      <c r="A90" s="132">
        <v>45923.0</v>
      </c>
      <c r="B90" s="331"/>
      <c r="C90" s="123">
        <v>100.0</v>
      </c>
      <c r="D90" s="123">
        <f t="shared" si="35"/>
        <v>-100</v>
      </c>
      <c r="E90" s="331"/>
      <c r="F90" s="123">
        <f t="shared" si="31"/>
        <v>20</v>
      </c>
      <c r="G90" s="123">
        <f t="shared" si="36"/>
        <v>-20</v>
      </c>
      <c r="H90" s="331"/>
      <c r="I90" s="124">
        <f t="shared" si="33"/>
        <v>5000</v>
      </c>
      <c r="J90" s="124">
        <f t="shared" si="37"/>
        <v>-5000</v>
      </c>
      <c r="K90" s="125" t="str">
        <f t="shared" si="4"/>
        <v/>
      </c>
      <c r="L90" s="125">
        <v>0.3</v>
      </c>
      <c r="M90" s="125">
        <f t="shared" si="38"/>
        <v>0.3</v>
      </c>
      <c r="N90" s="124" t="str">
        <f t="shared" si="22"/>
        <v/>
      </c>
      <c r="O90" s="126">
        <v>250.0</v>
      </c>
      <c r="P90" s="124">
        <f t="shared" si="3"/>
        <v>-250</v>
      </c>
      <c r="S90" s="94"/>
    </row>
    <row r="91" hidden="1" outlineLevel="2">
      <c r="A91" s="132">
        <v>45924.0</v>
      </c>
      <c r="B91" s="331"/>
      <c r="C91" s="123">
        <v>100.0</v>
      </c>
      <c r="D91" s="123">
        <f t="shared" si="35"/>
        <v>-100</v>
      </c>
      <c r="E91" s="331"/>
      <c r="F91" s="123">
        <f t="shared" si="31"/>
        <v>20</v>
      </c>
      <c r="G91" s="123">
        <f t="shared" si="36"/>
        <v>-20</v>
      </c>
      <c r="H91" s="331"/>
      <c r="I91" s="124">
        <f t="shared" si="33"/>
        <v>5000</v>
      </c>
      <c r="J91" s="124">
        <f t="shared" si="37"/>
        <v>-5000</v>
      </c>
      <c r="K91" s="125" t="str">
        <f t="shared" si="4"/>
        <v/>
      </c>
      <c r="L91" s="125">
        <v>0.3</v>
      </c>
      <c r="M91" s="125">
        <f t="shared" si="38"/>
        <v>0.3</v>
      </c>
      <c r="N91" s="124" t="str">
        <f t="shared" si="22"/>
        <v/>
      </c>
      <c r="O91" s="126">
        <v>250.0</v>
      </c>
      <c r="P91" s="124">
        <f t="shared" si="3"/>
        <v>-250</v>
      </c>
      <c r="S91" s="94"/>
    </row>
    <row r="92" hidden="1" outlineLevel="2">
      <c r="A92" s="132">
        <v>45925.0</v>
      </c>
      <c r="B92" s="331"/>
      <c r="C92" s="123">
        <v>100.0</v>
      </c>
      <c r="D92" s="123">
        <f t="shared" si="35"/>
        <v>-100</v>
      </c>
      <c r="E92" s="331"/>
      <c r="F92" s="123">
        <f t="shared" si="31"/>
        <v>20</v>
      </c>
      <c r="G92" s="123">
        <f t="shared" si="36"/>
        <v>-20</v>
      </c>
      <c r="H92" s="331"/>
      <c r="I92" s="124">
        <f t="shared" si="33"/>
        <v>5000</v>
      </c>
      <c r="J92" s="124">
        <f t="shared" si="37"/>
        <v>-5000</v>
      </c>
      <c r="K92" s="125" t="str">
        <f t="shared" si="4"/>
        <v/>
      </c>
      <c r="L92" s="125">
        <v>0.3</v>
      </c>
      <c r="M92" s="125">
        <f t="shared" si="38"/>
        <v>0.3</v>
      </c>
      <c r="N92" s="124" t="str">
        <f t="shared" si="22"/>
        <v/>
      </c>
      <c r="O92" s="126">
        <v>250.0</v>
      </c>
      <c r="P92" s="124">
        <f t="shared" si="3"/>
        <v>-250</v>
      </c>
      <c r="S92" s="94"/>
    </row>
    <row r="93" hidden="1" outlineLevel="2">
      <c r="A93" s="132">
        <v>45926.0</v>
      </c>
      <c r="B93" s="331"/>
      <c r="C93" s="123">
        <v>100.0</v>
      </c>
      <c r="D93" s="123">
        <f t="shared" si="35"/>
        <v>-100</v>
      </c>
      <c r="E93" s="331"/>
      <c r="F93" s="123">
        <f t="shared" si="31"/>
        <v>20</v>
      </c>
      <c r="G93" s="123">
        <f t="shared" si="36"/>
        <v>-20</v>
      </c>
      <c r="H93" s="331"/>
      <c r="I93" s="124">
        <f t="shared" si="33"/>
        <v>5000</v>
      </c>
      <c r="J93" s="124">
        <f t="shared" si="37"/>
        <v>-5000</v>
      </c>
      <c r="K93" s="125" t="str">
        <f t="shared" si="4"/>
        <v/>
      </c>
      <c r="L93" s="125">
        <v>0.3</v>
      </c>
      <c r="M93" s="125">
        <f t="shared" si="38"/>
        <v>0.3</v>
      </c>
      <c r="N93" s="124" t="str">
        <f t="shared" si="22"/>
        <v/>
      </c>
      <c r="O93" s="126">
        <v>250.0</v>
      </c>
      <c r="P93" s="124">
        <f t="shared" si="3"/>
        <v>-250</v>
      </c>
      <c r="S93" s="94"/>
    </row>
    <row r="94" hidden="1" outlineLevel="2">
      <c r="A94" s="132">
        <v>45927.0</v>
      </c>
      <c r="B94" s="331"/>
      <c r="C94" s="123">
        <v>100.0</v>
      </c>
      <c r="D94" s="123">
        <f t="shared" si="35"/>
        <v>-100</v>
      </c>
      <c r="E94" s="331"/>
      <c r="F94" s="123">
        <f t="shared" si="31"/>
        <v>20</v>
      </c>
      <c r="G94" s="123">
        <f t="shared" si="36"/>
        <v>-20</v>
      </c>
      <c r="H94" s="331"/>
      <c r="I94" s="124">
        <f t="shared" si="33"/>
        <v>5000</v>
      </c>
      <c r="J94" s="124">
        <f t="shared" si="37"/>
        <v>-5000</v>
      </c>
      <c r="K94" s="125" t="str">
        <f t="shared" si="4"/>
        <v/>
      </c>
      <c r="L94" s="125">
        <v>0.3</v>
      </c>
      <c r="M94" s="125">
        <f t="shared" si="38"/>
        <v>0.3</v>
      </c>
      <c r="N94" s="124" t="str">
        <f t="shared" si="22"/>
        <v/>
      </c>
      <c r="O94" s="126">
        <v>250.0</v>
      </c>
      <c r="P94" s="124">
        <f t="shared" si="3"/>
        <v>-250</v>
      </c>
      <c r="S94" s="94"/>
    </row>
    <row r="95" hidden="1" outlineLevel="2">
      <c r="A95" s="132">
        <v>45928.0</v>
      </c>
      <c r="B95" s="331"/>
      <c r="C95" s="123">
        <v>100.0</v>
      </c>
      <c r="D95" s="123">
        <f t="shared" si="35"/>
        <v>-100</v>
      </c>
      <c r="E95" s="331"/>
      <c r="F95" s="123">
        <f t="shared" si="31"/>
        <v>20</v>
      </c>
      <c r="G95" s="123">
        <f t="shared" si="36"/>
        <v>-20</v>
      </c>
      <c r="H95" s="331"/>
      <c r="I95" s="124">
        <f t="shared" si="33"/>
        <v>5000</v>
      </c>
      <c r="J95" s="124">
        <f t="shared" si="37"/>
        <v>-5000</v>
      </c>
      <c r="K95" s="125" t="str">
        <f t="shared" si="4"/>
        <v/>
      </c>
      <c r="L95" s="125">
        <v>0.3</v>
      </c>
      <c r="M95" s="125">
        <f t="shared" si="38"/>
        <v>0.3</v>
      </c>
      <c r="N95" s="124" t="str">
        <f t="shared" si="22"/>
        <v/>
      </c>
      <c r="O95" s="126">
        <v>250.0</v>
      </c>
      <c r="P95" s="124">
        <f t="shared" si="3"/>
        <v>-250</v>
      </c>
      <c r="S95" s="94"/>
    </row>
    <row r="96" hidden="1" outlineLevel="2">
      <c r="A96" s="132">
        <v>45929.0</v>
      </c>
      <c r="B96" s="329">
        <v>39.0</v>
      </c>
      <c r="C96" s="123">
        <v>100.0</v>
      </c>
      <c r="D96" s="123">
        <f t="shared" si="35"/>
        <v>-61</v>
      </c>
      <c r="E96" s="329">
        <v>25.0</v>
      </c>
      <c r="F96" s="123">
        <f t="shared" si="31"/>
        <v>20</v>
      </c>
      <c r="G96" s="123">
        <f t="shared" si="36"/>
        <v>5</v>
      </c>
      <c r="H96" s="329">
        <v>5514.73</v>
      </c>
      <c r="I96" s="124">
        <f t="shared" si="33"/>
        <v>5000</v>
      </c>
      <c r="J96" s="124">
        <f t="shared" si="37"/>
        <v>514.73</v>
      </c>
      <c r="K96" s="125">
        <f t="shared" si="4"/>
        <v>0.641025641</v>
      </c>
      <c r="L96" s="125">
        <v>0.3</v>
      </c>
      <c r="M96" s="125">
        <f t="shared" si="38"/>
        <v>-0.341025641</v>
      </c>
      <c r="N96" s="124">
        <f t="shared" si="22"/>
        <v>220.5892</v>
      </c>
      <c r="O96" s="126">
        <v>250.0</v>
      </c>
      <c r="P96" s="124">
        <f t="shared" si="3"/>
        <v>-29.4108</v>
      </c>
      <c r="S96" s="94"/>
    </row>
    <row r="97" hidden="1" outlineLevel="2">
      <c r="A97" s="132">
        <v>45930.0</v>
      </c>
      <c r="B97" s="329">
        <v>35.0</v>
      </c>
      <c r="C97" s="123">
        <v>100.0</v>
      </c>
      <c r="D97" s="123">
        <f t="shared" si="35"/>
        <v>-65</v>
      </c>
      <c r="E97" s="329">
        <v>17.0</v>
      </c>
      <c r="F97" s="123">
        <f t="shared" si="31"/>
        <v>20</v>
      </c>
      <c r="G97" s="123">
        <f t="shared" si="36"/>
        <v>-3</v>
      </c>
      <c r="H97" s="329">
        <v>3346.81</v>
      </c>
      <c r="I97" s="124">
        <f t="shared" si="33"/>
        <v>5000</v>
      </c>
      <c r="J97" s="124">
        <f t="shared" si="37"/>
        <v>-1653.19</v>
      </c>
      <c r="K97" s="125">
        <f t="shared" si="4"/>
        <v>0.4857142857</v>
      </c>
      <c r="L97" s="125">
        <v>0.3</v>
      </c>
      <c r="M97" s="125">
        <f t="shared" si="38"/>
        <v>-0.1857142857</v>
      </c>
      <c r="N97" s="124">
        <f t="shared" si="22"/>
        <v>196.8711765</v>
      </c>
      <c r="O97" s="126">
        <v>250.0</v>
      </c>
      <c r="P97" s="124">
        <f t="shared" si="3"/>
        <v>-53.12882353</v>
      </c>
      <c r="S97" s="94"/>
    </row>
    <row r="98" outlineLevel="1" collapsed="1">
      <c r="A98" s="100" t="s">
        <v>134</v>
      </c>
      <c r="B98" s="100">
        <f t="shared" ref="B98:J98" si="39">SUM(B99:B128)</f>
        <v>0</v>
      </c>
      <c r="C98" s="100">
        <f t="shared" si="39"/>
        <v>240</v>
      </c>
      <c r="D98" s="100">
        <f t="shared" si="39"/>
        <v>-220</v>
      </c>
      <c r="E98" s="100">
        <f t="shared" si="39"/>
        <v>151</v>
      </c>
      <c r="F98" s="100">
        <f t="shared" si="39"/>
        <v>66</v>
      </c>
      <c r="G98" s="100">
        <f t="shared" si="39"/>
        <v>85</v>
      </c>
      <c r="H98" s="102">
        <f t="shared" si="39"/>
        <v>29871.99</v>
      </c>
      <c r="I98" s="102">
        <f t="shared" si="39"/>
        <v>9900</v>
      </c>
      <c r="J98" s="102">
        <f t="shared" si="39"/>
        <v>19971.99</v>
      </c>
      <c r="K98" s="103" t="str">
        <f t="shared" si="4"/>
        <v/>
      </c>
      <c r="L98" s="103">
        <v>0.3</v>
      </c>
      <c r="M98" s="103">
        <f t="shared" si="38"/>
        <v>0.3</v>
      </c>
      <c r="N98" s="102">
        <f t="shared" si="22"/>
        <v>197.8277483</v>
      </c>
      <c r="O98" s="104">
        <v>250.0</v>
      </c>
      <c r="P98" s="102">
        <f t="shared" si="3"/>
        <v>-52.17225166</v>
      </c>
      <c r="Q98" s="90"/>
      <c r="R98" s="90"/>
      <c r="S98" s="91"/>
      <c r="T98" s="90"/>
      <c r="U98" s="90"/>
      <c r="V98" s="90"/>
      <c r="W98" s="90"/>
      <c r="X98" s="90"/>
      <c r="Y98" s="90"/>
      <c r="Z98" s="90"/>
      <c r="AA98" s="90"/>
      <c r="AB98" s="90"/>
    </row>
    <row r="99" hidden="1" outlineLevel="2">
      <c r="A99" s="132">
        <v>45901.0</v>
      </c>
      <c r="B99" s="329"/>
      <c r="C99" s="123">
        <v>20.0</v>
      </c>
      <c r="D99" s="123">
        <f t="shared" ref="D99:D104" si="40">B99-C99</f>
        <v>-20</v>
      </c>
      <c r="E99" s="329"/>
      <c r="F99" s="123">
        <f t="shared" ref="F99:F104" si="41">C99*30%</f>
        <v>6</v>
      </c>
      <c r="G99" s="123">
        <f t="shared" ref="G99:G104" si="42">E99-F99</f>
        <v>-6</v>
      </c>
      <c r="H99" s="330"/>
      <c r="I99" s="124">
        <f t="shared" ref="I99:I128" si="43">F99*O99</f>
        <v>900</v>
      </c>
      <c r="J99" s="124">
        <f t="shared" ref="J99:J104" si="44">H99-I99</f>
        <v>-900</v>
      </c>
      <c r="K99" s="125" t="str">
        <f t="shared" si="4"/>
        <v/>
      </c>
      <c r="L99" s="125">
        <v>0.3</v>
      </c>
      <c r="M99" s="125">
        <f t="shared" si="38"/>
        <v>0.3</v>
      </c>
      <c r="N99" s="124" t="str">
        <f t="shared" si="22"/>
        <v/>
      </c>
      <c r="O99" s="126">
        <v>150.0</v>
      </c>
      <c r="P99" s="124">
        <f t="shared" si="3"/>
        <v>-150</v>
      </c>
      <c r="R99" s="115" t="s">
        <v>131</v>
      </c>
    </row>
    <row r="100" hidden="1" outlineLevel="2">
      <c r="A100" s="132">
        <v>45902.0</v>
      </c>
      <c r="B100" s="329"/>
      <c r="C100" s="123">
        <v>20.0</v>
      </c>
      <c r="D100" s="123">
        <f t="shared" si="40"/>
        <v>-20</v>
      </c>
      <c r="E100" s="329"/>
      <c r="F100" s="123">
        <f t="shared" si="41"/>
        <v>6</v>
      </c>
      <c r="G100" s="123">
        <f t="shared" si="42"/>
        <v>-6</v>
      </c>
      <c r="H100" s="330"/>
      <c r="I100" s="124">
        <f t="shared" si="43"/>
        <v>900</v>
      </c>
      <c r="J100" s="124">
        <f t="shared" si="44"/>
        <v>-900</v>
      </c>
      <c r="K100" s="125" t="str">
        <f t="shared" si="4"/>
        <v/>
      </c>
      <c r="L100" s="125">
        <v>0.3</v>
      </c>
      <c r="M100" s="125">
        <f t="shared" si="38"/>
        <v>0.3</v>
      </c>
      <c r="N100" s="124" t="str">
        <f t="shared" si="22"/>
        <v/>
      </c>
      <c r="O100" s="126">
        <v>150.0</v>
      </c>
      <c r="P100" s="124">
        <f t="shared" si="3"/>
        <v>-150</v>
      </c>
      <c r="R100" s="113" t="s">
        <v>8</v>
      </c>
      <c r="S100" s="116">
        <v>16500.0</v>
      </c>
    </row>
    <row r="101" hidden="1" outlineLevel="2">
      <c r="A101" s="132">
        <v>45903.0</v>
      </c>
      <c r="B101" s="329"/>
      <c r="C101" s="123">
        <v>20.0</v>
      </c>
      <c r="D101" s="123">
        <f t="shared" si="40"/>
        <v>-20</v>
      </c>
      <c r="E101" s="329"/>
      <c r="F101" s="123">
        <f t="shared" si="41"/>
        <v>6</v>
      </c>
      <c r="G101" s="123">
        <f t="shared" si="42"/>
        <v>-6</v>
      </c>
      <c r="H101" s="330"/>
      <c r="I101" s="124">
        <f t="shared" si="43"/>
        <v>900</v>
      </c>
      <c r="J101" s="124">
        <f t="shared" si="44"/>
        <v>-900</v>
      </c>
      <c r="K101" s="125" t="str">
        <f t="shared" si="4"/>
        <v/>
      </c>
      <c r="L101" s="125">
        <v>0.3</v>
      </c>
      <c r="M101" s="125">
        <f t="shared" si="38"/>
        <v>0.3</v>
      </c>
      <c r="N101" s="124" t="str">
        <f t="shared" si="22"/>
        <v/>
      </c>
      <c r="O101" s="126">
        <v>150.0</v>
      </c>
      <c r="P101" s="124">
        <f t="shared" si="3"/>
        <v>-150</v>
      </c>
      <c r="R101" s="113" t="s">
        <v>45</v>
      </c>
      <c r="S101" s="117">
        <f>S100/30</f>
        <v>550</v>
      </c>
    </row>
    <row r="102" hidden="1" outlineLevel="2">
      <c r="A102" s="132">
        <v>45904.0</v>
      </c>
      <c r="B102" s="329"/>
      <c r="C102" s="123">
        <v>20.0</v>
      </c>
      <c r="D102" s="123">
        <f t="shared" si="40"/>
        <v>-20</v>
      </c>
      <c r="E102" s="329"/>
      <c r="F102" s="123">
        <f t="shared" si="41"/>
        <v>6</v>
      </c>
      <c r="G102" s="123">
        <f t="shared" si="42"/>
        <v>-6</v>
      </c>
      <c r="H102" s="330"/>
      <c r="I102" s="124">
        <f t="shared" si="43"/>
        <v>900</v>
      </c>
      <c r="J102" s="124">
        <f t="shared" si="44"/>
        <v>-900</v>
      </c>
      <c r="K102" s="125" t="str">
        <f t="shared" si="4"/>
        <v/>
      </c>
      <c r="L102" s="125">
        <v>0.3</v>
      </c>
      <c r="M102" s="125">
        <f t="shared" si="38"/>
        <v>0.3</v>
      </c>
      <c r="N102" s="124" t="str">
        <f t="shared" si="22"/>
        <v/>
      </c>
      <c r="O102" s="126">
        <v>150.0</v>
      </c>
      <c r="P102" s="124">
        <f t="shared" si="3"/>
        <v>-150</v>
      </c>
      <c r="R102" s="113" t="s">
        <v>46</v>
      </c>
      <c r="S102" s="117">
        <f>S100/22</f>
        <v>750</v>
      </c>
    </row>
    <row r="103" hidden="1" outlineLevel="2">
      <c r="A103" s="132">
        <v>45905.0</v>
      </c>
      <c r="B103" s="329"/>
      <c r="C103" s="123">
        <v>20.0</v>
      </c>
      <c r="D103" s="123">
        <f t="shared" si="40"/>
        <v>-20</v>
      </c>
      <c r="E103" s="329"/>
      <c r="F103" s="123">
        <f t="shared" si="41"/>
        <v>6</v>
      </c>
      <c r="G103" s="123">
        <f t="shared" si="42"/>
        <v>-6</v>
      </c>
      <c r="H103" s="330"/>
      <c r="I103" s="124">
        <f t="shared" si="43"/>
        <v>900</v>
      </c>
      <c r="J103" s="124">
        <f t="shared" si="44"/>
        <v>-900</v>
      </c>
      <c r="K103" s="125" t="str">
        <f t="shared" si="4"/>
        <v/>
      </c>
      <c r="L103" s="125">
        <v>0.3</v>
      </c>
      <c r="M103" s="125">
        <f t="shared" si="38"/>
        <v>0.3</v>
      </c>
      <c r="N103" s="124" t="str">
        <f t="shared" si="22"/>
        <v/>
      </c>
      <c r="O103" s="126">
        <v>150.0</v>
      </c>
      <c r="P103" s="124">
        <f t="shared" si="3"/>
        <v>-150</v>
      </c>
      <c r="R103" s="113" t="s">
        <v>7</v>
      </c>
      <c r="S103" s="117">
        <f>H98</f>
        <v>29871.99</v>
      </c>
    </row>
    <row r="104" hidden="1" outlineLevel="2">
      <c r="A104" s="132">
        <v>45906.0</v>
      </c>
      <c r="B104" s="329"/>
      <c r="C104" s="123">
        <v>20.0</v>
      </c>
      <c r="D104" s="123">
        <f t="shared" si="40"/>
        <v>-20</v>
      </c>
      <c r="E104" s="329"/>
      <c r="F104" s="123">
        <f t="shared" si="41"/>
        <v>6</v>
      </c>
      <c r="G104" s="123">
        <f t="shared" si="42"/>
        <v>-6</v>
      </c>
      <c r="H104" s="330"/>
      <c r="I104" s="124">
        <f t="shared" si="43"/>
        <v>900</v>
      </c>
      <c r="J104" s="124">
        <f t="shared" si="44"/>
        <v>-900</v>
      </c>
      <c r="K104" s="125" t="str">
        <f t="shared" si="4"/>
        <v/>
      </c>
      <c r="L104" s="125">
        <v>0.3</v>
      </c>
      <c r="M104" s="125">
        <f t="shared" si="38"/>
        <v>0.3</v>
      </c>
      <c r="N104" s="124" t="str">
        <f t="shared" si="22"/>
        <v/>
      </c>
      <c r="O104" s="126">
        <v>150.0</v>
      </c>
      <c r="P104" s="124">
        <f t="shared" si="3"/>
        <v>-150</v>
      </c>
      <c r="R104" s="113" t="s">
        <v>47</v>
      </c>
      <c r="S104" s="119">
        <f>S103/S100</f>
        <v>1.810423636</v>
      </c>
    </row>
    <row r="105" hidden="1" outlineLevel="2">
      <c r="A105" s="132">
        <v>45907.0</v>
      </c>
      <c r="B105" s="331"/>
      <c r="C105" s="123">
        <v>20.0</v>
      </c>
      <c r="D105" s="123"/>
      <c r="E105" s="331"/>
      <c r="F105" s="123"/>
      <c r="G105" s="123"/>
      <c r="H105" s="331"/>
      <c r="I105" s="124">
        <f t="shared" si="43"/>
        <v>0</v>
      </c>
      <c r="J105" s="124"/>
      <c r="K105" s="125" t="str">
        <f t="shared" si="4"/>
        <v/>
      </c>
      <c r="L105" s="125"/>
      <c r="M105" s="129"/>
      <c r="N105" s="124" t="str">
        <f t="shared" si="22"/>
        <v/>
      </c>
      <c r="O105" s="126">
        <v>150.0</v>
      </c>
      <c r="P105" s="124">
        <f t="shared" si="3"/>
        <v>-150</v>
      </c>
      <c r="R105" s="113" t="s">
        <v>48</v>
      </c>
      <c r="S105" s="120">
        <v>12.0</v>
      </c>
    </row>
    <row r="106" hidden="1" outlineLevel="2">
      <c r="A106" s="132">
        <v>45908.0</v>
      </c>
      <c r="B106" s="329"/>
      <c r="C106" s="123">
        <v>20.0</v>
      </c>
      <c r="D106" s="123">
        <f t="shared" ref="D106:D128" si="45">B106-C106</f>
        <v>-20</v>
      </c>
      <c r="E106" s="329"/>
      <c r="F106" s="123">
        <f t="shared" ref="F106:F128" si="46">C106*30%</f>
        <v>6</v>
      </c>
      <c r="G106" s="123">
        <f t="shared" ref="G106:G128" si="47">E106-F106</f>
        <v>-6</v>
      </c>
      <c r="H106" s="330"/>
      <c r="I106" s="124">
        <f t="shared" si="43"/>
        <v>900</v>
      </c>
      <c r="J106" s="124">
        <f t="shared" ref="J106:J128" si="48">H106-I106</f>
        <v>-900</v>
      </c>
      <c r="K106" s="125" t="str">
        <f t="shared" si="4"/>
        <v/>
      </c>
      <c r="L106" s="125">
        <v>0.3</v>
      </c>
      <c r="M106" s="125">
        <f t="shared" ref="M106:M128" si="49">L106-K106</f>
        <v>0.3</v>
      </c>
      <c r="N106" s="124" t="str">
        <f t="shared" si="22"/>
        <v/>
      </c>
      <c r="O106" s="126">
        <v>150.0</v>
      </c>
      <c r="P106" s="124">
        <f t="shared" si="3"/>
        <v>-150</v>
      </c>
      <c r="R106" s="113" t="s">
        <v>49</v>
      </c>
      <c r="S106" s="121">
        <f>(S100-S103)/S105</f>
        <v>-1114.3325</v>
      </c>
    </row>
    <row r="107" hidden="1" outlineLevel="2">
      <c r="A107" s="132">
        <v>45909.0</v>
      </c>
      <c r="B107" s="329"/>
      <c r="C107" s="123">
        <v>20.0</v>
      </c>
      <c r="D107" s="123">
        <f t="shared" si="45"/>
        <v>-20</v>
      </c>
      <c r="E107" s="329">
        <v>15.0</v>
      </c>
      <c r="F107" s="123">
        <f t="shared" si="46"/>
        <v>6</v>
      </c>
      <c r="G107" s="123">
        <f t="shared" si="47"/>
        <v>9</v>
      </c>
      <c r="H107" s="330">
        <v>2569.67</v>
      </c>
      <c r="I107" s="124">
        <f t="shared" si="43"/>
        <v>900</v>
      </c>
      <c r="J107" s="124">
        <f t="shared" si="48"/>
        <v>1669.67</v>
      </c>
      <c r="K107" s="125" t="str">
        <f t="shared" si="4"/>
        <v/>
      </c>
      <c r="L107" s="125">
        <v>0.3</v>
      </c>
      <c r="M107" s="125">
        <f t="shared" si="49"/>
        <v>0.3</v>
      </c>
      <c r="N107" s="124">
        <f t="shared" si="22"/>
        <v>171.3113333</v>
      </c>
      <c r="O107" s="126">
        <v>150.0</v>
      </c>
      <c r="P107" s="124">
        <f t="shared" si="3"/>
        <v>21.31133333</v>
      </c>
      <c r="R107" s="113" t="s">
        <v>50</v>
      </c>
      <c r="S107" s="122">
        <f>N98</f>
        <v>197.8277483</v>
      </c>
    </row>
    <row r="108" hidden="1" outlineLevel="2">
      <c r="A108" s="132">
        <v>45910.0</v>
      </c>
      <c r="B108" s="329"/>
      <c r="C108" s="123">
        <v>20.0</v>
      </c>
      <c r="D108" s="123">
        <f t="shared" si="45"/>
        <v>-20</v>
      </c>
      <c r="E108" s="329">
        <v>16.0</v>
      </c>
      <c r="F108" s="123">
        <f t="shared" si="46"/>
        <v>6</v>
      </c>
      <c r="G108" s="123">
        <f t="shared" si="47"/>
        <v>10</v>
      </c>
      <c r="H108" s="330">
        <v>2750.67</v>
      </c>
      <c r="I108" s="124">
        <f t="shared" si="43"/>
        <v>900</v>
      </c>
      <c r="J108" s="124">
        <f t="shared" si="48"/>
        <v>1850.67</v>
      </c>
      <c r="K108" s="125" t="str">
        <f t="shared" si="4"/>
        <v/>
      </c>
      <c r="L108" s="125">
        <v>0.3</v>
      </c>
      <c r="M108" s="125">
        <f t="shared" si="49"/>
        <v>0.3</v>
      </c>
      <c r="N108" s="124">
        <f t="shared" si="22"/>
        <v>171.916875</v>
      </c>
      <c r="O108" s="126">
        <v>150.0</v>
      </c>
      <c r="P108" s="124">
        <f t="shared" si="3"/>
        <v>21.916875</v>
      </c>
      <c r="R108" s="113" t="s">
        <v>51</v>
      </c>
      <c r="S108" s="128">
        <f>B98</f>
        <v>0</v>
      </c>
    </row>
    <row r="109" hidden="1" outlineLevel="2">
      <c r="A109" s="132">
        <v>45911.0</v>
      </c>
      <c r="B109" s="329"/>
      <c r="C109" s="123">
        <v>20.0</v>
      </c>
      <c r="D109" s="123">
        <f t="shared" si="45"/>
        <v>-20</v>
      </c>
      <c r="E109" s="329">
        <v>4.0</v>
      </c>
      <c r="F109" s="123">
        <f t="shared" si="46"/>
        <v>6</v>
      </c>
      <c r="G109" s="123">
        <f t="shared" si="47"/>
        <v>-2</v>
      </c>
      <c r="H109" s="330">
        <v>927.12</v>
      </c>
      <c r="I109" s="124">
        <f t="shared" si="43"/>
        <v>900</v>
      </c>
      <c r="J109" s="124">
        <f t="shared" si="48"/>
        <v>27.12</v>
      </c>
      <c r="K109" s="125" t="str">
        <f t="shared" si="4"/>
        <v/>
      </c>
      <c r="L109" s="125">
        <v>0.3</v>
      </c>
      <c r="M109" s="125">
        <f t="shared" si="49"/>
        <v>0.3</v>
      </c>
      <c r="N109" s="124">
        <f t="shared" si="22"/>
        <v>231.78</v>
      </c>
      <c r="O109" s="126">
        <v>150.0</v>
      </c>
      <c r="P109" s="124">
        <f t="shared" si="3"/>
        <v>81.78</v>
      </c>
      <c r="R109" s="113" t="s">
        <v>52</v>
      </c>
      <c r="S109" s="128">
        <f>E98</f>
        <v>151</v>
      </c>
    </row>
    <row r="110" hidden="1" outlineLevel="2">
      <c r="A110" s="132">
        <v>45912.0</v>
      </c>
      <c r="B110" s="329"/>
      <c r="C110" s="123">
        <v>20.0</v>
      </c>
      <c r="D110" s="123">
        <f t="shared" si="45"/>
        <v>-20</v>
      </c>
      <c r="E110" s="329">
        <v>1.0</v>
      </c>
      <c r="F110" s="123">
        <f t="shared" si="46"/>
        <v>6</v>
      </c>
      <c r="G110" s="123">
        <f t="shared" si="47"/>
        <v>-5</v>
      </c>
      <c r="H110" s="330">
        <v>1525.92</v>
      </c>
      <c r="I110" s="124">
        <f t="shared" si="43"/>
        <v>900</v>
      </c>
      <c r="J110" s="124">
        <f t="shared" si="48"/>
        <v>625.92</v>
      </c>
      <c r="K110" s="125" t="str">
        <f t="shared" si="4"/>
        <v/>
      </c>
      <c r="L110" s="125">
        <v>0.3</v>
      </c>
      <c r="M110" s="125">
        <f t="shared" si="49"/>
        <v>0.3</v>
      </c>
      <c r="N110" s="124">
        <f t="shared" si="22"/>
        <v>1525.92</v>
      </c>
      <c r="O110" s="126">
        <v>150.0</v>
      </c>
      <c r="P110" s="124">
        <f t="shared" si="3"/>
        <v>1375.92</v>
      </c>
      <c r="R110" s="113" t="s">
        <v>4</v>
      </c>
      <c r="S110" s="119" t="str">
        <f>E98/B98</f>
        <v>#DIV/0!</v>
      </c>
    </row>
    <row r="111" hidden="1" outlineLevel="2">
      <c r="A111" s="132">
        <v>45913.0</v>
      </c>
      <c r="B111" s="331"/>
      <c r="C111" s="123"/>
      <c r="D111" s="123">
        <f t="shared" si="45"/>
        <v>0</v>
      </c>
      <c r="E111" s="329">
        <v>5.0</v>
      </c>
      <c r="F111" s="123">
        <f t="shared" si="46"/>
        <v>0</v>
      </c>
      <c r="G111" s="123">
        <f t="shared" si="47"/>
        <v>5</v>
      </c>
      <c r="H111" s="334">
        <v>911.77</v>
      </c>
      <c r="I111" s="124">
        <f t="shared" si="43"/>
        <v>0</v>
      </c>
      <c r="J111" s="124">
        <f t="shared" si="48"/>
        <v>911.77</v>
      </c>
      <c r="K111" s="125" t="str">
        <f t="shared" si="4"/>
        <v/>
      </c>
      <c r="L111" s="125">
        <v>0.3</v>
      </c>
      <c r="M111" s="125">
        <f t="shared" si="49"/>
        <v>0.3</v>
      </c>
      <c r="N111" s="124">
        <f t="shared" si="22"/>
        <v>182.354</v>
      </c>
      <c r="O111" s="126">
        <v>150.0</v>
      </c>
      <c r="P111" s="124">
        <f t="shared" si="3"/>
        <v>32.354</v>
      </c>
      <c r="S111" s="94"/>
    </row>
    <row r="112" hidden="1" outlineLevel="2">
      <c r="A112" s="132">
        <v>45914.0</v>
      </c>
      <c r="B112" s="331"/>
      <c r="C112" s="123"/>
      <c r="D112" s="123">
        <f t="shared" si="45"/>
        <v>0</v>
      </c>
      <c r="E112" s="329"/>
      <c r="F112" s="123">
        <f t="shared" si="46"/>
        <v>0</v>
      </c>
      <c r="G112" s="123">
        <f t="shared" si="47"/>
        <v>0</v>
      </c>
      <c r="H112" s="331"/>
      <c r="I112" s="124">
        <f t="shared" si="43"/>
        <v>0</v>
      </c>
      <c r="J112" s="124">
        <f t="shared" si="48"/>
        <v>0</v>
      </c>
      <c r="K112" s="125" t="str">
        <f t="shared" si="4"/>
        <v/>
      </c>
      <c r="L112" s="125">
        <v>0.3</v>
      </c>
      <c r="M112" s="125">
        <f t="shared" si="49"/>
        <v>0.3</v>
      </c>
      <c r="N112" s="124" t="str">
        <f t="shared" si="22"/>
        <v/>
      </c>
      <c r="O112" s="126">
        <v>150.0</v>
      </c>
      <c r="P112" s="124">
        <f t="shared" si="3"/>
        <v>-150</v>
      </c>
      <c r="S112" s="94"/>
    </row>
    <row r="113" hidden="1" outlineLevel="2">
      <c r="A113" s="132">
        <v>45915.0</v>
      </c>
      <c r="B113" s="331"/>
      <c r="C113" s="123"/>
      <c r="D113" s="123">
        <f t="shared" si="45"/>
        <v>0</v>
      </c>
      <c r="E113" s="329">
        <v>12.0</v>
      </c>
      <c r="F113" s="123">
        <f t="shared" si="46"/>
        <v>0</v>
      </c>
      <c r="G113" s="123">
        <f t="shared" si="47"/>
        <v>12</v>
      </c>
      <c r="H113" s="329">
        <v>1851.34</v>
      </c>
      <c r="I113" s="124">
        <f t="shared" si="43"/>
        <v>0</v>
      </c>
      <c r="J113" s="124">
        <f t="shared" si="48"/>
        <v>1851.34</v>
      </c>
      <c r="K113" s="125" t="str">
        <f t="shared" si="4"/>
        <v/>
      </c>
      <c r="L113" s="125">
        <v>0.3</v>
      </c>
      <c r="M113" s="125">
        <f t="shared" si="49"/>
        <v>0.3</v>
      </c>
      <c r="N113" s="124">
        <f t="shared" si="22"/>
        <v>154.2783333</v>
      </c>
      <c r="O113" s="126">
        <v>150.0</v>
      </c>
      <c r="P113" s="124">
        <f t="shared" si="3"/>
        <v>4.278333333</v>
      </c>
      <c r="S113" s="94"/>
    </row>
    <row r="114" hidden="1" outlineLevel="2">
      <c r="A114" s="132">
        <v>45916.0</v>
      </c>
      <c r="B114" s="331"/>
      <c r="C114" s="123"/>
      <c r="D114" s="123">
        <f t="shared" si="45"/>
        <v>0</v>
      </c>
      <c r="E114" s="329">
        <v>10.0</v>
      </c>
      <c r="F114" s="123">
        <f t="shared" si="46"/>
        <v>0</v>
      </c>
      <c r="G114" s="123">
        <f t="shared" si="47"/>
        <v>10</v>
      </c>
      <c r="H114" s="329">
        <v>2085.29</v>
      </c>
      <c r="I114" s="124">
        <f t="shared" si="43"/>
        <v>0</v>
      </c>
      <c r="J114" s="124">
        <f t="shared" si="48"/>
        <v>2085.29</v>
      </c>
      <c r="K114" s="125" t="str">
        <f t="shared" si="4"/>
        <v/>
      </c>
      <c r="L114" s="125">
        <v>0.3</v>
      </c>
      <c r="M114" s="125">
        <f t="shared" si="49"/>
        <v>0.3</v>
      </c>
      <c r="N114" s="124">
        <f t="shared" si="22"/>
        <v>208.529</v>
      </c>
      <c r="O114" s="126">
        <v>150.0</v>
      </c>
      <c r="P114" s="124">
        <f t="shared" si="3"/>
        <v>58.529</v>
      </c>
      <c r="S114" s="94"/>
    </row>
    <row r="115" hidden="1" outlineLevel="2">
      <c r="A115" s="132">
        <v>45917.0</v>
      </c>
      <c r="B115" s="331"/>
      <c r="C115" s="123"/>
      <c r="D115" s="123">
        <f t="shared" si="45"/>
        <v>0</v>
      </c>
      <c r="E115" s="329">
        <v>10.0</v>
      </c>
      <c r="F115" s="123">
        <f t="shared" si="46"/>
        <v>0</v>
      </c>
      <c r="G115" s="123">
        <f t="shared" si="47"/>
        <v>10</v>
      </c>
      <c r="H115" s="329">
        <v>1276.34</v>
      </c>
      <c r="I115" s="124">
        <f t="shared" si="43"/>
        <v>0</v>
      </c>
      <c r="J115" s="124">
        <f t="shared" si="48"/>
        <v>1276.34</v>
      </c>
      <c r="K115" s="125" t="str">
        <f t="shared" si="4"/>
        <v/>
      </c>
      <c r="L115" s="125">
        <v>0.3</v>
      </c>
      <c r="M115" s="125">
        <f t="shared" si="49"/>
        <v>0.3</v>
      </c>
      <c r="N115" s="124">
        <f t="shared" si="22"/>
        <v>127.634</v>
      </c>
      <c r="O115" s="126">
        <v>150.0</v>
      </c>
      <c r="P115" s="124">
        <f t="shared" si="3"/>
        <v>-22.366</v>
      </c>
      <c r="S115" s="94"/>
    </row>
    <row r="116" hidden="1" outlineLevel="2">
      <c r="A116" s="132">
        <v>45918.0</v>
      </c>
      <c r="B116" s="331"/>
      <c r="C116" s="123"/>
      <c r="D116" s="123">
        <f t="shared" si="45"/>
        <v>0</v>
      </c>
      <c r="E116" s="329">
        <v>8.0</v>
      </c>
      <c r="F116" s="123">
        <f t="shared" si="46"/>
        <v>0</v>
      </c>
      <c r="G116" s="123">
        <f t="shared" si="47"/>
        <v>8</v>
      </c>
      <c r="H116" s="329">
        <v>3075.43</v>
      </c>
      <c r="I116" s="124">
        <f t="shared" si="43"/>
        <v>0</v>
      </c>
      <c r="J116" s="124">
        <f t="shared" si="48"/>
        <v>3075.43</v>
      </c>
      <c r="K116" s="125" t="str">
        <f t="shared" si="4"/>
        <v/>
      </c>
      <c r="L116" s="125">
        <v>0.3</v>
      </c>
      <c r="M116" s="125">
        <f t="shared" si="49"/>
        <v>0.3</v>
      </c>
      <c r="N116" s="124">
        <f t="shared" si="22"/>
        <v>384.42875</v>
      </c>
      <c r="O116" s="126">
        <v>150.0</v>
      </c>
      <c r="P116" s="124">
        <f t="shared" si="3"/>
        <v>234.42875</v>
      </c>
      <c r="S116" s="94"/>
    </row>
    <row r="117" hidden="1" outlineLevel="2">
      <c r="A117" s="132">
        <v>45919.0</v>
      </c>
      <c r="B117" s="331"/>
      <c r="C117" s="123"/>
      <c r="D117" s="123">
        <f t="shared" si="45"/>
        <v>0</v>
      </c>
      <c r="E117" s="329"/>
      <c r="F117" s="123">
        <f t="shared" si="46"/>
        <v>0</v>
      </c>
      <c r="G117" s="123">
        <f t="shared" si="47"/>
        <v>0</v>
      </c>
      <c r="H117" s="331"/>
      <c r="I117" s="124">
        <f t="shared" si="43"/>
        <v>0</v>
      </c>
      <c r="J117" s="124">
        <f t="shared" si="48"/>
        <v>0</v>
      </c>
      <c r="K117" s="125" t="str">
        <f t="shared" si="4"/>
        <v/>
      </c>
      <c r="L117" s="125">
        <v>0.3</v>
      </c>
      <c r="M117" s="125">
        <f t="shared" si="49"/>
        <v>0.3</v>
      </c>
      <c r="N117" s="124" t="str">
        <f t="shared" si="22"/>
        <v/>
      </c>
      <c r="O117" s="126">
        <v>150.0</v>
      </c>
      <c r="P117" s="124">
        <f t="shared" si="3"/>
        <v>-150</v>
      </c>
      <c r="S117" s="94"/>
    </row>
    <row r="118" hidden="1" outlineLevel="2">
      <c r="A118" s="132">
        <v>45920.0</v>
      </c>
      <c r="B118" s="331"/>
      <c r="C118" s="123"/>
      <c r="D118" s="123">
        <f t="shared" si="45"/>
        <v>0</v>
      </c>
      <c r="E118" s="331"/>
      <c r="F118" s="123">
        <f t="shared" si="46"/>
        <v>0</v>
      </c>
      <c r="G118" s="123">
        <f t="shared" si="47"/>
        <v>0</v>
      </c>
      <c r="H118" s="331"/>
      <c r="I118" s="124">
        <f t="shared" si="43"/>
        <v>0</v>
      </c>
      <c r="J118" s="124">
        <f t="shared" si="48"/>
        <v>0</v>
      </c>
      <c r="K118" s="125" t="str">
        <f t="shared" si="4"/>
        <v/>
      </c>
      <c r="L118" s="125">
        <v>0.3</v>
      </c>
      <c r="M118" s="125">
        <f t="shared" si="49"/>
        <v>0.3</v>
      </c>
      <c r="N118" s="124" t="str">
        <f t="shared" si="22"/>
        <v/>
      </c>
      <c r="O118" s="126">
        <v>150.0</v>
      </c>
      <c r="P118" s="124">
        <f t="shared" si="3"/>
        <v>-150</v>
      </c>
      <c r="S118" s="94"/>
    </row>
    <row r="119" hidden="1" outlineLevel="2">
      <c r="A119" s="132">
        <v>45921.0</v>
      </c>
      <c r="B119" s="331"/>
      <c r="C119" s="123"/>
      <c r="D119" s="123">
        <f t="shared" si="45"/>
        <v>0</v>
      </c>
      <c r="E119" s="331"/>
      <c r="F119" s="123">
        <f t="shared" si="46"/>
        <v>0</v>
      </c>
      <c r="G119" s="123">
        <f t="shared" si="47"/>
        <v>0</v>
      </c>
      <c r="H119" s="331"/>
      <c r="I119" s="124">
        <f t="shared" si="43"/>
        <v>0</v>
      </c>
      <c r="J119" s="124">
        <f t="shared" si="48"/>
        <v>0</v>
      </c>
      <c r="K119" s="125" t="str">
        <f t="shared" si="4"/>
        <v/>
      </c>
      <c r="L119" s="125">
        <v>0.3</v>
      </c>
      <c r="M119" s="125">
        <f t="shared" si="49"/>
        <v>0.3</v>
      </c>
      <c r="N119" s="124" t="str">
        <f t="shared" si="22"/>
        <v/>
      </c>
      <c r="O119" s="126">
        <v>150.0</v>
      </c>
      <c r="P119" s="124">
        <f t="shared" si="3"/>
        <v>-150</v>
      </c>
      <c r="S119" s="94"/>
    </row>
    <row r="120" hidden="1" outlineLevel="2">
      <c r="A120" s="132">
        <v>45922.0</v>
      </c>
      <c r="B120" s="331"/>
      <c r="C120" s="123"/>
      <c r="D120" s="123">
        <f t="shared" si="45"/>
        <v>0</v>
      </c>
      <c r="E120" s="329">
        <v>8.0</v>
      </c>
      <c r="F120" s="123">
        <f t="shared" si="46"/>
        <v>0</v>
      </c>
      <c r="G120" s="123">
        <f t="shared" si="47"/>
        <v>8</v>
      </c>
      <c r="H120" s="329">
        <v>1012.76</v>
      </c>
      <c r="I120" s="124">
        <f t="shared" si="43"/>
        <v>0</v>
      </c>
      <c r="J120" s="124">
        <f t="shared" si="48"/>
        <v>1012.76</v>
      </c>
      <c r="K120" s="125" t="str">
        <f t="shared" si="4"/>
        <v/>
      </c>
      <c r="L120" s="125">
        <v>0.3</v>
      </c>
      <c r="M120" s="125">
        <f t="shared" si="49"/>
        <v>0.3</v>
      </c>
      <c r="N120" s="124">
        <f t="shared" si="22"/>
        <v>126.595</v>
      </c>
      <c r="O120" s="126">
        <v>150.0</v>
      </c>
      <c r="P120" s="124">
        <f t="shared" si="3"/>
        <v>-23.405</v>
      </c>
      <c r="S120" s="94"/>
    </row>
    <row r="121" hidden="1" outlineLevel="2">
      <c r="A121" s="132">
        <v>45923.0</v>
      </c>
      <c r="B121" s="331"/>
      <c r="C121" s="123"/>
      <c r="D121" s="123">
        <f t="shared" si="45"/>
        <v>0</v>
      </c>
      <c r="E121" s="329">
        <v>9.0</v>
      </c>
      <c r="F121" s="123">
        <f t="shared" si="46"/>
        <v>0</v>
      </c>
      <c r="G121" s="123">
        <f t="shared" si="47"/>
        <v>9</v>
      </c>
      <c r="H121" s="329">
        <v>2190.1</v>
      </c>
      <c r="I121" s="124">
        <f t="shared" si="43"/>
        <v>0</v>
      </c>
      <c r="J121" s="124">
        <f t="shared" si="48"/>
        <v>2190.1</v>
      </c>
      <c r="K121" s="125" t="str">
        <f t="shared" si="4"/>
        <v/>
      </c>
      <c r="L121" s="125">
        <v>0.3</v>
      </c>
      <c r="M121" s="125">
        <f t="shared" si="49"/>
        <v>0.3</v>
      </c>
      <c r="N121" s="124">
        <f t="shared" si="22"/>
        <v>243.3444444</v>
      </c>
      <c r="O121" s="126">
        <v>150.0</v>
      </c>
      <c r="P121" s="124">
        <f t="shared" si="3"/>
        <v>93.34444444</v>
      </c>
      <c r="S121" s="94"/>
    </row>
    <row r="122" hidden="1" outlineLevel="2">
      <c r="A122" s="132">
        <v>45924.0</v>
      </c>
      <c r="B122" s="331"/>
      <c r="C122" s="123"/>
      <c r="D122" s="123">
        <f t="shared" si="45"/>
        <v>0</v>
      </c>
      <c r="E122" s="329">
        <v>12.0</v>
      </c>
      <c r="F122" s="123">
        <f t="shared" si="46"/>
        <v>0</v>
      </c>
      <c r="G122" s="123">
        <f t="shared" si="47"/>
        <v>12</v>
      </c>
      <c r="H122" s="329">
        <v>2075.0</v>
      </c>
      <c r="I122" s="124">
        <f t="shared" si="43"/>
        <v>0</v>
      </c>
      <c r="J122" s="124">
        <f t="shared" si="48"/>
        <v>2075</v>
      </c>
      <c r="K122" s="125" t="str">
        <f t="shared" si="4"/>
        <v/>
      </c>
      <c r="L122" s="125">
        <v>0.3</v>
      </c>
      <c r="M122" s="125">
        <f t="shared" si="49"/>
        <v>0.3</v>
      </c>
      <c r="N122" s="124">
        <f t="shared" si="22"/>
        <v>172.9166667</v>
      </c>
      <c r="O122" s="126">
        <v>150.0</v>
      </c>
      <c r="P122" s="124">
        <f t="shared" si="3"/>
        <v>22.91666667</v>
      </c>
      <c r="S122" s="94"/>
    </row>
    <row r="123" hidden="1" outlineLevel="2">
      <c r="A123" s="132">
        <v>45925.0</v>
      </c>
      <c r="B123" s="331"/>
      <c r="C123" s="123"/>
      <c r="D123" s="123">
        <f t="shared" si="45"/>
        <v>0</v>
      </c>
      <c r="E123" s="329">
        <v>7.0</v>
      </c>
      <c r="F123" s="123">
        <f t="shared" si="46"/>
        <v>0</v>
      </c>
      <c r="G123" s="123">
        <f t="shared" si="47"/>
        <v>7</v>
      </c>
      <c r="H123" s="329">
        <v>1294.56</v>
      </c>
      <c r="I123" s="124">
        <f t="shared" si="43"/>
        <v>0</v>
      </c>
      <c r="J123" s="124">
        <f t="shared" si="48"/>
        <v>1294.56</v>
      </c>
      <c r="K123" s="125" t="str">
        <f t="shared" si="4"/>
        <v/>
      </c>
      <c r="L123" s="125">
        <v>0.3</v>
      </c>
      <c r="M123" s="125">
        <f t="shared" si="49"/>
        <v>0.3</v>
      </c>
      <c r="N123" s="124">
        <f t="shared" si="22"/>
        <v>184.9371429</v>
      </c>
      <c r="O123" s="126">
        <v>150.0</v>
      </c>
      <c r="P123" s="124">
        <f t="shared" si="3"/>
        <v>34.93714286</v>
      </c>
      <c r="S123" s="94"/>
    </row>
    <row r="124" hidden="1" outlineLevel="2">
      <c r="A124" s="132">
        <v>45926.0</v>
      </c>
      <c r="B124" s="331"/>
      <c r="C124" s="123"/>
      <c r="D124" s="123">
        <f t="shared" si="45"/>
        <v>0</v>
      </c>
      <c r="E124" s="329">
        <v>10.0</v>
      </c>
      <c r="F124" s="123">
        <f t="shared" si="46"/>
        <v>0</v>
      </c>
      <c r="G124" s="123">
        <f t="shared" si="47"/>
        <v>10</v>
      </c>
      <c r="H124" s="329">
        <v>1621.32</v>
      </c>
      <c r="I124" s="124">
        <f t="shared" si="43"/>
        <v>0</v>
      </c>
      <c r="J124" s="124">
        <f t="shared" si="48"/>
        <v>1621.32</v>
      </c>
      <c r="K124" s="125" t="str">
        <f t="shared" si="4"/>
        <v/>
      </c>
      <c r="L124" s="125">
        <v>0.3</v>
      </c>
      <c r="M124" s="125">
        <f t="shared" si="49"/>
        <v>0.3</v>
      </c>
      <c r="N124" s="124">
        <f t="shared" si="22"/>
        <v>162.132</v>
      </c>
      <c r="O124" s="126">
        <v>150.0</v>
      </c>
      <c r="P124" s="124">
        <f t="shared" si="3"/>
        <v>12.132</v>
      </c>
      <c r="S124" s="94"/>
    </row>
    <row r="125" hidden="1" outlineLevel="2">
      <c r="A125" s="132">
        <v>45927.0</v>
      </c>
      <c r="B125" s="331"/>
      <c r="C125" s="123"/>
      <c r="D125" s="123">
        <f t="shared" si="45"/>
        <v>0</v>
      </c>
      <c r="E125" s="329">
        <v>2.0</v>
      </c>
      <c r="F125" s="123">
        <f t="shared" si="46"/>
        <v>0</v>
      </c>
      <c r="G125" s="123">
        <f t="shared" si="47"/>
        <v>2</v>
      </c>
      <c r="H125" s="329">
        <v>464.56</v>
      </c>
      <c r="I125" s="124">
        <f t="shared" si="43"/>
        <v>0</v>
      </c>
      <c r="J125" s="124">
        <f t="shared" si="48"/>
        <v>464.56</v>
      </c>
      <c r="K125" s="125" t="str">
        <f t="shared" si="4"/>
        <v/>
      </c>
      <c r="L125" s="125">
        <v>0.3</v>
      </c>
      <c r="M125" s="125">
        <f t="shared" si="49"/>
        <v>0.3</v>
      </c>
      <c r="N125" s="124">
        <f t="shared" si="22"/>
        <v>232.28</v>
      </c>
      <c r="O125" s="126">
        <v>150.0</v>
      </c>
      <c r="P125" s="124">
        <f t="shared" si="3"/>
        <v>82.28</v>
      </c>
      <c r="S125" s="94"/>
    </row>
    <row r="126" hidden="1" outlineLevel="2">
      <c r="A126" s="132">
        <v>45928.0</v>
      </c>
      <c r="B126" s="331"/>
      <c r="C126" s="123"/>
      <c r="D126" s="123">
        <f t="shared" si="45"/>
        <v>0</v>
      </c>
      <c r="E126" s="329"/>
      <c r="F126" s="123">
        <f t="shared" si="46"/>
        <v>0</v>
      </c>
      <c r="G126" s="123">
        <f t="shared" si="47"/>
        <v>0</v>
      </c>
      <c r="H126" s="329"/>
      <c r="I126" s="124">
        <f t="shared" si="43"/>
        <v>0</v>
      </c>
      <c r="J126" s="124">
        <f t="shared" si="48"/>
        <v>0</v>
      </c>
      <c r="K126" s="125" t="str">
        <f t="shared" si="4"/>
        <v/>
      </c>
      <c r="L126" s="125">
        <v>0.3</v>
      </c>
      <c r="M126" s="125">
        <f t="shared" si="49"/>
        <v>0.3</v>
      </c>
      <c r="N126" s="124" t="str">
        <f t="shared" si="22"/>
        <v/>
      </c>
      <c r="O126" s="126">
        <v>150.0</v>
      </c>
      <c r="P126" s="129"/>
      <c r="S126" s="94"/>
    </row>
    <row r="127" hidden="1" outlineLevel="2">
      <c r="A127" s="132">
        <v>45929.0</v>
      </c>
      <c r="B127" s="331"/>
      <c r="C127" s="123"/>
      <c r="D127" s="123">
        <f t="shared" si="45"/>
        <v>0</v>
      </c>
      <c r="E127" s="329">
        <v>11.0</v>
      </c>
      <c r="F127" s="123">
        <f t="shared" si="46"/>
        <v>0</v>
      </c>
      <c r="G127" s="123">
        <f t="shared" si="47"/>
        <v>11</v>
      </c>
      <c r="H127" s="329">
        <v>2297.46</v>
      </c>
      <c r="I127" s="124">
        <f t="shared" si="43"/>
        <v>0</v>
      </c>
      <c r="J127" s="124">
        <f t="shared" si="48"/>
        <v>2297.46</v>
      </c>
      <c r="K127" s="125" t="str">
        <f t="shared" si="4"/>
        <v/>
      </c>
      <c r="L127" s="125">
        <v>0.3</v>
      </c>
      <c r="M127" s="125">
        <f t="shared" si="49"/>
        <v>0.3</v>
      </c>
      <c r="N127" s="124">
        <f t="shared" si="22"/>
        <v>208.86</v>
      </c>
      <c r="O127" s="126">
        <v>150.0</v>
      </c>
      <c r="P127" s="124">
        <f t="shared" ref="P127:P128" si="50">N127-O127</f>
        <v>58.86</v>
      </c>
      <c r="S127" s="94"/>
    </row>
    <row r="128" hidden="1" outlineLevel="2">
      <c r="A128" s="132">
        <v>45930.0</v>
      </c>
      <c r="B128" s="331"/>
      <c r="C128" s="123"/>
      <c r="D128" s="123">
        <f t="shared" si="45"/>
        <v>0</v>
      </c>
      <c r="E128" s="329">
        <v>11.0</v>
      </c>
      <c r="F128" s="123">
        <f t="shared" si="46"/>
        <v>0</v>
      </c>
      <c r="G128" s="123">
        <f t="shared" si="47"/>
        <v>11</v>
      </c>
      <c r="H128" s="329">
        <v>1942.68</v>
      </c>
      <c r="I128" s="124">
        <f t="shared" si="43"/>
        <v>0</v>
      </c>
      <c r="J128" s="124">
        <f t="shared" si="48"/>
        <v>1942.68</v>
      </c>
      <c r="K128" s="125" t="str">
        <f t="shared" si="4"/>
        <v/>
      </c>
      <c r="L128" s="125">
        <v>0.3</v>
      </c>
      <c r="M128" s="125">
        <f t="shared" si="49"/>
        <v>0.3</v>
      </c>
      <c r="N128" s="124">
        <f t="shared" si="22"/>
        <v>176.6072727</v>
      </c>
      <c r="O128" s="126">
        <v>150.0</v>
      </c>
      <c r="P128" s="124">
        <f t="shared" si="50"/>
        <v>26.60727273</v>
      </c>
      <c r="S128" s="94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9"/>
      <c r="L129" s="140"/>
      <c r="N129" s="138"/>
      <c r="O129" s="141"/>
      <c r="S129" s="94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9"/>
      <c r="L130" s="140"/>
      <c r="N130" s="138"/>
      <c r="O130" s="141"/>
      <c r="S130" s="94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9"/>
      <c r="L131" s="140"/>
      <c r="N131" s="138"/>
      <c r="O131" s="141"/>
      <c r="S131" s="94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9"/>
      <c r="L132" s="140"/>
      <c r="N132" s="138"/>
      <c r="O132" s="141"/>
      <c r="S132" s="94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9"/>
      <c r="L133" s="140"/>
      <c r="N133" s="138"/>
      <c r="O133" s="141"/>
      <c r="S133" s="94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9"/>
      <c r="L134" s="140"/>
      <c r="N134" s="138"/>
      <c r="O134" s="141"/>
      <c r="S134" s="94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9"/>
      <c r="L135" s="140"/>
      <c r="N135" s="138"/>
      <c r="O135" s="141"/>
      <c r="S135" s="94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9"/>
      <c r="L136" s="140"/>
      <c r="N136" s="138"/>
      <c r="O136" s="141"/>
      <c r="S136" s="94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9"/>
      <c r="L137" s="140"/>
      <c r="N137" s="138"/>
      <c r="O137" s="141"/>
      <c r="S137" s="94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9"/>
      <c r="L138" s="140"/>
      <c r="N138" s="138"/>
      <c r="O138" s="141"/>
      <c r="S138" s="94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9"/>
      <c r="L139" s="140"/>
      <c r="N139" s="138"/>
      <c r="O139" s="141"/>
      <c r="S139" s="94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9"/>
      <c r="L140" s="140"/>
      <c r="N140" s="138"/>
      <c r="O140" s="141"/>
      <c r="S140" s="94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9"/>
      <c r="L141" s="140"/>
      <c r="N141" s="138"/>
      <c r="O141" s="141"/>
      <c r="S141" s="94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9"/>
      <c r="L142" s="140"/>
      <c r="N142" s="138"/>
      <c r="O142" s="141"/>
      <c r="S142" s="94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9"/>
      <c r="L143" s="140"/>
      <c r="N143" s="138"/>
      <c r="O143" s="141"/>
      <c r="S143" s="94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9"/>
      <c r="L144" s="140"/>
      <c r="N144" s="138"/>
      <c r="O144" s="141"/>
      <c r="S144" s="94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L145" s="140"/>
      <c r="N145" s="138"/>
      <c r="O145" s="141"/>
      <c r="S145" s="94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9"/>
      <c r="L146" s="140"/>
      <c r="N146" s="138"/>
      <c r="O146" s="141"/>
      <c r="S146" s="94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  <c r="L147" s="140"/>
      <c r="N147" s="138"/>
      <c r="O147" s="141"/>
      <c r="S147" s="94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9"/>
      <c r="L148" s="140"/>
      <c r="N148" s="138"/>
      <c r="O148" s="141"/>
      <c r="S148" s="94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9"/>
      <c r="L149" s="140"/>
      <c r="N149" s="138"/>
      <c r="O149" s="141"/>
      <c r="S149" s="94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9"/>
      <c r="L150" s="140"/>
      <c r="N150" s="138"/>
      <c r="O150" s="141"/>
      <c r="S150" s="94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L151" s="140"/>
      <c r="N151" s="138"/>
      <c r="O151" s="141"/>
      <c r="S151" s="94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9"/>
      <c r="L152" s="140"/>
      <c r="N152" s="138"/>
      <c r="O152" s="141"/>
      <c r="S152" s="94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9"/>
      <c r="L153" s="140"/>
      <c r="N153" s="138"/>
      <c r="O153" s="141"/>
      <c r="S153" s="94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9"/>
      <c r="L154" s="140"/>
      <c r="N154" s="138"/>
      <c r="O154" s="141"/>
      <c r="S154" s="94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9"/>
      <c r="L155" s="140"/>
      <c r="N155" s="138"/>
      <c r="O155" s="141"/>
      <c r="S155" s="94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9"/>
      <c r="L156" s="140"/>
      <c r="N156" s="138"/>
      <c r="O156" s="141"/>
      <c r="S156" s="94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9"/>
      <c r="L157" s="140"/>
      <c r="N157" s="138"/>
      <c r="O157" s="141"/>
      <c r="S157" s="94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9"/>
      <c r="L158" s="140"/>
      <c r="N158" s="138"/>
      <c r="O158" s="141"/>
      <c r="S158" s="94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9"/>
      <c r="L159" s="140"/>
      <c r="N159" s="138"/>
      <c r="O159" s="141"/>
      <c r="S159" s="94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9"/>
      <c r="L160" s="140"/>
      <c r="N160" s="138"/>
      <c r="O160" s="141"/>
      <c r="S160" s="94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9"/>
      <c r="L161" s="140"/>
      <c r="N161" s="138"/>
      <c r="O161" s="141"/>
      <c r="S161" s="94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9"/>
      <c r="L162" s="140"/>
      <c r="N162" s="138"/>
      <c r="O162" s="141"/>
      <c r="S162" s="94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9"/>
      <c r="L163" s="140"/>
      <c r="N163" s="138"/>
      <c r="O163" s="141"/>
      <c r="S163" s="94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9"/>
      <c r="L164" s="140"/>
      <c r="N164" s="138"/>
      <c r="O164" s="141"/>
      <c r="S164" s="94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9"/>
      <c r="L165" s="140"/>
      <c r="N165" s="138"/>
      <c r="O165" s="141"/>
      <c r="S165" s="94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9"/>
      <c r="L166" s="140"/>
      <c r="N166" s="138"/>
      <c r="O166" s="141"/>
      <c r="S166" s="94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9"/>
      <c r="L167" s="140"/>
      <c r="N167" s="138"/>
      <c r="O167" s="141"/>
      <c r="S167" s="94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9"/>
      <c r="L168" s="140"/>
      <c r="N168" s="138"/>
      <c r="O168" s="141"/>
      <c r="S168" s="94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9"/>
      <c r="L169" s="140"/>
      <c r="N169" s="138"/>
      <c r="O169" s="141"/>
      <c r="S169" s="94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9"/>
      <c r="L170" s="140"/>
      <c r="N170" s="138"/>
      <c r="O170" s="141"/>
      <c r="S170" s="94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9"/>
      <c r="L171" s="140"/>
      <c r="N171" s="138"/>
      <c r="O171" s="141"/>
      <c r="S171" s="94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9"/>
      <c r="L172" s="140"/>
      <c r="N172" s="138"/>
      <c r="O172" s="141"/>
      <c r="S172" s="94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9"/>
      <c r="L173" s="140"/>
      <c r="N173" s="138"/>
      <c r="O173" s="141"/>
      <c r="S173" s="94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9"/>
      <c r="L174" s="140"/>
      <c r="N174" s="138"/>
      <c r="O174" s="141"/>
      <c r="S174" s="94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9"/>
      <c r="L175" s="140"/>
      <c r="N175" s="138"/>
      <c r="O175" s="141"/>
      <c r="S175" s="94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9"/>
      <c r="L176" s="140"/>
      <c r="N176" s="138"/>
      <c r="O176" s="141"/>
      <c r="S176" s="94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9"/>
      <c r="L177" s="140"/>
      <c r="N177" s="138"/>
      <c r="O177" s="141"/>
      <c r="S177" s="94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9"/>
      <c r="L178" s="140"/>
      <c r="N178" s="138"/>
      <c r="O178" s="141"/>
      <c r="S178" s="94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9"/>
      <c r="L179" s="140"/>
      <c r="N179" s="138"/>
      <c r="O179" s="141"/>
      <c r="S179" s="94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9"/>
      <c r="L180" s="140"/>
      <c r="N180" s="138"/>
      <c r="O180" s="141"/>
      <c r="S180" s="94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9"/>
      <c r="L181" s="140"/>
      <c r="N181" s="138"/>
      <c r="O181" s="141"/>
      <c r="S181" s="94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L182" s="140"/>
      <c r="N182" s="138"/>
      <c r="O182" s="141"/>
      <c r="S182" s="94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9"/>
      <c r="L183" s="140"/>
      <c r="N183" s="138"/>
      <c r="O183" s="141"/>
      <c r="S183" s="94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9"/>
      <c r="L184" s="140"/>
      <c r="N184" s="138"/>
      <c r="O184" s="141"/>
      <c r="S184" s="94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9"/>
      <c r="L185" s="140"/>
      <c r="N185" s="138"/>
      <c r="O185" s="141"/>
      <c r="S185" s="94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9"/>
      <c r="L186" s="140"/>
      <c r="N186" s="138"/>
      <c r="O186" s="141"/>
      <c r="S186" s="94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9"/>
      <c r="L187" s="140"/>
      <c r="N187" s="138"/>
      <c r="O187" s="141"/>
      <c r="S187" s="94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L188" s="140"/>
      <c r="N188" s="138"/>
      <c r="O188" s="141"/>
      <c r="S188" s="94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9"/>
      <c r="L189" s="140"/>
      <c r="N189" s="138"/>
      <c r="O189" s="141"/>
      <c r="S189" s="94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9"/>
      <c r="L190" s="140"/>
      <c r="N190" s="138"/>
      <c r="O190" s="141"/>
      <c r="S190" s="94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9"/>
      <c r="L191" s="140"/>
      <c r="N191" s="138"/>
      <c r="O191" s="141"/>
      <c r="S191" s="94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9"/>
      <c r="L192" s="140"/>
      <c r="N192" s="138"/>
      <c r="O192" s="141"/>
      <c r="S192" s="94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9"/>
      <c r="L193" s="140"/>
      <c r="N193" s="138"/>
      <c r="O193" s="141"/>
      <c r="S193" s="94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9"/>
      <c r="L194" s="140"/>
      <c r="N194" s="138"/>
      <c r="O194" s="141"/>
      <c r="S194" s="94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9"/>
      <c r="L195" s="140"/>
      <c r="N195" s="138"/>
      <c r="O195" s="141"/>
      <c r="S195" s="94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9"/>
      <c r="L196" s="140"/>
      <c r="N196" s="138"/>
      <c r="O196" s="141"/>
      <c r="S196" s="94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9"/>
      <c r="L197" s="140"/>
      <c r="N197" s="138"/>
      <c r="O197" s="141"/>
      <c r="S197" s="94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9"/>
      <c r="L198" s="140"/>
      <c r="N198" s="138"/>
      <c r="O198" s="141"/>
      <c r="S198" s="94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9"/>
      <c r="L199" s="140"/>
      <c r="N199" s="138"/>
      <c r="O199" s="141"/>
      <c r="S199" s="94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9"/>
      <c r="L200" s="140"/>
      <c r="N200" s="138"/>
      <c r="O200" s="141"/>
      <c r="S200" s="94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9"/>
      <c r="L201" s="140"/>
      <c r="N201" s="138"/>
      <c r="O201" s="141"/>
      <c r="S201" s="94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9"/>
      <c r="L202" s="140"/>
      <c r="N202" s="138"/>
      <c r="O202" s="141"/>
      <c r="S202" s="94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9"/>
      <c r="L203" s="140"/>
      <c r="N203" s="138"/>
      <c r="O203" s="141"/>
      <c r="S203" s="94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9"/>
      <c r="L204" s="140"/>
      <c r="N204" s="138"/>
      <c r="O204" s="141"/>
      <c r="S204" s="94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9"/>
      <c r="L205" s="140"/>
      <c r="N205" s="138"/>
      <c r="O205" s="141"/>
      <c r="S205" s="94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9"/>
      <c r="L206" s="140"/>
      <c r="N206" s="138"/>
      <c r="O206" s="141"/>
      <c r="S206" s="94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9"/>
      <c r="L207" s="140"/>
      <c r="N207" s="138"/>
      <c r="O207" s="141"/>
      <c r="S207" s="94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9"/>
      <c r="L208" s="140"/>
      <c r="N208" s="138"/>
      <c r="O208" s="141"/>
      <c r="S208" s="94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9"/>
      <c r="L209" s="140"/>
      <c r="N209" s="138"/>
      <c r="O209" s="141"/>
      <c r="S209" s="94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9"/>
      <c r="L210" s="140"/>
      <c r="N210" s="138"/>
      <c r="O210" s="141"/>
      <c r="S210" s="94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9"/>
      <c r="L211" s="140"/>
      <c r="N211" s="138"/>
      <c r="O211" s="141"/>
      <c r="S211" s="94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9"/>
      <c r="L212" s="140"/>
      <c r="N212" s="138"/>
      <c r="O212" s="141"/>
      <c r="S212" s="94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9"/>
      <c r="L213" s="140"/>
      <c r="N213" s="138"/>
      <c r="O213" s="141"/>
      <c r="S213" s="94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9"/>
      <c r="L214" s="140"/>
      <c r="N214" s="138"/>
      <c r="O214" s="141"/>
      <c r="S214" s="94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9"/>
      <c r="L215" s="140"/>
      <c r="N215" s="138"/>
      <c r="O215" s="141"/>
      <c r="S215" s="94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9"/>
      <c r="L216" s="140"/>
      <c r="N216" s="138"/>
      <c r="O216" s="141"/>
      <c r="S216" s="94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9"/>
      <c r="L217" s="140"/>
      <c r="N217" s="138"/>
      <c r="O217" s="141"/>
      <c r="S217" s="94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9"/>
      <c r="L218" s="140"/>
      <c r="N218" s="138"/>
      <c r="O218" s="141"/>
      <c r="S218" s="94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L219" s="140"/>
      <c r="N219" s="138"/>
      <c r="O219" s="141"/>
      <c r="S219" s="94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9"/>
      <c r="L220" s="140"/>
      <c r="N220" s="138"/>
      <c r="O220" s="141"/>
      <c r="S220" s="94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9"/>
      <c r="L221" s="140"/>
      <c r="N221" s="138"/>
      <c r="O221" s="141"/>
      <c r="S221" s="94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9"/>
      <c r="L222" s="140"/>
      <c r="N222" s="138"/>
      <c r="O222" s="141"/>
      <c r="S222" s="94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9"/>
      <c r="L223" s="140"/>
      <c r="N223" s="138"/>
      <c r="O223" s="141"/>
      <c r="S223" s="94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9"/>
      <c r="L224" s="140"/>
      <c r="N224" s="138"/>
      <c r="O224" s="141"/>
      <c r="S224" s="94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L225" s="140"/>
      <c r="N225" s="138"/>
      <c r="O225" s="141"/>
      <c r="S225" s="94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L226" s="140"/>
      <c r="N226" s="138"/>
      <c r="O226" s="141"/>
      <c r="S226" s="94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9"/>
      <c r="L227" s="140"/>
      <c r="N227" s="138"/>
      <c r="O227" s="141"/>
      <c r="S227" s="94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9"/>
      <c r="L228" s="140"/>
      <c r="N228" s="138"/>
      <c r="O228" s="141"/>
      <c r="S228" s="94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9"/>
      <c r="L229" s="140"/>
      <c r="N229" s="138"/>
      <c r="O229" s="141"/>
      <c r="S229" s="94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9"/>
      <c r="L230" s="140"/>
      <c r="N230" s="138"/>
      <c r="O230" s="141"/>
      <c r="S230" s="94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9"/>
      <c r="L231" s="140"/>
      <c r="N231" s="138"/>
      <c r="O231" s="141"/>
      <c r="S231" s="94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9"/>
      <c r="L232" s="140"/>
      <c r="N232" s="138"/>
      <c r="O232" s="141"/>
      <c r="S232" s="94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9"/>
      <c r="L233" s="140"/>
      <c r="N233" s="138"/>
      <c r="O233" s="141"/>
      <c r="S233" s="94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9"/>
      <c r="L234" s="140"/>
      <c r="N234" s="138"/>
      <c r="O234" s="141"/>
      <c r="S234" s="94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9"/>
      <c r="L235" s="140"/>
      <c r="N235" s="138"/>
      <c r="O235" s="141"/>
      <c r="S235" s="94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9"/>
      <c r="L236" s="140"/>
      <c r="N236" s="138"/>
      <c r="O236" s="141"/>
      <c r="S236" s="94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9"/>
      <c r="L237" s="140"/>
      <c r="N237" s="138"/>
      <c r="O237" s="141"/>
      <c r="S237" s="94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9"/>
      <c r="L238" s="140"/>
      <c r="N238" s="138"/>
      <c r="O238" s="141"/>
      <c r="S238" s="94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9"/>
      <c r="L239" s="140"/>
      <c r="N239" s="138"/>
      <c r="O239" s="141"/>
      <c r="S239" s="94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9"/>
      <c r="L240" s="140"/>
      <c r="N240" s="138"/>
      <c r="O240" s="141"/>
      <c r="S240" s="94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9"/>
      <c r="L241" s="140"/>
      <c r="N241" s="138"/>
      <c r="O241" s="141"/>
      <c r="S241" s="94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9"/>
      <c r="L242" s="140"/>
      <c r="N242" s="138"/>
      <c r="O242" s="141"/>
      <c r="S242" s="94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9"/>
      <c r="L243" s="140"/>
      <c r="N243" s="138"/>
      <c r="O243" s="141"/>
      <c r="S243" s="94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9"/>
      <c r="L244" s="140"/>
      <c r="N244" s="138"/>
      <c r="O244" s="141"/>
      <c r="S244" s="94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9"/>
      <c r="L245" s="140"/>
      <c r="N245" s="138"/>
      <c r="O245" s="141"/>
      <c r="S245" s="94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9"/>
      <c r="L246" s="140"/>
      <c r="N246" s="138"/>
      <c r="O246" s="141"/>
      <c r="S246" s="94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9"/>
      <c r="L247" s="140"/>
      <c r="N247" s="138"/>
      <c r="O247" s="141"/>
      <c r="S247" s="94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9"/>
      <c r="L248" s="140"/>
      <c r="N248" s="138"/>
      <c r="O248" s="141"/>
      <c r="S248" s="94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9"/>
      <c r="L249" s="140"/>
      <c r="N249" s="138"/>
      <c r="O249" s="141"/>
      <c r="S249" s="94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9"/>
      <c r="L250" s="140"/>
      <c r="N250" s="138"/>
      <c r="O250" s="141"/>
      <c r="S250" s="94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9"/>
      <c r="L251" s="140"/>
      <c r="N251" s="138"/>
      <c r="O251" s="141"/>
      <c r="S251" s="94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9"/>
      <c r="L252" s="140"/>
      <c r="N252" s="138"/>
      <c r="O252" s="141"/>
      <c r="S252" s="94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9"/>
      <c r="L253" s="140"/>
      <c r="N253" s="138"/>
      <c r="O253" s="141"/>
      <c r="S253" s="94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9"/>
      <c r="L254" s="140"/>
      <c r="N254" s="138"/>
      <c r="O254" s="141"/>
      <c r="S254" s="94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9"/>
      <c r="L255" s="140"/>
      <c r="N255" s="138"/>
      <c r="O255" s="141"/>
      <c r="S255" s="94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L256" s="140"/>
      <c r="N256" s="138"/>
      <c r="O256" s="141"/>
      <c r="S256" s="94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9"/>
      <c r="L257" s="140"/>
      <c r="N257" s="138"/>
      <c r="O257" s="141"/>
      <c r="S257" s="94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9"/>
      <c r="L258" s="140"/>
      <c r="N258" s="138"/>
      <c r="O258" s="141"/>
      <c r="S258" s="94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9"/>
      <c r="L259" s="140"/>
      <c r="N259" s="138"/>
      <c r="O259" s="141"/>
      <c r="S259" s="94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9"/>
      <c r="L260" s="140"/>
      <c r="N260" s="138"/>
      <c r="O260" s="141"/>
      <c r="S260" s="94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9"/>
      <c r="L261" s="140"/>
      <c r="N261" s="138"/>
      <c r="O261" s="141"/>
      <c r="S261" s="94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L262" s="140"/>
      <c r="N262" s="138"/>
      <c r="O262" s="141"/>
      <c r="S262" s="94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9"/>
      <c r="L263" s="140"/>
      <c r="N263" s="138"/>
      <c r="O263" s="141"/>
      <c r="S263" s="94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9"/>
      <c r="L264" s="140"/>
      <c r="N264" s="138"/>
      <c r="O264" s="141"/>
      <c r="S264" s="94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9"/>
      <c r="L265" s="140"/>
      <c r="N265" s="138"/>
      <c r="O265" s="141"/>
      <c r="S265" s="94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9"/>
      <c r="L266" s="140"/>
      <c r="N266" s="138"/>
      <c r="O266" s="141"/>
      <c r="S266" s="94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9"/>
      <c r="L267" s="140"/>
      <c r="N267" s="138"/>
      <c r="O267" s="141"/>
      <c r="S267" s="94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9"/>
      <c r="L268" s="140"/>
      <c r="N268" s="138"/>
      <c r="O268" s="141"/>
      <c r="S268" s="94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9"/>
      <c r="L269" s="140"/>
      <c r="N269" s="138"/>
      <c r="O269" s="141"/>
      <c r="S269" s="94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9"/>
      <c r="L270" s="140"/>
      <c r="N270" s="138"/>
      <c r="O270" s="141"/>
      <c r="S270" s="94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9"/>
      <c r="L271" s="140"/>
      <c r="N271" s="138"/>
      <c r="O271" s="141"/>
      <c r="S271" s="94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9"/>
      <c r="L272" s="140"/>
      <c r="N272" s="138"/>
      <c r="O272" s="141"/>
      <c r="S272" s="94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9"/>
      <c r="L273" s="140"/>
      <c r="N273" s="138"/>
      <c r="O273" s="141"/>
      <c r="S273" s="94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9"/>
      <c r="L274" s="140"/>
      <c r="N274" s="138"/>
      <c r="O274" s="141"/>
      <c r="S274" s="94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9"/>
      <c r="L275" s="140"/>
      <c r="N275" s="138"/>
      <c r="O275" s="141"/>
      <c r="S275" s="94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9"/>
      <c r="L276" s="140"/>
      <c r="N276" s="138"/>
      <c r="O276" s="141"/>
      <c r="S276" s="94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9"/>
      <c r="L277" s="140"/>
      <c r="N277" s="138"/>
      <c r="O277" s="141"/>
      <c r="S277" s="94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9"/>
      <c r="L278" s="140"/>
      <c r="N278" s="138"/>
      <c r="O278" s="141"/>
      <c r="S278" s="94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9"/>
      <c r="L279" s="140"/>
      <c r="N279" s="138"/>
      <c r="O279" s="141"/>
      <c r="S279" s="94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9"/>
      <c r="L280" s="140"/>
      <c r="N280" s="138"/>
      <c r="O280" s="141"/>
      <c r="S280" s="94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9"/>
      <c r="L281" s="140"/>
      <c r="N281" s="138"/>
      <c r="O281" s="141"/>
      <c r="S281" s="94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9"/>
      <c r="L282" s="140"/>
      <c r="N282" s="138"/>
      <c r="O282" s="141"/>
      <c r="S282" s="94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9"/>
      <c r="L283" s="140"/>
      <c r="N283" s="138"/>
      <c r="O283" s="141"/>
      <c r="S283" s="94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9"/>
      <c r="L284" s="140"/>
      <c r="N284" s="138"/>
      <c r="O284" s="141"/>
      <c r="S284" s="94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9"/>
      <c r="L285" s="140"/>
      <c r="N285" s="138"/>
      <c r="O285" s="141"/>
      <c r="S285" s="94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9"/>
      <c r="L286" s="140"/>
      <c r="N286" s="138"/>
      <c r="O286" s="141"/>
      <c r="S286" s="94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9"/>
      <c r="L287" s="140"/>
      <c r="N287" s="138"/>
      <c r="O287" s="141"/>
      <c r="S287" s="94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9"/>
      <c r="L288" s="140"/>
      <c r="N288" s="138"/>
      <c r="O288" s="141"/>
      <c r="S288" s="94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9"/>
      <c r="L289" s="140"/>
      <c r="N289" s="138"/>
      <c r="O289" s="141"/>
      <c r="S289" s="94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9"/>
      <c r="L290" s="140"/>
      <c r="N290" s="138"/>
      <c r="O290" s="141"/>
      <c r="S290" s="94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9"/>
      <c r="L291" s="140"/>
      <c r="N291" s="138"/>
      <c r="O291" s="141"/>
      <c r="S291" s="94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9"/>
      <c r="L292" s="140"/>
      <c r="N292" s="138"/>
      <c r="O292" s="141"/>
      <c r="S292" s="94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L293" s="140"/>
      <c r="N293" s="138"/>
      <c r="O293" s="141"/>
      <c r="S293" s="94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9"/>
      <c r="L294" s="140"/>
      <c r="N294" s="138"/>
      <c r="O294" s="141"/>
      <c r="S294" s="94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9"/>
      <c r="L295" s="140"/>
      <c r="N295" s="138"/>
      <c r="O295" s="141"/>
      <c r="S295" s="94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9"/>
      <c r="L296" s="140"/>
      <c r="N296" s="138"/>
      <c r="O296" s="141"/>
      <c r="S296" s="94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9"/>
      <c r="L297" s="140"/>
      <c r="N297" s="138"/>
      <c r="O297" s="141"/>
      <c r="S297" s="94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9"/>
      <c r="L298" s="140"/>
      <c r="N298" s="138"/>
      <c r="O298" s="141"/>
      <c r="S298" s="94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L299" s="140"/>
      <c r="N299" s="138"/>
      <c r="O299" s="141"/>
      <c r="S299" s="94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9"/>
      <c r="L300" s="140"/>
      <c r="N300" s="138"/>
      <c r="O300" s="141"/>
      <c r="S300" s="94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9"/>
      <c r="L301" s="140"/>
      <c r="N301" s="138"/>
      <c r="O301" s="141"/>
      <c r="S301" s="94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9"/>
      <c r="L302" s="140"/>
      <c r="N302" s="138"/>
      <c r="O302" s="141"/>
      <c r="S302" s="94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9"/>
      <c r="L303" s="140"/>
      <c r="N303" s="138"/>
      <c r="O303" s="141"/>
      <c r="S303" s="94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9"/>
      <c r="L304" s="140"/>
      <c r="N304" s="138"/>
      <c r="O304" s="141"/>
      <c r="S304" s="94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9"/>
      <c r="L305" s="140"/>
      <c r="N305" s="138"/>
      <c r="O305" s="141"/>
      <c r="S305" s="94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9"/>
      <c r="L306" s="140"/>
      <c r="N306" s="138"/>
      <c r="O306" s="141"/>
      <c r="S306" s="94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9"/>
      <c r="L307" s="140"/>
      <c r="N307" s="138"/>
      <c r="O307" s="141"/>
      <c r="S307" s="94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9"/>
      <c r="L308" s="140"/>
      <c r="N308" s="138"/>
      <c r="O308" s="141"/>
      <c r="S308" s="94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9"/>
      <c r="L309" s="140"/>
      <c r="N309" s="138"/>
      <c r="O309" s="141"/>
      <c r="S309" s="94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9"/>
      <c r="L310" s="140"/>
      <c r="N310" s="138"/>
      <c r="O310" s="141"/>
      <c r="S310" s="94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9"/>
      <c r="L311" s="140"/>
      <c r="N311" s="138"/>
      <c r="O311" s="141"/>
      <c r="S311" s="94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9"/>
      <c r="L312" s="140"/>
      <c r="N312" s="138"/>
      <c r="O312" s="141"/>
      <c r="S312" s="94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9"/>
      <c r="L313" s="140"/>
      <c r="N313" s="138"/>
      <c r="O313" s="141"/>
      <c r="S313" s="94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9"/>
      <c r="L314" s="140"/>
      <c r="N314" s="138"/>
      <c r="O314" s="141"/>
      <c r="S314" s="94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9"/>
      <c r="L315" s="140"/>
      <c r="N315" s="138"/>
      <c r="O315" s="141"/>
      <c r="S315" s="94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9"/>
      <c r="L316" s="140"/>
      <c r="N316" s="138"/>
      <c r="O316" s="141"/>
      <c r="S316" s="94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9"/>
      <c r="L317" s="140"/>
      <c r="N317" s="138"/>
      <c r="O317" s="141"/>
      <c r="S317" s="94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9"/>
      <c r="L318" s="140"/>
      <c r="N318" s="138"/>
      <c r="O318" s="141"/>
      <c r="S318" s="94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9"/>
      <c r="L319" s="140"/>
      <c r="N319" s="138"/>
      <c r="O319" s="141"/>
      <c r="S319" s="94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9"/>
      <c r="L320" s="140"/>
      <c r="N320" s="138"/>
      <c r="O320" s="141"/>
      <c r="S320" s="94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9"/>
      <c r="L321" s="140"/>
      <c r="N321" s="138"/>
      <c r="O321" s="141"/>
      <c r="S321" s="94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9"/>
      <c r="L322" s="140"/>
      <c r="N322" s="138"/>
      <c r="O322" s="141"/>
      <c r="S322" s="94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9"/>
      <c r="L323" s="140"/>
      <c r="N323" s="138"/>
      <c r="O323" s="141"/>
      <c r="S323" s="94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9"/>
      <c r="L324" s="140"/>
      <c r="N324" s="138"/>
      <c r="O324" s="141"/>
      <c r="S324" s="94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9"/>
      <c r="L325" s="140"/>
      <c r="N325" s="138"/>
      <c r="O325" s="141"/>
      <c r="S325" s="94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9"/>
      <c r="L326" s="140"/>
      <c r="N326" s="138"/>
      <c r="O326" s="141"/>
      <c r="S326" s="94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9"/>
      <c r="L327" s="140"/>
      <c r="N327" s="138"/>
      <c r="O327" s="141"/>
      <c r="S327" s="94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9"/>
      <c r="L328" s="140"/>
      <c r="N328" s="138"/>
      <c r="O328" s="141"/>
      <c r="S328" s="94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9"/>
      <c r="L329" s="140"/>
      <c r="N329" s="138"/>
      <c r="O329" s="141"/>
      <c r="S329" s="94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L330" s="140"/>
      <c r="N330" s="138"/>
      <c r="O330" s="141"/>
      <c r="S330" s="94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9"/>
      <c r="L331" s="140"/>
      <c r="N331" s="138"/>
      <c r="O331" s="141"/>
      <c r="S331" s="94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9"/>
      <c r="L332" s="140"/>
      <c r="N332" s="138"/>
      <c r="O332" s="141"/>
      <c r="S332" s="94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9"/>
      <c r="L333" s="140"/>
      <c r="N333" s="138"/>
      <c r="O333" s="141"/>
      <c r="S333" s="94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9"/>
      <c r="L334" s="140"/>
      <c r="N334" s="138"/>
      <c r="O334" s="141"/>
      <c r="S334" s="94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9"/>
      <c r="L335" s="140"/>
      <c r="N335" s="138"/>
      <c r="O335" s="141"/>
      <c r="S335" s="94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L336" s="140"/>
      <c r="N336" s="138"/>
      <c r="O336" s="141"/>
      <c r="S336" s="94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9"/>
      <c r="L337" s="140"/>
      <c r="N337" s="138"/>
      <c r="O337" s="141"/>
      <c r="S337" s="94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9"/>
      <c r="L338" s="140"/>
      <c r="N338" s="138"/>
      <c r="O338" s="141"/>
      <c r="S338" s="94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9"/>
      <c r="L339" s="140"/>
      <c r="N339" s="138"/>
      <c r="O339" s="141"/>
      <c r="S339" s="94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9"/>
      <c r="L340" s="140"/>
      <c r="N340" s="138"/>
      <c r="O340" s="141"/>
      <c r="S340" s="94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9"/>
      <c r="L341" s="140"/>
      <c r="N341" s="138"/>
      <c r="O341" s="141"/>
      <c r="S341" s="94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9"/>
      <c r="L342" s="140"/>
      <c r="N342" s="138"/>
      <c r="O342" s="141"/>
      <c r="S342" s="94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9"/>
      <c r="L343" s="140"/>
      <c r="N343" s="138"/>
      <c r="O343" s="141"/>
      <c r="S343" s="94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9"/>
      <c r="L344" s="140"/>
      <c r="N344" s="138"/>
      <c r="O344" s="141"/>
      <c r="S344" s="94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9"/>
      <c r="L345" s="140"/>
      <c r="N345" s="138"/>
      <c r="O345" s="141"/>
      <c r="S345" s="94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9"/>
      <c r="L346" s="140"/>
      <c r="N346" s="138"/>
      <c r="O346" s="141"/>
      <c r="S346" s="94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9"/>
      <c r="L347" s="140"/>
      <c r="N347" s="138"/>
      <c r="O347" s="141"/>
      <c r="S347" s="94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9"/>
      <c r="L348" s="140"/>
      <c r="N348" s="138"/>
      <c r="O348" s="141"/>
      <c r="S348" s="94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9"/>
      <c r="L349" s="140"/>
      <c r="N349" s="138"/>
      <c r="O349" s="141"/>
      <c r="S349" s="94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9"/>
      <c r="L350" s="140"/>
      <c r="N350" s="138"/>
      <c r="O350" s="141"/>
      <c r="S350" s="94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9"/>
      <c r="L351" s="140"/>
      <c r="N351" s="138"/>
      <c r="O351" s="141"/>
      <c r="S351" s="94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9"/>
      <c r="L352" s="140"/>
      <c r="N352" s="138"/>
      <c r="O352" s="141"/>
      <c r="S352" s="94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9"/>
      <c r="L353" s="140"/>
      <c r="N353" s="138"/>
      <c r="O353" s="141"/>
      <c r="S353" s="94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9"/>
      <c r="L354" s="140"/>
      <c r="N354" s="138"/>
      <c r="O354" s="141"/>
      <c r="S354" s="94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9"/>
      <c r="L355" s="140"/>
      <c r="N355" s="138"/>
      <c r="O355" s="141"/>
      <c r="S355" s="94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9"/>
      <c r="L356" s="140"/>
      <c r="N356" s="138"/>
      <c r="O356" s="141"/>
      <c r="S356" s="94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9"/>
      <c r="L357" s="140"/>
      <c r="N357" s="138"/>
      <c r="O357" s="141"/>
      <c r="S357" s="94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9"/>
      <c r="L358" s="140"/>
      <c r="N358" s="138"/>
      <c r="O358" s="141"/>
      <c r="S358" s="94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9"/>
      <c r="L359" s="140"/>
      <c r="N359" s="138"/>
      <c r="O359" s="141"/>
      <c r="S359" s="94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9"/>
      <c r="L360" s="140"/>
      <c r="N360" s="138"/>
      <c r="O360" s="141"/>
      <c r="S360" s="94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9"/>
      <c r="L361" s="140"/>
      <c r="N361" s="138"/>
      <c r="O361" s="141"/>
      <c r="S361" s="94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9"/>
      <c r="L362" s="140"/>
      <c r="N362" s="138"/>
      <c r="O362" s="141"/>
      <c r="S362" s="94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9"/>
      <c r="L363" s="140"/>
      <c r="N363" s="138"/>
      <c r="O363" s="141"/>
      <c r="S363" s="94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9"/>
      <c r="L364" s="140"/>
      <c r="N364" s="138"/>
      <c r="O364" s="141"/>
      <c r="S364" s="94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9"/>
      <c r="L365" s="140"/>
      <c r="N365" s="138"/>
      <c r="O365" s="141"/>
      <c r="S365" s="94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9"/>
      <c r="L366" s="140"/>
      <c r="N366" s="138"/>
      <c r="O366" s="141"/>
      <c r="S366" s="94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L367" s="140"/>
      <c r="N367" s="138"/>
      <c r="O367" s="141"/>
      <c r="S367" s="94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9"/>
      <c r="L368" s="140"/>
      <c r="N368" s="138"/>
      <c r="O368" s="141"/>
      <c r="S368" s="94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9"/>
      <c r="L369" s="140"/>
      <c r="N369" s="138"/>
      <c r="O369" s="141"/>
      <c r="S369" s="94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9"/>
      <c r="L370" s="140"/>
      <c r="N370" s="138"/>
      <c r="O370" s="141"/>
      <c r="S370" s="94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9"/>
      <c r="L371" s="140"/>
      <c r="N371" s="138"/>
      <c r="O371" s="141"/>
      <c r="S371" s="94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9"/>
      <c r="L372" s="140"/>
      <c r="N372" s="138"/>
      <c r="O372" s="141"/>
      <c r="S372" s="94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L373" s="140"/>
      <c r="N373" s="138"/>
      <c r="O373" s="141"/>
      <c r="S373" s="94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9"/>
      <c r="L374" s="140"/>
      <c r="N374" s="138"/>
      <c r="O374" s="141"/>
      <c r="S374" s="94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9"/>
      <c r="L375" s="140"/>
      <c r="N375" s="138"/>
      <c r="O375" s="141"/>
      <c r="S375" s="94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9"/>
      <c r="L376" s="140"/>
      <c r="N376" s="138"/>
      <c r="O376" s="141"/>
      <c r="S376" s="94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9"/>
      <c r="L377" s="140"/>
      <c r="N377" s="138"/>
      <c r="O377" s="141"/>
      <c r="S377" s="94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9"/>
      <c r="L378" s="140"/>
      <c r="N378" s="138"/>
      <c r="O378" s="141"/>
      <c r="S378" s="94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9"/>
      <c r="L379" s="140"/>
      <c r="N379" s="138"/>
      <c r="O379" s="141"/>
      <c r="S379" s="94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9"/>
      <c r="L380" s="140"/>
      <c r="N380" s="138"/>
      <c r="O380" s="141"/>
      <c r="S380" s="94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9"/>
      <c r="L381" s="140"/>
      <c r="N381" s="138"/>
      <c r="O381" s="141"/>
      <c r="S381" s="94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9"/>
      <c r="L382" s="140"/>
      <c r="N382" s="138"/>
      <c r="O382" s="141"/>
      <c r="S382" s="94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9"/>
      <c r="L383" s="140"/>
      <c r="N383" s="138"/>
      <c r="O383" s="141"/>
      <c r="S383" s="94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9"/>
      <c r="L384" s="140"/>
      <c r="N384" s="138"/>
      <c r="O384" s="141"/>
      <c r="S384" s="94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9"/>
      <c r="L385" s="140"/>
      <c r="N385" s="138"/>
      <c r="O385" s="141"/>
      <c r="S385" s="94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9"/>
      <c r="L386" s="140"/>
      <c r="N386" s="138"/>
      <c r="O386" s="141"/>
      <c r="S386" s="94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9"/>
      <c r="L387" s="140"/>
      <c r="N387" s="138"/>
      <c r="O387" s="141"/>
      <c r="S387" s="94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9"/>
      <c r="L388" s="140"/>
      <c r="N388" s="138"/>
      <c r="O388" s="141"/>
      <c r="S388" s="94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9"/>
      <c r="L389" s="140"/>
      <c r="N389" s="138"/>
      <c r="O389" s="141"/>
      <c r="S389" s="94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9"/>
      <c r="L390" s="140"/>
      <c r="N390" s="138"/>
      <c r="O390" s="141"/>
      <c r="S390" s="94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9"/>
      <c r="L391" s="140"/>
      <c r="N391" s="138"/>
      <c r="O391" s="141"/>
      <c r="S391" s="94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9"/>
      <c r="L392" s="140"/>
      <c r="N392" s="138"/>
      <c r="O392" s="141"/>
      <c r="S392" s="94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9"/>
      <c r="L393" s="140"/>
      <c r="N393" s="138"/>
      <c r="O393" s="141"/>
      <c r="S393" s="94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9"/>
      <c r="L394" s="140"/>
      <c r="N394" s="138"/>
      <c r="O394" s="141"/>
      <c r="S394" s="94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9"/>
      <c r="L395" s="140"/>
      <c r="N395" s="138"/>
      <c r="O395" s="141"/>
      <c r="S395" s="94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9"/>
      <c r="L396" s="140"/>
      <c r="N396" s="138"/>
      <c r="O396" s="141"/>
      <c r="S396" s="94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9"/>
      <c r="L397" s="140"/>
      <c r="N397" s="138"/>
      <c r="O397" s="141"/>
      <c r="S397" s="94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9"/>
      <c r="L398" s="140"/>
      <c r="N398" s="138"/>
      <c r="O398" s="141"/>
      <c r="S398" s="94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9"/>
      <c r="L399" s="140"/>
      <c r="N399" s="138"/>
      <c r="O399" s="141"/>
      <c r="S399" s="94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9"/>
      <c r="L400" s="140"/>
      <c r="N400" s="138"/>
      <c r="O400" s="141"/>
      <c r="S400" s="94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9"/>
      <c r="L401" s="140"/>
      <c r="N401" s="138"/>
      <c r="O401" s="141"/>
      <c r="S401" s="94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9"/>
      <c r="L402" s="140"/>
      <c r="N402" s="138"/>
      <c r="O402" s="141"/>
      <c r="S402" s="94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9"/>
      <c r="L403" s="140"/>
      <c r="N403" s="138"/>
      <c r="O403" s="141"/>
      <c r="S403" s="94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L404" s="140"/>
      <c r="N404" s="138"/>
      <c r="O404" s="141"/>
      <c r="S404" s="94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9"/>
      <c r="L405" s="140"/>
      <c r="N405" s="138"/>
      <c r="O405" s="141"/>
      <c r="S405" s="94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9"/>
      <c r="L406" s="140"/>
      <c r="N406" s="138"/>
      <c r="O406" s="141"/>
      <c r="S406" s="94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9"/>
      <c r="L407" s="140"/>
      <c r="N407" s="138"/>
      <c r="O407" s="141"/>
      <c r="S407" s="94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9"/>
      <c r="L408" s="140"/>
      <c r="N408" s="138"/>
      <c r="O408" s="141"/>
      <c r="S408" s="94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9"/>
      <c r="L409" s="140"/>
      <c r="N409" s="138"/>
      <c r="O409" s="141"/>
      <c r="S409" s="94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L410" s="140"/>
      <c r="N410" s="138"/>
      <c r="O410" s="141"/>
      <c r="S410" s="94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9"/>
      <c r="L411" s="140"/>
      <c r="N411" s="138"/>
      <c r="O411" s="141"/>
      <c r="S411" s="94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9"/>
      <c r="L412" s="140"/>
      <c r="N412" s="138"/>
      <c r="O412" s="141"/>
      <c r="S412" s="94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9"/>
      <c r="L413" s="140"/>
      <c r="N413" s="138"/>
      <c r="O413" s="141"/>
      <c r="S413" s="94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9"/>
      <c r="L414" s="140"/>
      <c r="N414" s="138"/>
      <c r="O414" s="141"/>
      <c r="S414" s="94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9"/>
      <c r="L415" s="140"/>
      <c r="N415" s="138"/>
      <c r="O415" s="141"/>
      <c r="S415" s="94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9"/>
      <c r="L416" s="140"/>
      <c r="N416" s="138"/>
      <c r="O416" s="141"/>
      <c r="S416" s="94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9"/>
      <c r="L417" s="140"/>
      <c r="N417" s="138"/>
      <c r="O417" s="141"/>
      <c r="S417" s="94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9"/>
      <c r="L418" s="140"/>
      <c r="N418" s="138"/>
      <c r="O418" s="141"/>
      <c r="S418" s="94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9"/>
      <c r="L419" s="140"/>
      <c r="N419" s="138"/>
      <c r="O419" s="141"/>
      <c r="S419" s="94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9"/>
      <c r="L420" s="140"/>
      <c r="N420" s="138"/>
      <c r="O420" s="141"/>
      <c r="S420" s="94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9"/>
      <c r="L421" s="140"/>
      <c r="N421" s="138"/>
      <c r="O421" s="141"/>
      <c r="S421" s="94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9"/>
      <c r="L422" s="140"/>
      <c r="N422" s="138"/>
      <c r="O422" s="141"/>
      <c r="S422" s="94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9"/>
      <c r="L423" s="140"/>
      <c r="N423" s="138"/>
      <c r="O423" s="141"/>
      <c r="S423" s="94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9"/>
      <c r="L424" s="140"/>
      <c r="N424" s="138"/>
      <c r="O424" s="141"/>
      <c r="S424" s="94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9"/>
      <c r="L425" s="140"/>
      <c r="N425" s="138"/>
      <c r="O425" s="141"/>
      <c r="S425" s="94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9"/>
      <c r="L426" s="140"/>
      <c r="N426" s="138"/>
      <c r="O426" s="141"/>
      <c r="S426" s="94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9"/>
      <c r="L427" s="140"/>
      <c r="N427" s="138"/>
      <c r="O427" s="141"/>
      <c r="S427" s="94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9"/>
      <c r="L428" s="140"/>
      <c r="N428" s="138"/>
      <c r="O428" s="141"/>
      <c r="S428" s="94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9"/>
      <c r="L429" s="140"/>
      <c r="N429" s="138"/>
      <c r="O429" s="141"/>
      <c r="S429" s="94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9"/>
      <c r="L430" s="140"/>
      <c r="N430" s="138"/>
      <c r="O430" s="141"/>
      <c r="S430" s="94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9"/>
      <c r="L431" s="140"/>
      <c r="N431" s="138"/>
      <c r="O431" s="141"/>
      <c r="S431" s="94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9"/>
      <c r="L432" s="140"/>
      <c r="N432" s="138"/>
      <c r="O432" s="141"/>
      <c r="S432" s="94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9"/>
      <c r="L433" s="140"/>
      <c r="N433" s="138"/>
      <c r="O433" s="141"/>
      <c r="S433" s="94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9"/>
      <c r="L434" s="140"/>
      <c r="N434" s="138"/>
      <c r="O434" s="141"/>
      <c r="S434" s="94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9"/>
      <c r="L435" s="140"/>
      <c r="N435" s="138"/>
      <c r="O435" s="141"/>
      <c r="S435" s="94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9"/>
      <c r="L436" s="140"/>
      <c r="N436" s="138"/>
      <c r="O436" s="141"/>
      <c r="S436" s="94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9"/>
      <c r="L437" s="140"/>
      <c r="N437" s="138"/>
      <c r="O437" s="141"/>
      <c r="S437" s="94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9"/>
      <c r="L438" s="140"/>
      <c r="N438" s="138"/>
      <c r="O438" s="141"/>
      <c r="S438" s="94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9"/>
      <c r="L439" s="140"/>
      <c r="N439" s="138"/>
      <c r="O439" s="141"/>
      <c r="S439" s="94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9"/>
      <c r="L440" s="140"/>
      <c r="N440" s="138"/>
      <c r="O440" s="141"/>
      <c r="S440" s="94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L441" s="140"/>
      <c r="N441" s="138"/>
      <c r="O441" s="141"/>
      <c r="S441" s="94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9"/>
      <c r="L442" s="140"/>
      <c r="N442" s="138"/>
      <c r="O442" s="141"/>
      <c r="S442" s="94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9"/>
      <c r="L443" s="140"/>
      <c r="N443" s="138"/>
      <c r="O443" s="141"/>
      <c r="S443" s="94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9"/>
      <c r="L444" s="140"/>
      <c r="N444" s="138"/>
      <c r="O444" s="141"/>
      <c r="S444" s="94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9"/>
      <c r="L445" s="140"/>
      <c r="N445" s="138"/>
      <c r="O445" s="141"/>
      <c r="S445" s="94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9"/>
      <c r="L446" s="140"/>
      <c r="N446" s="138"/>
      <c r="O446" s="141"/>
      <c r="S446" s="94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L447" s="140"/>
      <c r="N447" s="138"/>
      <c r="O447" s="141"/>
      <c r="S447" s="94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9"/>
      <c r="L448" s="140"/>
      <c r="N448" s="138"/>
      <c r="O448" s="141"/>
      <c r="S448" s="94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9"/>
      <c r="L449" s="140"/>
      <c r="N449" s="138"/>
      <c r="O449" s="141"/>
      <c r="S449" s="94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9"/>
      <c r="L450" s="140"/>
      <c r="N450" s="138"/>
      <c r="O450" s="141"/>
      <c r="S450" s="94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9"/>
      <c r="L451" s="140"/>
      <c r="N451" s="138"/>
      <c r="O451" s="141"/>
      <c r="S451" s="94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9"/>
      <c r="L452" s="140"/>
      <c r="N452" s="138"/>
      <c r="O452" s="141"/>
      <c r="S452" s="94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9"/>
      <c r="L453" s="140"/>
      <c r="N453" s="138"/>
      <c r="O453" s="141"/>
      <c r="S453" s="94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9"/>
      <c r="L454" s="140"/>
      <c r="N454" s="138"/>
      <c r="O454" s="141"/>
      <c r="S454" s="94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9"/>
      <c r="L455" s="140"/>
      <c r="N455" s="138"/>
      <c r="O455" s="141"/>
      <c r="S455" s="94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9"/>
      <c r="L456" s="140"/>
      <c r="N456" s="138"/>
      <c r="O456" s="141"/>
      <c r="S456" s="94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9"/>
      <c r="L457" s="140"/>
      <c r="N457" s="138"/>
      <c r="O457" s="141"/>
      <c r="S457" s="94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9"/>
      <c r="L458" s="140"/>
      <c r="N458" s="138"/>
      <c r="O458" s="141"/>
      <c r="S458" s="94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9"/>
      <c r="L459" s="140"/>
      <c r="N459" s="138"/>
      <c r="O459" s="141"/>
      <c r="S459" s="94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9"/>
      <c r="L460" s="140"/>
      <c r="N460" s="138"/>
      <c r="O460" s="141"/>
      <c r="S460" s="94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9"/>
      <c r="L461" s="140"/>
      <c r="N461" s="138"/>
      <c r="O461" s="141"/>
      <c r="S461" s="94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9"/>
      <c r="L462" s="140"/>
      <c r="N462" s="138"/>
      <c r="O462" s="141"/>
      <c r="S462" s="94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9"/>
      <c r="L463" s="140"/>
      <c r="N463" s="138"/>
      <c r="O463" s="141"/>
      <c r="S463" s="94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9"/>
      <c r="L464" s="140"/>
      <c r="N464" s="138"/>
      <c r="O464" s="141"/>
      <c r="S464" s="94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9"/>
      <c r="L465" s="140"/>
      <c r="N465" s="138"/>
      <c r="O465" s="141"/>
      <c r="S465" s="94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9"/>
      <c r="L466" s="140"/>
      <c r="N466" s="138"/>
      <c r="O466" s="141"/>
      <c r="S466" s="94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9"/>
      <c r="L467" s="140"/>
      <c r="N467" s="138"/>
      <c r="O467" s="141"/>
      <c r="S467" s="94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9"/>
      <c r="L468" s="140"/>
      <c r="N468" s="138"/>
      <c r="O468" s="141"/>
      <c r="S468" s="94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9"/>
      <c r="L469" s="140"/>
      <c r="N469" s="138"/>
      <c r="O469" s="141"/>
      <c r="S469" s="94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9"/>
      <c r="L470" s="140"/>
      <c r="N470" s="138"/>
      <c r="O470" s="141"/>
      <c r="S470" s="94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9"/>
      <c r="L471" s="140"/>
      <c r="N471" s="138"/>
      <c r="O471" s="141"/>
      <c r="S471" s="94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9"/>
      <c r="L472" s="140"/>
      <c r="N472" s="138"/>
      <c r="O472" s="141"/>
      <c r="S472" s="94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9"/>
      <c r="L473" s="140"/>
      <c r="N473" s="138"/>
      <c r="O473" s="141"/>
      <c r="S473" s="94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9"/>
      <c r="L474" s="140"/>
      <c r="N474" s="138"/>
      <c r="O474" s="141"/>
      <c r="S474" s="94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9"/>
      <c r="L475" s="140"/>
      <c r="N475" s="138"/>
      <c r="O475" s="141"/>
      <c r="S475" s="94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9"/>
      <c r="L476" s="140"/>
      <c r="N476" s="138"/>
      <c r="O476" s="141"/>
      <c r="S476" s="94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9"/>
      <c r="L477" s="140"/>
      <c r="N477" s="138"/>
      <c r="O477" s="141"/>
      <c r="S477" s="94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L478" s="140"/>
      <c r="N478" s="138"/>
      <c r="O478" s="141"/>
      <c r="S478" s="94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9"/>
      <c r="L479" s="140"/>
      <c r="N479" s="138"/>
      <c r="O479" s="141"/>
      <c r="S479" s="94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9"/>
      <c r="L480" s="140"/>
      <c r="N480" s="138"/>
      <c r="O480" s="141"/>
      <c r="S480" s="94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9"/>
      <c r="L481" s="140"/>
      <c r="N481" s="138"/>
      <c r="O481" s="141"/>
      <c r="S481" s="94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9"/>
      <c r="L482" s="140"/>
      <c r="N482" s="138"/>
      <c r="O482" s="141"/>
      <c r="S482" s="94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9"/>
      <c r="L483" s="140"/>
      <c r="N483" s="138"/>
      <c r="O483" s="141"/>
      <c r="S483" s="94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L484" s="140"/>
      <c r="N484" s="138"/>
      <c r="O484" s="141"/>
      <c r="S484" s="94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9"/>
      <c r="L485" s="140"/>
      <c r="N485" s="138"/>
      <c r="O485" s="141"/>
      <c r="S485" s="94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9"/>
      <c r="L486" s="140"/>
      <c r="N486" s="138"/>
      <c r="O486" s="141"/>
      <c r="S486" s="94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9"/>
      <c r="L487" s="140"/>
      <c r="N487" s="138"/>
      <c r="O487" s="141"/>
      <c r="S487" s="94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9"/>
      <c r="L488" s="140"/>
      <c r="N488" s="138"/>
      <c r="O488" s="141"/>
      <c r="S488" s="94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9"/>
      <c r="L489" s="140"/>
      <c r="N489" s="138"/>
      <c r="O489" s="141"/>
      <c r="S489" s="94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9"/>
      <c r="L490" s="140"/>
      <c r="N490" s="138"/>
      <c r="O490" s="141"/>
      <c r="S490" s="94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9"/>
      <c r="L491" s="140"/>
      <c r="N491" s="138"/>
      <c r="O491" s="141"/>
      <c r="S491" s="94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9"/>
      <c r="L492" s="140"/>
      <c r="N492" s="138"/>
      <c r="O492" s="141"/>
      <c r="S492" s="94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9"/>
      <c r="L493" s="140"/>
      <c r="N493" s="138"/>
      <c r="O493" s="141"/>
      <c r="S493" s="94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9"/>
      <c r="L494" s="140"/>
      <c r="N494" s="138"/>
      <c r="O494" s="141"/>
      <c r="S494" s="94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9"/>
      <c r="L495" s="140"/>
      <c r="N495" s="138"/>
      <c r="O495" s="141"/>
      <c r="S495" s="94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9"/>
      <c r="L496" s="140"/>
      <c r="N496" s="138"/>
      <c r="O496" s="141"/>
      <c r="S496" s="94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9"/>
      <c r="L497" s="140"/>
      <c r="N497" s="138"/>
      <c r="O497" s="141"/>
      <c r="S497" s="94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9"/>
      <c r="L498" s="140"/>
      <c r="N498" s="138"/>
      <c r="O498" s="141"/>
      <c r="S498" s="94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9"/>
      <c r="L499" s="140"/>
      <c r="N499" s="138"/>
      <c r="O499" s="141"/>
      <c r="S499" s="94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9"/>
      <c r="L500" s="140"/>
      <c r="N500" s="138"/>
      <c r="O500" s="141"/>
      <c r="S500" s="94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9"/>
      <c r="L501" s="140"/>
      <c r="N501" s="138"/>
      <c r="O501" s="141"/>
      <c r="S501" s="94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9"/>
      <c r="L502" s="140"/>
      <c r="N502" s="138"/>
      <c r="O502" s="141"/>
      <c r="S502" s="94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9"/>
      <c r="L503" s="140"/>
      <c r="N503" s="138"/>
      <c r="O503" s="141"/>
      <c r="S503" s="94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9"/>
      <c r="L504" s="140"/>
      <c r="N504" s="138"/>
      <c r="O504" s="141"/>
      <c r="S504" s="94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9"/>
      <c r="L505" s="140"/>
      <c r="N505" s="138"/>
      <c r="O505" s="141"/>
      <c r="S505" s="94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9"/>
      <c r="L506" s="140"/>
      <c r="N506" s="138"/>
      <c r="O506" s="141"/>
      <c r="S506" s="94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9"/>
      <c r="L507" s="140"/>
      <c r="N507" s="138"/>
      <c r="O507" s="141"/>
      <c r="S507" s="94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9"/>
      <c r="L508" s="140"/>
      <c r="N508" s="138"/>
      <c r="O508" s="141"/>
      <c r="S508" s="94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9"/>
      <c r="L509" s="140"/>
      <c r="N509" s="138"/>
      <c r="O509" s="141"/>
      <c r="S509" s="94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9"/>
      <c r="L510" s="140"/>
      <c r="N510" s="138"/>
      <c r="O510" s="141"/>
      <c r="S510" s="94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9"/>
      <c r="L511" s="140"/>
      <c r="N511" s="138"/>
      <c r="O511" s="141"/>
      <c r="S511" s="94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9"/>
      <c r="L512" s="140"/>
      <c r="N512" s="138"/>
      <c r="O512" s="141"/>
      <c r="S512" s="94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9"/>
      <c r="L513" s="140"/>
      <c r="N513" s="138"/>
      <c r="O513" s="141"/>
      <c r="S513" s="94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9"/>
      <c r="L514" s="140"/>
      <c r="N514" s="138"/>
      <c r="O514" s="141"/>
      <c r="S514" s="94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L515" s="140"/>
      <c r="N515" s="138"/>
      <c r="O515" s="141"/>
      <c r="S515" s="94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9"/>
      <c r="L516" s="140"/>
      <c r="N516" s="138"/>
      <c r="O516" s="141"/>
      <c r="S516" s="94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9"/>
      <c r="L517" s="140"/>
      <c r="N517" s="138"/>
      <c r="O517" s="141"/>
      <c r="S517" s="94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9"/>
      <c r="L518" s="140"/>
      <c r="N518" s="138"/>
      <c r="O518" s="141"/>
      <c r="S518" s="94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9"/>
      <c r="L519" s="140"/>
      <c r="N519" s="138"/>
      <c r="O519" s="141"/>
      <c r="S519" s="94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9"/>
      <c r="L520" s="140"/>
      <c r="N520" s="138"/>
      <c r="O520" s="141"/>
      <c r="S520" s="94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L521" s="140"/>
      <c r="N521" s="138"/>
      <c r="O521" s="141"/>
      <c r="S521" s="94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9"/>
      <c r="L522" s="140"/>
      <c r="N522" s="138"/>
      <c r="O522" s="141"/>
      <c r="S522" s="94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9"/>
      <c r="L523" s="140"/>
      <c r="N523" s="138"/>
      <c r="O523" s="141"/>
      <c r="S523" s="94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9"/>
      <c r="L524" s="140"/>
      <c r="N524" s="138"/>
      <c r="O524" s="141"/>
      <c r="S524" s="94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9"/>
      <c r="L525" s="140"/>
      <c r="N525" s="138"/>
      <c r="O525" s="141"/>
      <c r="S525" s="94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9"/>
      <c r="L526" s="140"/>
      <c r="N526" s="138"/>
      <c r="O526" s="141"/>
      <c r="S526" s="94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9"/>
      <c r="L527" s="140"/>
      <c r="N527" s="138"/>
      <c r="O527" s="141"/>
      <c r="S527" s="94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9"/>
      <c r="L528" s="140"/>
      <c r="N528" s="138"/>
      <c r="O528" s="141"/>
      <c r="S528" s="94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9"/>
      <c r="L529" s="140"/>
      <c r="N529" s="138"/>
      <c r="O529" s="141"/>
      <c r="S529" s="94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9"/>
      <c r="L530" s="140"/>
      <c r="N530" s="138"/>
      <c r="O530" s="141"/>
      <c r="S530" s="94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9"/>
      <c r="L531" s="140"/>
      <c r="N531" s="138"/>
      <c r="O531" s="141"/>
      <c r="S531" s="94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9"/>
      <c r="L532" s="140"/>
      <c r="N532" s="138"/>
      <c r="O532" s="141"/>
      <c r="S532" s="94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9"/>
      <c r="L533" s="140"/>
      <c r="N533" s="138"/>
      <c r="O533" s="141"/>
      <c r="S533" s="94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9"/>
      <c r="L534" s="140"/>
      <c r="N534" s="138"/>
      <c r="O534" s="141"/>
      <c r="S534" s="94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9"/>
      <c r="L535" s="140"/>
      <c r="N535" s="138"/>
      <c r="O535" s="141"/>
      <c r="S535" s="94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9"/>
      <c r="L536" s="140"/>
      <c r="N536" s="138"/>
      <c r="O536" s="141"/>
      <c r="S536" s="94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9"/>
      <c r="L537" s="140"/>
      <c r="N537" s="138"/>
      <c r="O537" s="141"/>
      <c r="S537" s="94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9"/>
      <c r="L538" s="140"/>
      <c r="N538" s="138"/>
      <c r="O538" s="141"/>
      <c r="S538" s="94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9"/>
      <c r="L539" s="140"/>
      <c r="N539" s="138"/>
      <c r="O539" s="141"/>
      <c r="S539" s="94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9"/>
      <c r="L540" s="140"/>
      <c r="N540" s="138"/>
      <c r="O540" s="141"/>
      <c r="S540" s="94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9"/>
      <c r="L541" s="140"/>
      <c r="N541" s="138"/>
      <c r="O541" s="141"/>
      <c r="S541" s="94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9"/>
      <c r="L542" s="140"/>
      <c r="N542" s="138"/>
      <c r="O542" s="141"/>
      <c r="S542" s="94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9"/>
      <c r="L543" s="140"/>
      <c r="N543" s="138"/>
      <c r="O543" s="141"/>
      <c r="S543" s="94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9"/>
      <c r="L544" s="140"/>
      <c r="N544" s="138"/>
      <c r="O544" s="141"/>
      <c r="S544" s="94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9"/>
      <c r="L545" s="140"/>
      <c r="N545" s="138"/>
      <c r="O545" s="141"/>
      <c r="S545" s="94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9"/>
      <c r="L546" s="140"/>
      <c r="N546" s="138"/>
      <c r="O546" s="141"/>
      <c r="S546" s="94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9"/>
      <c r="L547" s="140"/>
      <c r="N547" s="138"/>
      <c r="O547" s="141"/>
      <c r="S547" s="94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9"/>
      <c r="L548" s="140"/>
      <c r="N548" s="138"/>
      <c r="O548" s="141"/>
      <c r="S548" s="94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9"/>
      <c r="L549" s="140"/>
      <c r="N549" s="138"/>
      <c r="O549" s="141"/>
      <c r="S549" s="94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9"/>
      <c r="L550" s="140"/>
      <c r="N550" s="138"/>
      <c r="O550" s="141"/>
      <c r="S550" s="94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9"/>
      <c r="L551" s="140"/>
      <c r="N551" s="138"/>
      <c r="O551" s="141"/>
      <c r="S551" s="94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L552" s="140"/>
      <c r="N552" s="138"/>
      <c r="O552" s="141"/>
      <c r="S552" s="94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9"/>
      <c r="L553" s="140"/>
      <c r="N553" s="138"/>
      <c r="O553" s="141"/>
      <c r="S553" s="94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9"/>
      <c r="L554" s="140"/>
      <c r="N554" s="138"/>
      <c r="O554" s="141"/>
      <c r="S554" s="94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9"/>
      <c r="L555" s="140"/>
      <c r="N555" s="138"/>
      <c r="O555" s="141"/>
      <c r="S555" s="94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9"/>
      <c r="L556" s="140"/>
      <c r="N556" s="138"/>
      <c r="O556" s="141"/>
      <c r="S556" s="94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9"/>
      <c r="L557" s="140"/>
      <c r="N557" s="138"/>
      <c r="O557" s="141"/>
      <c r="S557" s="94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L558" s="140"/>
      <c r="N558" s="138"/>
      <c r="O558" s="141"/>
      <c r="S558" s="94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9"/>
      <c r="L559" s="140"/>
      <c r="N559" s="138"/>
      <c r="O559" s="141"/>
      <c r="S559" s="94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9"/>
      <c r="L560" s="140"/>
      <c r="N560" s="138"/>
      <c r="O560" s="141"/>
      <c r="S560" s="94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9"/>
      <c r="L561" s="140"/>
      <c r="N561" s="138"/>
      <c r="O561" s="141"/>
      <c r="S561" s="94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9"/>
      <c r="L562" s="140"/>
      <c r="N562" s="138"/>
      <c r="O562" s="141"/>
      <c r="S562" s="94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9"/>
      <c r="L563" s="140"/>
      <c r="N563" s="138"/>
      <c r="O563" s="141"/>
      <c r="S563" s="94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9"/>
      <c r="L564" s="140"/>
      <c r="N564" s="138"/>
      <c r="O564" s="141"/>
      <c r="S564" s="94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9"/>
      <c r="L565" s="140"/>
      <c r="N565" s="138"/>
      <c r="O565" s="141"/>
      <c r="S565" s="94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9"/>
      <c r="L566" s="140"/>
      <c r="N566" s="138"/>
      <c r="O566" s="141"/>
      <c r="S566" s="94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9"/>
      <c r="L567" s="140"/>
      <c r="N567" s="138"/>
      <c r="O567" s="141"/>
      <c r="S567" s="94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9"/>
      <c r="L568" s="140"/>
      <c r="N568" s="138"/>
      <c r="O568" s="141"/>
      <c r="S568" s="94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9"/>
      <c r="L569" s="140"/>
      <c r="N569" s="138"/>
      <c r="O569" s="141"/>
      <c r="S569" s="94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9"/>
      <c r="L570" s="140"/>
      <c r="N570" s="138"/>
      <c r="O570" s="141"/>
      <c r="S570" s="94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9"/>
      <c r="L571" s="140"/>
      <c r="N571" s="138"/>
      <c r="O571" s="141"/>
      <c r="S571" s="94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9"/>
      <c r="L572" s="140"/>
      <c r="N572" s="138"/>
      <c r="O572" s="141"/>
      <c r="S572" s="94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9"/>
      <c r="L573" s="140"/>
      <c r="N573" s="138"/>
      <c r="O573" s="141"/>
      <c r="S573" s="94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9"/>
      <c r="L574" s="140"/>
      <c r="N574" s="138"/>
      <c r="O574" s="141"/>
      <c r="S574" s="94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9"/>
      <c r="L575" s="140"/>
      <c r="N575" s="138"/>
      <c r="O575" s="141"/>
      <c r="S575" s="94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9"/>
      <c r="L576" s="140"/>
      <c r="N576" s="138"/>
      <c r="O576" s="141"/>
      <c r="S576" s="94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9"/>
      <c r="L577" s="140"/>
      <c r="N577" s="138"/>
      <c r="O577" s="141"/>
      <c r="S577" s="94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9"/>
      <c r="L578" s="140"/>
      <c r="N578" s="138"/>
      <c r="O578" s="141"/>
      <c r="S578" s="94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9"/>
      <c r="L579" s="140"/>
      <c r="N579" s="138"/>
      <c r="O579" s="141"/>
      <c r="S579" s="94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9"/>
      <c r="L580" s="140"/>
      <c r="N580" s="138"/>
      <c r="O580" s="141"/>
      <c r="S580" s="94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9"/>
      <c r="L581" s="140"/>
      <c r="N581" s="138"/>
      <c r="O581" s="141"/>
      <c r="S581" s="94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9"/>
      <c r="L582" s="140"/>
      <c r="N582" s="138"/>
      <c r="O582" s="141"/>
      <c r="S582" s="94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9"/>
      <c r="L583" s="140"/>
      <c r="N583" s="138"/>
      <c r="O583" s="141"/>
      <c r="S583" s="94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9"/>
      <c r="L584" s="140"/>
      <c r="N584" s="138"/>
      <c r="O584" s="141"/>
      <c r="S584" s="94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9"/>
      <c r="L585" s="140"/>
      <c r="N585" s="138"/>
      <c r="O585" s="141"/>
      <c r="S585" s="94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9"/>
      <c r="L586" s="140"/>
      <c r="N586" s="138"/>
      <c r="O586" s="141"/>
      <c r="S586" s="94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9"/>
      <c r="L587" s="140"/>
      <c r="N587" s="138"/>
      <c r="O587" s="141"/>
      <c r="S587" s="94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9"/>
      <c r="L588" s="140"/>
      <c r="N588" s="138"/>
      <c r="O588" s="141"/>
      <c r="S588" s="94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L589" s="140"/>
      <c r="N589" s="138"/>
      <c r="O589" s="141"/>
      <c r="S589" s="94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9"/>
      <c r="L590" s="140"/>
      <c r="N590" s="138"/>
      <c r="O590" s="141"/>
      <c r="S590" s="94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9"/>
      <c r="L591" s="140"/>
      <c r="N591" s="138"/>
      <c r="O591" s="141"/>
      <c r="S591" s="94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9"/>
      <c r="L592" s="140"/>
      <c r="N592" s="138"/>
      <c r="O592" s="141"/>
      <c r="S592" s="94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9"/>
      <c r="L593" s="140"/>
      <c r="N593" s="138"/>
      <c r="O593" s="141"/>
      <c r="S593" s="94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9"/>
      <c r="L594" s="140"/>
      <c r="N594" s="138"/>
      <c r="O594" s="141"/>
      <c r="S594" s="94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L595" s="140"/>
      <c r="N595" s="138"/>
      <c r="O595" s="141"/>
      <c r="S595" s="94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9"/>
      <c r="L596" s="140"/>
      <c r="N596" s="138"/>
      <c r="O596" s="141"/>
      <c r="S596" s="94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9"/>
      <c r="L597" s="140"/>
      <c r="N597" s="138"/>
      <c r="O597" s="141"/>
      <c r="S597" s="94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9"/>
      <c r="L598" s="140"/>
      <c r="N598" s="138"/>
      <c r="O598" s="141"/>
      <c r="S598" s="94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9"/>
      <c r="L599" s="140"/>
      <c r="N599" s="138"/>
      <c r="O599" s="141"/>
      <c r="S599" s="94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9"/>
      <c r="L600" s="140"/>
      <c r="N600" s="138"/>
      <c r="O600" s="141"/>
      <c r="S600" s="94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9"/>
      <c r="L601" s="140"/>
      <c r="N601" s="138"/>
      <c r="O601" s="141"/>
      <c r="S601" s="94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9"/>
      <c r="L602" s="140"/>
      <c r="N602" s="138"/>
      <c r="O602" s="141"/>
      <c r="S602" s="94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9"/>
      <c r="L603" s="140"/>
      <c r="N603" s="138"/>
      <c r="O603" s="141"/>
      <c r="S603" s="94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9"/>
      <c r="L604" s="140"/>
      <c r="N604" s="138"/>
      <c r="O604" s="141"/>
      <c r="S604" s="94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9"/>
      <c r="L605" s="140"/>
      <c r="N605" s="138"/>
      <c r="O605" s="141"/>
      <c r="S605" s="94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9"/>
      <c r="L606" s="140"/>
      <c r="N606" s="138"/>
      <c r="O606" s="141"/>
      <c r="S606" s="94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9"/>
      <c r="L607" s="140"/>
      <c r="N607" s="138"/>
      <c r="O607" s="141"/>
      <c r="S607" s="94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9"/>
      <c r="L608" s="140"/>
      <c r="N608" s="138"/>
      <c r="O608" s="141"/>
      <c r="S608" s="94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9"/>
      <c r="L609" s="140"/>
      <c r="N609" s="138"/>
      <c r="O609" s="141"/>
      <c r="S609" s="94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9"/>
      <c r="L610" s="140"/>
      <c r="N610" s="138"/>
      <c r="O610" s="141"/>
      <c r="S610" s="94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9"/>
      <c r="L611" s="140"/>
      <c r="N611" s="138"/>
      <c r="O611" s="141"/>
      <c r="S611" s="94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9"/>
      <c r="L612" s="140"/>
      <c r="N612" s="138"/>
      <c r="O612" s="141"/>
      <c r="S612" s="94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9"/>
      <c r="L613" s="140"/>
      <c r="N613" s="138"/>
      <c r="O613" s="141"/>
      <c r="S613" s="94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9"/>
      <c r="L614" s="140"/>
      <c r="N614" s="138"/>
      <c r="O614" s="141"/>
      <c r="S614" s="94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9"/>
      <c r="L615" s="140"/>
      <c r="N615" s="138"/>
      <c r="O615" s="141"/>
      <c r="S615" s="94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9"/>
      <c r="L616" s="140"/>
      <c r="N616" s="138"/>
      <c r="O616" s="141"/>
      <c r="S616" s="94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9"/>
      <c r="L617" s="140"/>
      <c r="N617" s="138"/>
      <c r="O617" s="141"/>
      <c r="S617" s="94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9"/>
      <c r="L618" s="140"/>
      <c r="N618" s="138"/>
      <c r="O618" s="141"/>
      <c r="S618" s="94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9"/>
      <c r="L619" s="140"/>
      <c r="N619" s="138"/>
      <c r="O619" s="141"/>
      <c r="S619" s="94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9"/>
      <c r="L620" s="140"/>
      <c r="N620" s="138"/>
      <c r="O620" s="141"/>
      <c r="S620" s="94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9"/>
      <c r="L621" s="140"/>
      <c r="N621" s="138"/>
      <c r="O621" s="141"/>
      <c r="S621" s="94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9"/>
      <c r="L622" s="140"/>
      <c r="N622" s="138"/>
      <c r="O622" s="141"/>
      <c r="S622" s="94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9"/>
      <c r="L623" s="140"/>
      <c r="N623" s="138"/>
      <c r="O623" s="141"/>
      <c r="S623" s="94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9"/>
      <c r="L624" s="140"/>
      <c r="N624" s="138"/>
      <c r="O624" s="141"/>
      <c r="S624" s="94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9"/>
      <c r="L625" s="140"/>
      <c r="N625" s="138"/>
      <c r="O625" s="141"/>
      <c r="S625" s="94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L626" s="140"/>
      <c r="N626" s="138"/>
      <c r="O626" s="141"/>
      <c r="S626" s="94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9"/>
      <c r="L627" s="140"/>
      <c r="N627" s="138"/>
      <c r="O627" s="141"/>
      <c r="S627" s="94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9"/>
      <c r="L628" s="140"/>
      <c r="N628" s="138"/>
      <c r="O628" s="141"/>
      <c r="S628" s="94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9"/>
      <c r="L629" s="140"/>
      <c r="N629" s="138"/>
      <c r="O629" s="141"/>
      <c r="S629" s="94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9"/>
      <c r="L630" s="140"/>
      <c r="N630" s="138"/>
      <c r="O630" s="141"/>
      <c r="S630" s="94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9"/>
      <c r="L631" s="140"/>
      <c r="N631" s="138"/>
      <c r="O631" s="141"/>
      <c r="S631" s="94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L632" s="140"/>
      <c r="N632" s="138"/>
      <c r="O632" s="141"/>
      <c r="S632" s="94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9"/>
      <c r="L633" s="140"/>
      <c r="N633" s="138"/>
      <c r="O633" s="141"/>
      <c r="S633" s="94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9"/>
      <c r="L634" s="140"/>
      <c r="N634" s="138"/>
      <c r="O634" s="141"/>
      <c r="S634" s="94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9"/>
      <c r="L635" s="140"/>
      <c r="N635" s="138"/>
      <c r="O635" s="141"/>
      <c r="S635" s="94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9"/>
      <c r="L636" s="140"/>
      <c r="N636" s="138"/>
      <c r="O636" s="141"/>
      <c r="S636" s="94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9"/>
      <c r="L637" s="140"/>
      <c r="N637" s="138"/>
      <c r="O637" s="141"/>
      <c r="S637" s="94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9"/>
      <c r="L638" s="140"/>
      <c r="N638" s="138"/>
      <c r="O638" s="141"/>
      <c r="S638" s="94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9"/>
      <c r="L639" s="140"/>
      <c r="N639" s="138"/>
      <c r="O639" s="141"/>
      <c r="S639" s="94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9"/>
      <c r="L640" s="140"/>
      <c r="N640" s="138"/>
      <c r="O640" s="141"/>
      <c r="S640" s="94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9"/>
      <c r="L641" s="140"/>
      <c r="N641" s="138"/>
      <c r="O641" s="141"/>
      <c r="S641" s="94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9"/>
      <c r="L642" s="140"/>
      <c r="N642" s="138"/>
      <c r="O642" s="141"/>
      <c r="S642" s="94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9"/>
      <c r="L643" s="140"/>
      <c r="N643" s="138"/>
      <c r="O643" s="141"/>
      <c r="S643" s="94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9"/>
      <c r="L644" s="140"/>
      <c r="N644" s="138"/>
      <c r="O644" s="141"/>
      <c r="S644" s="94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9"/>
      <c r="L645" s="140"/>
      <c r="N645" s="138"/>
      <c r="O645" s="141"/>
      <c r="S645" s="94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9"/>
      <c r="L646" s="140"/>
      <c r="N646" s="138"/>
      <c r="O646" s="141"/>
      <c r="S646" s="94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9"/>
      <c r="L647" s="140"/>
      <c r="N647" s="138"/>
      <c r="O647" s="141"/>
      <c r="S647" s="94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9"/>
      <c r="L648" s="140"/>
      <c r="N648" s="138"/>
      <c r="O648" s="141"/>
      <c r="S648" s="94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9"/>
      <c r="L649" s="140"/>
      <c r="N649" s="138"/>
      <c r="O649" s="141"/>
      <c r="S649" s="94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9"/>
      <c r="L650" s="140"/>
      <c r="N650" s="138"/>
      <c r="O650" s="141"/>
      <c r="S650" s="94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9"/>
      <c r="L651" s="140"/>
      <c r="N651" s="138"/>
      <c r="O651" s="141"/>
      <c r="S651" s="94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9"/>
      <c r="L652" s="140"/>
      <c r="N652" s="138"/>
      <c r="O652" s="141"/>
      <c r="S652" s="94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9"/>
      <c r="L653" s="140"/>
      <c r="N653" s="138"/>
      <c r="O653" s="141"/>
      <c r="S653" s="94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9"/>
      <c r="L654" s="140"/>
      <c r="N654" s="138"/>
      <c r="O654" s="141"/>
      <c r="S654" s="94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9"/>
      <c r="L655" s="140"/>
      <c r="N655" s="138"/>
      <c r="O655" s="141"/>
      <c r="S655" s="94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9"/>
      <c r="L656" s="140"/>
      <c r="N656" s="138"/>
      <c r="O656" s="141"/>
      <c r="S656" s="94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9"/>
      <c r="L657" s="140"/>
      <c r="N657" s="138"/>
      <c r="O657" s="141"/>
      <c r="S657" s="94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9"/>
      <c r="L658" s="140"/>
      <c r="N658" s="138"/>
      <c r="O658" s="141"/>
      <c r="S658" s="94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9"/>
      <c r="L659" s="140"/>
      <c r="N659" s="138"/>
      <c r="O659" s="141"/>
      <c r="S659" s="94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9"/>
      <c r="L660" s="140"/>
      <c r="N660" s="138"/>
      <c r="O660" s="141"/>
      <c r="S660" s="94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9"/>
      <c r="L661" s="140"/>
      <c r="N661" s="138"/>
      <c r="O661" s="141"/>
      <c r="S661" s="94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9"/>
      <c r="L662" s="140"/>
      <c r="N662" s="138"/>
      <c r="O662" s="141"/>
      <c r="S662" s="94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L663" s="140"/>
      <c r="N663" s="138"/>
      <c r="O663" s="141"/>
      <c r="S663" s="94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9"/>
      <c r="L664" s="140"/>
      <c r="N664" s="138"/>
      <c r="O664" s="141"/>
      <c r="S664" s="94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9"/>
      <c r="L665" s="140"/>
      <c r="N665" s="138"/>
      <c r="O665" s="141"/>
      <c r="S665" s="94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9"/>
      <c r="L666" s="140"/>
      <c r="N666" s="138"/>
      <c r="O666" s="141"/>
      <c r="S666" s="94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9"/>
      <c r="L667" s="140"/>
      <c r="N667" s="138"/>
      <c r="O667" s="141"/>
      <c r="S667" s="94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9"/>
      <c r="L668" s="140"/>
      <c r="N668" s="138"/>
      <c r="O668" s="141"/>
      <c r="S668" s="94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L669" s="140"/>
      <c r="N669" s="138"/>
      <c r="O669" s="141"/>
      <c r="S669" s="94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9"/>
      <c r="L670" s="140"/>
      <c r="N670" s="138"/>
      <c r="O670" s="141"/>
      <c r="S670" s="94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9"/>
      <c r="L671" s="140"/>
      <c r="N671" s="138"/>
      <c r="O671" s="141"/>
      <c r="S671" s="94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9"/>
      <c r="L672" s="140"/>
      <c r="N672" s="138"/>
      <c r="O672" s="141"/>
      <c r="S672" s="94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9"/>
      <c r="L673" s="140"/>
      <c r="N673" s="138"/>
      <c r="O673" s="141"/>
      <c r="S673" s="94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9"/>
      <c r="L674" s="140"/>
      <c r="N674" s="138"/>
      <c r="O674" s="141"/>
      <c r="S674" s="94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9"/>
      <c r="L675" s="140"/>
      <c r="N675" s="138"/>
      <c r="O675" s="141"/>
      <c r="S675" s="94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9"/>
      <c r="L676" s="140"/>
      <c r="N676" s="138"/>
      <c r="O676" s="141"/>
      <c r="S676" s="94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9"/>
      <c r="L677" s="140"/>
      <c r="N677" s="138"/>
      <c r="O677" s="141"/>
      <c r="S677" s="94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9"/>
      <c r="L678" s="140"/>
      <c r="N678" s="138"/>
      <c r="O678" s="141"/>
      <c r="S678" s="94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9"/>
      <c r="L679" s="140"/>
      <c r="N679" s="138"/>
      <c r="O679" s="141"/>
      <c r="S679" s="94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9"/>
      <c r="L680" s="140"/>
      <c r="N680" s="138"/>
      <c r="O680" s="141"/>
      <c r="S680" s="94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9"/>
      <c r="L681" s="140"/>
      <c r="N681" s="138"/>
      <c r="O681" s="141"/>
      <c r="S681" s="94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9"/>
      <c r="L682" s="140"/>
      <c r="N682" s="138"/>
      <c r="O682" s="141"/>
      <c r="S682" s="94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9"/>
      <c r="L683" s="140"/>
      <c r="N683" s="138"/>
      <c r="O683" s="141"/>
      <c r="S683" s="94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9"/>
      <c r="L684" s="140"/>
      <c r="N684" s="138"/>
      <c r="O684" s="141"/>
      <c r="S684" s="94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9"/>
      <c r="L685" s="140"/>
      <c r="N685" s="138"/>
      <c r="O685" s="141"/>
      <c r="S685" s="94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9"/>
      <c r="L686" s="140"/>
      <c r="N686" s="138"/>
      <c r="O686" s="141"/>
      <c r="S686" s="94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9"/>
      <c r="L687" s="140"/>
      <c r="N687" s="138"/>
      <c r="O687" s="141"/>
      <c r="S687" s="94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9"/>
      <c r="L688" s="140"/>
      <c r="N688" s="138"/>
      <c r="O688" s="141"/>
      <c r="S688" s="94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9"/>
      <c r="L689" s="140"/>
      <c r="N689" s="138"/>
      <c r="O689" s="141"/>
      <c r="S689" s="94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9"/>
      <c r="L690" s="140"/>
      <c r="N690" s="138"/>
      <c r="O690" s="141"/>
      <c r="S690" s="94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9"/>
      <c r="L691" s="140"/>
      <c r="N691" s="138"/>
      <c r="O691" s="141"/>
      <c r="S691" s="94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9"/>
      <c r="L692" s="140"/>
      <c r="N692" s="138"/>
      <c r="O692" s="141"/>
      <c r="S692" s="94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9"/>
      <c r="L693" s="140"/>
      <c r="N693" s="138"/>
      <c r="O693" s="141"/>
      <c r="S693" s="94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9"/>
      <c r="L694" s="140"/>
      <c r="N694" s="138"/>
      <c r="O694" s="141"/>
      <c r="S694" s="94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9"/>
      <c r="L695" s="140"/>
      <c r="N695" s="138"/>
      <c r="O695" s="141"/>
      <c r="S695" s="94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9"/>
      <c r="L696" s="140"/>
      <c r="N696" s="138"/>
      <c r="O696" s="141"/>
      <c r="S696" s="94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9"/>
      <c r="L697" s="140"/>
      <c r="N697" s="138"/>
      <c r="O697" s="141"/>
      <c r="S697" s="94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9"/>
      <c r="L698" s="140"/>
      <c r="N698" s="138"/>
      <c r="O698" s="141"/>
      <c r="S698" s="94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9"/>
      <c r="L699" s="140"/>
      <c r="N699" s="138"/>
      <c r="O699" s="141"/>
      <c r="S699" s="94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L700" s="140"/>
      <c r="N700" s="138"/>
      <c r="O700" s="141"/>
      <c r="S700" s="94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9"/>
      <c r="L701" s="140"/>
      <c r="N701" s="138"/>
      <c r="O701" s="141"/>
      <c r="S701" s="94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9"/>
      <c r="L702" s="140"/>
      <c r="N702" s="138"/>
      <c r="O702" s="141"/>
      <c r="S702" s="94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9"/>
      <c r="L703" s="140"/>
      <c r="N703" s="138"/>
      <c r="O703" s="141"/>
      <c r="S703" s="94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9"/>
      <c r="L704" s="140"/>
      <c r="N704" s="138"/>
      <c r="O704" s="141"/>
      <c r="S704" s="94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9"/>
      <c r="L705" s="140"/>
      <c r="N705" s="138"/>
      <c r="O705" s="141"/>
      <c r="S705" s="94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L706" s="140"/>
      <c r="N706" s="138"/>
      <c r="O706" s="141"/>
      <c r="S706" s="94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9"/>
      <c r="L707" s="140"/>
      <c r="N707" s="138"/>
      <c r="O707" s="141"/>
      <c r="S707" s="94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9"/>
      <c r="L708" s="140"/>
      <c r="N708" s="138"/>
      <c r="O708" s="141"/>
      <c r="S708" s="94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9"/>
      <c r="L709" s="140"/>
      <c r="N709" s="138"/>
      <c r="O709" s="141"/>
      <c r="S709" s="94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9"/>
      <c r="L710" s="140"/>
      <c r="N710" s="138"/>
      <c r="O710" s="141"/>
      <c r="S710" s="94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9"/>
      <c r="L711" s="140"/>
      <c r="N711" s="138"/>
      <c r="O711" s="141"/>
      <c r="S711" s="94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9"/>
      <c r="L712" s="140"/>
      <c r="N712" s="138"/>
      <c r="O712" s="141"/>
      <c r="S712" s="94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9"/>
      <c r="L713" s="140"/>
      <c r="N713" s="138"/>
      <c r="O713" s="141"/>
      <c r="S713" s="94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9"/>
      <c r="L714" s="140"/>
      <c r="N714" s="138"/>
      <c r="O714" s="141"/>
      <c r="S714" s="94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9"/>
      <c r="L715" s="140"/>
      <c r="N715" s="138"/>
      <c r="O715" s="141"/>
      <c r="S715" s="94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9"/>
      <c r="L716" s="140"/>
      <c r="N716" s="138"/>
      <c r="O716" s="141"/>
      <c r="S716" s="94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9"/>
      <c r="L717" s="140"/>
      <c r="N717" s="138"/>
      <c r="O717" s="141"/>
      <c r="S717" s="94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9"/>
      <c r="L718" s="140"/>
      <c r="N718" s="138"/>
      <c r="O718" s="141"/>
      <c r="S718" s="94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9"/>
      <c r="L719" s="140"/>
      <c r="N719" s="138"/>
      <c r="O719" s="141"/>
      <c r="S719" s="94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9"/>
      <c r="L720" s="140"/>
      <c r="N720" s="138"/>
      <c r="O720" s="141"/>
      <c r="S720" s="94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9"/>
      <c r="L721" s="140"/>
      <c r="N721" s="138"/>
      <c r="O721" s="141"/>
      <c r="S721" s="94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9"/>
      <c r="L722" s="140"/>
      <c r="N722" s="138"/>
      <c r="O722" s="141"/>
      <c r="S722" s="94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9"/>
      <c r="L723" s="140"/>
      <c r="N723" s="138"/>
      <c r="O723" s="141"/>
      <c r="S723" s="94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9"/>
      <c r="L724" s="140"/>
      <c r="N724" s="138"/>
      <c r="O724" s="141"/>
      <c r="S724" s="94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9"/>
      <c r="L725" s="140"/>
      <c r="N725" s="138"/>
      <c r="O725" s="141"/>
      <c r="S725" s="94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9"/>
      <c r="L726" s="140"/>
      <c r="N726" s="138"/>
      <c r="O726" s="141"/>
      <c r="S726" s="94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9"/>
      <c r="L727" s="140"/>
      <c r="N727" s="138"/>
      <c r="O727" s="141"/>
      <c r="S727" s="94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9"/>
      <c r="L728" s="140"/>
      <c r="N728" s="138"/>
      <c r="O728" s="141"/>
      <c r="S728" s="94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9"/>
      <c r="L729" s="140"/>
      <c r="N729" s="138"/>
      <c r="O729" s="141"/>
      <c r="S729" s="94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9"/>
      <c r="L730" s="140"/>
      <c r="N730" s="138"/>
      <c r="O730" s="141"/>
      <c r="S730" s="94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9"/>
      <c r="L731" s="140"/>
      <c r="N731" s="138"/>
      <c r="O731" s="141"/>
      <c r="S731" s="94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9"/>
      <c r="L732" s="140"/>
      <c r="N732" s="138"/>
      <c r="O732" s="141"/>
      <c r="S732" s="94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9"/>
      <c r="L733" s="140"/>
      <c r="N733" s="138"/>
      <c r="O733" s="141"/>
      <c r="S733" s="94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9"/>
      <c r="L734" s="140"/>
      <c r="N734" s="138"/>
      <c r="O734" s="141"/>
      <c r="S734" s="94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9"/>
      <c r="L735" s="140"/>
      <c r="N735" s="138"/>
      <c r="O735" s="141"/>
      <c r="S735" s="94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9"/>
      <c r="L736" s="140"/>
      <c r="N736" s="138"/>
      <c r="O736" s="141"/>
      <c r="S736" s="94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L737" s="140"/>
      <c r="N737" s="138"/>
      <c r="O737" s="141"/>
      <c r="S737" s="94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9"/>
      <c r="L738" s="140"/>
      <c r="N738" s="138"/>
      <c r="O738" s="141"/>
      <c r="S738" s="94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9"/>
      <c r="L739" s="140"/>
      <c r="N739" s="138"/>
      <c r="O739" s="141"/>
      <c r="S739" s="94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9"/>
      <c r="L740" s="140"/>
      <c r="N740" s="138"/>
      <c r="O740" s="141"/>
      <c r="S740" s="94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9"/>
      <c r="L741" s="140"/>
      <c r="N741" s="138"/>
      <c r="O741" s="141"/>
      <c r="S741" s="94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9"/>
      <c r="L742" s="140"/>
      <c r="N742" s="138"/>
      <c r="O742" s="141"/>
      <c r="S742" s="94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L743" s="140"/>
      <c r="N743" s="138"/>
      <c r="O743" s="141"/>
      <c r="S743" s="94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9"/>
      <c r="L744" s="140"/>
      <c r="N744" s="138"/>
      <c r="O744" s="141"/>
      <c r="S744" s="94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9"/>
      <c r="L745" s="140"/>
      <c r="N745" s="138"/>
      <c r="O745" s="141"/>
      <c r="S745" s="94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9"/>
      <c r="L746" s="140"/>
      <c r="N746" s="138"/>
      <c r="O746" s="141"/>
      <c r="S746" s="94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9"/>
      <c r="L747" s="140"/>
      <c r="N747" s="138"/>
      <c r="O747" s="141"/>
      <c r="S747" s="94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9"/>
      <c r="L748" s="140"/>
      <c r="N748" s="138"/>
      <c r="O748" s="141"/>
      <c r="S748" s="94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9"/>
      <c r="L749" s="140"/>
      <c r="N749" s="138"/>
      <c r="O749" s="141"/>
      <c r="S749" s="94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9"/>
      <c r="L750" s="140"/>
      <c r="N750" s="138"/>
      <c r="O750" s="141"/>
      <c r="S750" s="94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9"/>
      <c r="L751" s="140"/>
      <c r="N751" s="138"/>
      <c r="O751" s="141"/>
      <c r="S751" s="94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9"/>
      <c r="L752" s="140"/>
      <c r="N752" s="138"/>
      <c r="O752" s="141"/>
      <c r="S752" s="94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9"/>
      <c r="L753" s="140"/>
      <c r="N753" s="138"/>
      <c r="O753" s="141"/>
      <c r="S753" s="94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9"/>
      <c r="L754" s="140"/>
      <c r="N754" s="138"/>
      <c r="O754" s="141"/>
      <c r="S754" s="94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9"/>
      <c r="L755" s="140"/>
      <c r="N755" s="138"/>
      <c r="O755" s="141"/>
      <c r="S755" s="94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9"/>
      <c r="L756" s="140"/>
      <c r="N756" s="138"/>
      <c r="O756" s="141"/>
      <c r="S756" s="94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9"/>
      <c r="L757" s="140"/>
      <c r="N757" s="138"/>
      <c r="O757" s="141"/>
      <c r="S757" s="94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9"/>
      <c r="L758" s="140"/>
      <c r="N758" s="138"/>
      <c r="O758" s="141"/>
      <c r="S758" s="94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9"/>
      <c r="L759" s="140"/>
      <c r="N759" s="138"/>
      <c r="O759" s="141"/>
      <c r="S759" s="94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9"/>
      <c r="L760" s="140"/>
      <c r="N760" s="138"/>
      <c r="O760" s="141"/>
      <c r="S760" s="94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9"/>
      <c r="L761" s="140"/>
      <c r="N761" s="138"/>
      <c r="O761" s="141"/>
      <c r="S761" s="94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9"/>
      <c r="L762" s="140"/>
      <c r="N762" s="138"/>
      <c r="O762" s="141"/>
      <c r="S762" s="94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9"/>
      <c r="L763" s="140"/>
      <c r="N763" s="138"/>
      <c r="O763" s="141"/>
      <c r="S763" s="94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9"/>
      <c r="L764" s="140"/>
      <c r="N764" s="138"/>
      <c r="O764" s="141"/>
      <c r="S764" s="94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9"/>
      <c r="L765" s="140"/>
      <c r="N765" s="138"/>
      <c r="O765" s="141"/>
      <c r="S765" s="94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9"/>
      <c r="L766" s="140"/>
      <c r="N766" s="138"/>
      <c r="O766" s="141"/>
      <c r="S766" s="94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9"/>
      <c r="L767" s="140"/>
      <c r="N767" s="138"/>
      <c r="O767" s="141"/>
      <c r="S767" s="94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9"/>
      <c r="L768" s="140"/>
      <c r="N768" s="138"/>
      <c r="O768" s="141"/>
      <c r="S768" s="94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9"/>
      <c r="L769" s="140"/>
      <c r="N769" s="138"/>
      <c r="O769" s="141"/>
      <c r="S769" s="94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9"/>
      <c r="L770" s="140"/>
      <c r="N770" s="138"/>
      <c r="O770" s="141"/>
      <c r="S770" s="94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9"/>
      <c r="L771" s="140"/>
      <c r="N771" s="138"/>
      <c r="O771" s="141"/>
      <c r="S771" s="94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9"/>
      <c r="L772" s="140"/>
      <c r="N772" s="138"/>
      <c r="O772" s="141"/>
      <c r="S772" s="94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9"/>
      <c r="L773" s="140"/>
      <c r="N773" s="138"/>
      <c r="O773" s="141"/>
      <c r="S773" s="94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L774" s="140"/>
      <c r="N774" s="138"/>
      <c r="O774" s="141"/>
      <c r="S774" s="94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9"/>
      <c r="L775" s="140"/>
      <c r="N775" s="138"/>
      <c r="O775" s="141"/>
      <c r="S775" s="94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9"/>
      <c r="L776" s="140"/>
      <c r="N776" s="138"/>
      <c r="O776" s="141"/>
      <c r="S776" s="94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9"/>
      <c r="L777" s="140"/>
      <c r="N777" s="138"/>
      <c r="O777" s="141"/>
      <c r="S777" s="94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9"/>
      <c r="L778" s="140"/>
      <c r="N778" s="138"/>
      <c r="O778" s="141"/>
      <c r="S778" s="94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9"/>
      <c r="L779" s="140"/>
      <c r="N779" s="138"/>
      <c r="O779" s="141"/>
      <c r="S779" s="94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L780" s="140"/>
      <c r="N780" s="138"/>
      <c r="O780" s="141"/>
      <c r="S780" s="94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9"/>
      <c r="L781" s="140"/>
      <c r="N781" s="138"/>
      <c r="O781" s="141"/>
      <c r="S781" s="94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9"/>
      <c r="L782" s="140"/>
      <c r="N782" s="138"/>
      <c r="O782" s="141"/>
      <c r="S782" s="94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9"/>
      <c r="L783" s="140"/>
      <c r="N783" s="138"/>
      <c r="O783" s="141"/>
      <c r="S783" s="94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9"/>
      <c r="L784" s="140"/>
      <c r="N784" s="138"/>
      <c r="O784" s="141"/>
      <c r="S784" s="94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9"/>
      <c r="L785" s="140"/>
      <c r="N785" s="138"/>
      <c r="O785" s="141"/>
      <c r="S785" s="94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9"/>
      <c r="L786" s="140"/>
      <c r="N786" s="138"/>
      <c r="O786" s="141"/>
      <c r="S786" s="94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9"/>
      <c r="L787" s="140"/>
      <c r="N787" s="138"/>
      <c r="O787" s="141"/>
      <c r="S787" s="94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9"/>
      <c r="L788" s="140"/>
      <c r="N788" s="138"/>
      <c r="O788" s="141"/>
      <c r="S788" s="94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9"/>
      <c r="L789" s="140"/>
      <c r="N789" s="138"/>
      <c r="O789" s="141"/>
      <c r="S789" s="94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9"/>
      <c r="L790" s="140"/>
      <c r="N790" s="138"/>
      <c r="O790" s="141"/>
      <c r="S790" s="94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9"/>
      <c r="L791" s="140"/>
      <c r="N791" s="138"/>
      <c r="O791" s="141"/>
      <c r="S791" s="94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9"/>
      <c r="L792" s="140"/>
      <c r="N792" s="138"/>
      <c r="O792" s="141"/>
      <c r="S792" s="94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9"/>
      <c r="L793" s="140"/>
      <c r="N793" s="138"/>
      <c r="O793" s="141"/>
      <c r="S793" s="94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9"/>
      <c r="L794" s="140"/>
      <c r="N794" s="138"/>
      <c r="O794" s="141"/>
      <c r="S794" s="94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9"/>
      <c r="L795" s="140"/>
      <c r="N795" s="138"/>
      <c r="O795" s="141"/>
      <c r="S795" s="94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9"/>
      <c r="L796" s="140"/>
      <c r="N796" s="138"/>
      <c r="O796" s="141"/>
      <c r="S796" s="94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9"/>
      <c r="L797" s="140"/>
      <c r="N797" s="138"/>
      <c r="O797" s="141"/>
      <c r="S797" s="94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9"/>
      <c r="L798" s="140"/>
      <c r="N798" s="138"/>
      <c r="O798" s="141"/>
      <c r="S798" s="94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9"/>
      <c r="L799" s="140"/>
      <c r="N799" s="138"/>
      <c r="O799" s="141"/>
      <c r="S799" s="94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9"/>
      <c r="L800" s="140"/>
      <c r="N800" s="138"/>
      <c r="O800" s="141"/>
      <c r="S800" s="94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9"/>
      <c r="L801" s="140"/>
      <c r="N801" s="138"/>
      <c r="O801" s="141"/>
      <c r="S801" s="94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9"/>
      <c r="L802" s="140"/>
      <c r="N802" s="138"/>
      <c r="O802" s="141"/>
      <c r="S802" s="94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9"/>
      <c r="L803" s="140"/>
      <c r="N803" s="138"/>
      <c r="O803" s="141"/>
      <c r="S803" s="94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9"/>
      <c r="L804" s="140"/>
      <c r="N804" s="138"/>
      <c r="O804" s="141"/>
      <c r="S804" s="94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9"/>
      <c r="L805" s="140"/>
      <c r="N805" s="138"/>
      <c r="O805" s="141"/>
      <c r="S805" s="94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9"/>
      <c r="L806" s="140"/>
      <c r="N806" s="138"/>
      <c r="O806" s="141"/>
      <c r="S806" s="94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9"/>
      <c r="L807" s="140"/>
      <c r="N807" s="138"/>
      <c r="O807" s="141"/>
      <c r="S807" s="94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9"/>
      <c r="L808" s="140"/>
      <c r="N808" s="138"/>
      <c r="O808" s="141"/>
      <c r="S808" s="94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9"/>
      <c r="L809" s="140"/>
      <c r="N809" s="138"/>
      <c r="O809" s="141"/>
      <c r="S809" s="94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9"/>
      <c r="L810" s="140"/>
      <c r="N810" s="138"/>
      <c r="O810" s="141"/>
      <c r="S810" s="94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L811" s="140"/>
      <c r="N811" s="138"/>
      <c r="O811" s="141"/>
      <c r="S811" s="94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9"/>
      <c r="L812" s="140"/>
      <c r="N812" s="138"/>
      <c r="O812" s="141"/>
      <c r="S812" s="94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9"/>
      <c r="L813" s="140"/>
      <c r="N813" s="138"/>
      <c r="O813" s="141"/>
      <c r="S813" s="94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9"/>
      <c r="L814" s="140"/>
      <c r="N814" s="138"/>
      <c r="O814" s="141"/>
      <c r="S814" s="94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9"/>
      <c r="L815" s="140"/>
      <c r="N815" s="138"/>
      <c r="O815" s="141"/>
      <c r="S815" s="94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9"/>
      <c r="L816" s="140"/>
      <c r="N816" s="138"/>
      <c r="O816" s="141"/>
      <c r="S816" s="94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L817" s="140"/>
      <c r="N817" s="138"/>
      <c r="O817" s="141"/>
      <c r="S817" s="94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9"/>
      <c r="L818" s="140"/>
      <c r="N818" s="138"/>
      <c r="O818" s="141"/>
      <c r="S818" s="94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9"/>
      <c r="L819" s="140"/>
      <c r="N819" s="138"/>
      <c r="O819" s="141"/>
      <c r="S819" s="94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9"/>
      <c r="L820" s="140"/>
      <c r="N820" s="138"/>
      <c r="O820" s="141"/>
      <c r="S820" s="94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9"/>
      <c r="L821" s="140"/>
      <c r="N821" s="138"/>
      <c r="O821" s="141"/>
      <c r="S821" s="94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9"/>
      <c r="L822" s="140"/>
      <c r="N822" s="138"/>
      <c r="O822" s="141"/>
      <c r="S822" s="94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9"/>
      <c r="L823" s="140"/>
      <c r="N823" s="138"/>
      <c r="O823" s="141"/>
      <c r="S823" s="94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9"/>
      <c r="L824" s="140"/>
      <c r="N824" s="138"/>
      <c r="O824" s="141"/>
      <c r="S824" s="94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9"/>
      <c r="L825" s="140"/>
      <c r="N825" s="138"/>
      <c r="O825" s="141"/>
      <c r="S825" s="94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9"/>
      <c r="L826" s="140"/>
      <c r="N826" s="138"/>
      <c r="O826" s="141"/>
      <c r="S826" s="94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9"/>
      <c r="L827" s="140"/>
      <c r="N827" s="138"/>
      <c r="O827" s="141"/>
      <c r="S827" s="94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9"/>
      <c r="L828" s="140"/>
      <c r="N828" s="138"/>
      <c r="O828" s="141"/>
      <c r="S828" s="94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9"/>
      <c r="L829" s="140"/>
      <c r="N829" s="138"/>
      <c r="O829" s="141"/>
      <c r="S829" s="94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9"/>
      <c r="L830" s="140"/>
      <c r="N830" s="138"/>
      <c r="O830" s="141"/>
      <c r="S830" s="94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9"/>
      <c r="L831" s="140"/>
      <c r="N831" s="138"/>
      <c r="O831" s="141"/>
      <c r="S831" s="94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9"/>
      <c r="L832" s="140"/>
      <c r="N832" s="138"/>
      <c r="O832" s="141"/>
      <c r="S832" s="94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9"/>
      <c r="L833" s="140"/>
      <c r="N833" s="138"/>
      <c r="O833" s="141"/>
      <c r="S833" s="94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9"/>
      <c r="L834" s="140"/>
      <c r="N834" s="138"/>
      <c r="O834" s="141"/>
      <c r="S834" s="94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9"/>
      <c r="L835" s="140"/>
      <c r="N835" s="138"/>
      <c r="O835" s="141"/>
      <c r="S835" s="94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9"/>
      <c r="L836" s="140"/>
      <c r="N836" s="138"/>
      <c r="O836" s="141"/>
      <c r="S836" s="94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9"/>
      <c r="L837" s="140"/>
      <c r="N837" s="138"/>
      <c r="O837" s="141"/>
      <c r="S837" s="94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9"/>
      <c r="L838" s="140"/>
      <c r="N838" s="138"/>
      <c r="O838" s="141"/>
      <c r="S838" s="94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9"/>
      <c r="L839" s="140"/>
      <c r="N839" s="138"/>
      <c r="O839" s="141"/>
      <c r="S839" s="94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9"/>
      <c r="L840" s="140"/>
      <c r="N840" s="138"/>
      <c r="O840" s="141"/>
      <c r="S840" s="94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9"/>
      <c r="L841" s="140"/>
      <c r="N841" s="138"/>
      <c r="O841" s="141"/>
      <c r="S841" s="94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9"/>
      <c r="L842" s="140"/>
      <c r="N842" s="138"/>
      <c r="O842" s="141"/>
      <c r="S842" s="94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9"/>
      <c r="L843" s="140"/>
      <c r="N843" s="138"/>
      <c r="O843" s="141"/>
      <c r="S843" s="94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9"/>
      <c r="L844" s="140"/>
      <c r="N844" s="138"/>
      <c r="O844" s="141"/>
      <c r="S844" s="94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9"/>
      <c r="L845" s="140"/>
      <c r="N845" s="138"/>
      <c r="O845" s="141"/>
      <c r="S845" s="94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9"/>
      <c r="L846" s="140"/>
      <c r="N846" s="138"/>
      <c r="O846" s="141"/>
      <c r="S846" s="94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9"/>
      <c r="L847" s="140"/>
      <c r="N847" s="138"/>
      <c r="O847" s="141"/>
      <c r="S847" s="94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9"/>
      <c r="L848" s="140"/>
      <c r="N848" s="138"/>
      <c r="O848" s="141"/>
      <c r="S848" s="94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9"/>
      <c r="L849" s="140"/>
      <c r="N849" s="138"/>
      <c r="O849" s="141"/>
      <c r="S849" s="94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9"/>
      <c r="L850" s="140"/>
      <c r="N850" s="138"/>
      <c r="O850" s="141"/>
      <c r="S850" s="94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9"/>
      <c r="L851" s="140"/>
      <c r="N851" s="138"/>
      <c r="O851" s="141"/>
      <c r="S851" s="94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9"/>
      <c r="L852" s="140"/>
      <c r="N852" s="138"/>
      <c r="O852" s="141"/>
      <c r="S852" s="94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9"/>
      <c r="L853" s="140"/>
      <c r="N853" s="138"/>
      <c r="O853" s="141"/>
      <c r="S853" s="94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9"/>
      <c r="L854" s="140"/>
      <c r="N854" s="138"/>
      <c r="O854" s="141"/>
      <c r="S854" s="94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9"/>
      <c r="L855" s="140"/>
      <c r="N855" s="138"/>
      <c r="O855" s="141"/>
      <c r="S855" s="94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9"/>
      <c r="L856" s="140"/>
      <c r="N856" s="138"/>
      <c r="O856" s="141"/>
      <c r="S856" s="94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9"/>
      <c r="L857" s="140"/>
      <c r="N857" s="138"/>
      <c r="O857" s="141"/>
      <c r="S857" s="94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9"/>
      <c r="L858" s="140"/>
      <c r="N858" s="138"/>
      <c r="O858" s="141"/>
      <c r="S858" s="94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9"/>
      <c r="L859" s="140"/>
      <c r="N859" s="138"/>
      <c r="O859" s="141"/>
      <c r="S859" s="94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9"/>
      <c r="L860" s="140"/>
      <c r="N860" s="138"/>
      <c r="O860" s="141"/>
      <c r="S860" s="94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9"/>
      <c r="L861" s="140"/>
      <c r="N861" s="138"/>
      <c r="O861" s="141"/>
      <c r="S861" s="94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9"/>
      <c r="L862" s="140"/>
      <c r="N862" s="138"/>
      <c r="O862" s="141"/>
      <c r="S862" s="94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9"/>
      <c r="L863" s="140"/>
      <c r="N863" s="138"/>
      <c r="O863" s="141"/>
      <c r="S863" s="94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9"/>
      <c r="L864" s="140"/>
      <c r="N864" s="138"/>
      <c r="O864" s="141"/>
      <c r="S864" s="94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9"/>
      <c r="L865" s="140"/>
      <c r="N865" s="138"/>
      <c r="O865" s="141"/>
      <c r="S865" s="94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9"/>
      <c r="L866" s="140"/>
      <c r="N866" s="138"/>
      <c r="O866" s="141"/>
      <c r="S866" s="94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9"/>
      <c r="L867" s="140"/>
      <c r="N867" s="138"/>
      <c r="O867" s="141"/>
      <c r="S867" s="94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9"/>
      <c r="L868" s="140"/>
      <c r="N868" s="138"/>
      <c r="O868" s="141"/>
      <c r="S868" s="94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9"/>
      <c r="L869" s="140"/>
      <c r="N869" s="138"/>
      <c r="O869" s="141"/>
      <c r="S869" s="94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9"/>
      <c r="L870" s="140"/>
      <c r="N870" s="138"/>
      <c r="O870" s="141"/>
      <c r="S870" s="94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9"/>
      <c r="L871" s="140"/>
      <c r="N871" s="138"/>
      <c r="O871" s="141"/>
      <c r="S871" s="94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9"/>
      <c r="L872" s="140"/>
      <c r="N872" s="138"/>
      <c r="O872" s="141"/>
      <c r="S872" s="94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9"/>
      <c r="L873" s="140"/>
      <c r="N873" s="138"/>
      <c r="O873" s="141"/>
      <c r="S873" s="94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9"/>
      <c r="L874" s="140"/>
      <c r="N874" s="138"/>
      <c r="O874" s="141"/>
      <c r="S874" s="94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9"/>
      <c r="L875" s="140"/>
      <c r="N875" s="138"/>
      <c r="O875" s="141"/>
      <c r="S875" s="94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9"/>
      <c r="L876" s="140"/>
      <c r="N876" s="138"/>
      <c r="O876" s="141"/>
      <c r="S876" s="94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9"/>
      <c r="L877" s="140"/>
      <c r="N877" s="138"/>
      <c r="O877" s="141"/>
      <c r="S877" s="94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9"/>
      <c r="L878" s="140"/>
      <c r="N878" s="138"/>
      <c r="O878" s="141"/>
      <c r="S878" s="94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9"/>
      <c r="L879" s="140"/>
      <c r="N879" s="138"/>
      <c r="O879" s="141"/>
      <c r="S879" s="94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9"/>
      <c r="L880" s="140"/>
      <c r="N880" s="138"/>
      <c r="O880" s="141"/>
      <c r="S880" s="94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9"/>
      <c r="L881" s="140"/>
      <c r="N881" s="138"/>
      <c r="O881" s="141"/>
      <c r="S881" s="94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9"/>
      <c r="L882" s="140"/>
      <c r="N882" s="138"/>
      <c r="O882" s="141"/>
      <c r="S882" s="94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9"/>
      <c r="L883" s="140"/>
      <c r="N883" s="138"/>
      <c r="O883" s="141"/>
      <c r="S883" s="94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9"/>
      <c r="L884" s="140"/>
      <c r="N884" s="138"/>
      <c r="O884" s="141"/>
      <c r="S884" s="94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9"/>
      <c r="L885" s="140"/>
      <c r="N885" s="138"/>
      <c r="O885" s="141"/>
      <c r="S885" s="94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9"/>
      <c r="L886" s="140"/>
      <c r="N886" s="138"/>
      <c r="O886" s="141"/>
      <c r="S886" s="94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9"/>
      <c r="L887" s="140"/>
      <c r="N887" s="138"/>
      <c r="O887" s="141"/>
      <c r="S887" s="94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9"/>
      <c r="L888" s="140"/>
      <c r="N888" s="138"/>
      <c r="O888" s="141"/>
      <c r="S888" s="94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9"/>
      <c r="L889" s="140"/>
      <c r="N889" s="138"/>
      <c r="O889" s="141"/>
      <c r="S889" s="94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9"/>
      <c r="L890" s="140"/>
      <c r="N890" s="138"/>
      <c r="O890" s="141"/>
      <c r="S890" s="94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9"/>
      <c r="L891" s="140"/>
      <c r="N891" s="138"/>
      <c r="O891" s="141"/>
      <c r="S891" s="94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9"/>
      <c r="L892" s="140"/>
      <c r="N892" s="138"/>
      <c r="O892" s="141"/>
      <c r="S892" s="94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9"/>
      <c r="L893" s="140"/>
      <c r="N893" s="138"/>
      <c r="O893" s="141"/>
      <c r="S893" s="94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9"/>
      <c r="L894" s="140"/>
      <c r="N894" s="138"/>
      <c r="O894" s="141"/>
      <c r="S894" s="94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9"/>
      <c r="L895" s="140"/>
      <c r="N895" s="138"/>
      <c r="O895" s="141"/>
      <c r="S895" s="94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9"/>
      <c r="L896" s="140"/>
      <c r="N896" s="138"/>
      <c r="O896" s="141"/>
      <c r="S896" s="94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9"/>
      <c r="L897" s="140"/>
      <c r="N897" s="138"/>
      <c r="O897" s="141"/>
      <c r="S897" s="94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9"/>
      <c r="L898" s="140"/>
      <c r="N898" s="138"/>
      <c r="O898" s="141"/>
      <c r="S898" s="94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9"/>
      <c r="L899" s="140"/>
      <c r="N899" s="138"/>
      <c r="O899" s="141"/>
      <c r="S899" s="94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9"/>
      <c r="L900" s="140"/>
      <c r="N900" s="138"/>
      <c r="O900" s="141"/>
      <c r="S900" s="94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9"/>
      <c r="L901" s="140"/>
      <c r="N901" s="138"/>
      <c r="O901" s="141"/>
      <c r="S901" s="94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9"/>
      <c r="L902" s="140"/>
      <c r="N902" s="138"/>
      <c r="O902" s="141"/>
      <c r="S902" s="94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9"/>
      <c r="L903" s="140"/>
      <c r="N903" s="138"/>
      <c r="O903" s="141"/>
      <c r="S903" s="94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9"/>
      <c r="L904" s="140"/>
      <c r="N904" s="138"/>
      <c r="O904" s="141"/>
      <c r="S904" s="94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9"/>
      <c r="L905" s="140"/>
      <c r="N905" s="138"/>
      <c r="O905" s="141"/>
      <c r="S905" s="94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9"/>
      <c r="L906" s="140"/>
      <c r="N906" s="138"/>
      <c r="O906" s="141"/>
      <c r="S906" s="94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9"/>
      <c r="L907" s="140"/>
      <c r="N907" s="138"/>
      <c r="O907" s="141"/>
      <c r="S907" s="94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9"/>
      <c r="L908" s="140"/>
      <c r="N908" s="138"/>
      <c r="O908" s="141"/>
      <c r="S908" s="94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9"/>
      <c r="L909" s="140"/>
      <c r="N909" s="138"/>
      <c r="O909" s="141"/>
      <c r="S909" s="94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9"/>
      <c r="L910" s="140"/>
      <c r="N910" s="138"/>
      <c r="O910" s="141"/>
      <c r="S910" s="94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9"/>
      <c r="L911" s="140"/>
      <c r="N911" s="138"/>
      <c r="O911" s="141"/>
      <c r="S911" s="94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9"/>
      <c r="L912" s="140"/>
      <c r="N912" s="138"/>
      <c r="O912" s="141"/>
      <c r="S912" s="94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9"/>
      <c r="L913" s="140"/>
      <c r="N913" s="138"/>
      <c r="O913" s="141"/>
      <c r="S913" s="94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9"/>
      <c r="L914" s="140"/>
      <c r="N914" s="138"/>
      <c r="O914" s="141"/>
      <c r="S914" s="94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9"/>
      <c r="L915" s="140"/>
      <c r="N915" s="138"/>
      <c r="O915" s="141"/>
      <c r="S915" s="94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9"/>
      <c r="L916" s="140"/>
      <c r="N916" s="138"/>
      <c r="O916" s="141"/>
      <c r="S916" s="94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9"/>
      <c r="L917" s="140"/>
      <c r="N917" s="138"/>
      <c r="O917" s="141"/>
      <c r="S917" s="94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9"/>
      <c r="L918" s="140"/>
      <c r="N918" s="138"/>
      <c r="O918" s="141"/>
      <c r="S918" s="94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9"/>
      <c r="L919" s="140"/>
      <c r="N919" s="138"/>
      <c r="O919" s="141"/>
      <c r="S919" s="94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9"/>
      <c r="L920" s="140"/>
      <c r="N920" s="138"/>
      <c r="O920" s="141"/>
      <c r="S920" s="94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9"/>
      <c r="L921" s="140"/>
      <c r="N921" s="138"/>
      <c r="O921" s="141"/>
      <c r="S921" s="94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9"/>
      <c r="L922" s="140"/>
      <c r="N922" s="138"/>
      <c r="O922" s="141"/>
      <c r="S922" s="94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9"/>
      <c r="L923" s="140"/>
      <c r="N923" s="138"/>
      <c r="O923" s="141"/>
      <c r="S923" s="94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9"/>
      <c r="L924" s="140"/>
      <c r="N924" s="138"/>
      <c r="O924" s="141"/>
      <c r="S924" s="94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9"/>
      <c r="L925" s="140"/>
      <c r="N925" s="138"/>
      <c r="O925" s="141"/>
      <c r="S925" s="94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9"/>
      <c r="L926" s="140"/>
      <c r="N926" s="138"/>
      <c r="O926" s="141"/>
      <c r="S926" s="94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9"/>
      <c r="L927" s="140"/>
      <c r="N927" s="138"/>
      <c r="O927" s="141"/>
      <c r="S927" s="94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9"/>
      <c r="L928" s="140"/>
      <c r="N928" s="138"/>
      <c r="O928" s="141"/>
      <c r="S928" s="94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9"/>
      <c r="L929" s="140"/>
      <c r="N929" s="138"/>
      <c r="O929" s="141"/>
      <c r="S929" s="94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9"/>
      <c r="L930" s="140"/>
      <c r="N930" s="138"/>
      <c r="O930" s="141"/>
      <c r="S930" s="94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9"/>
      <c r="L931" s="140"/>
      <c r="N931" s="138"/>
      <c r="O931" s="141"/>
      <c r="S931" s="94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9"/>
      <c r="L932" s="140"/>
      <c r="N932" s="138"/>
      <c r="O932" s="141"/>
      <c r="S932" s="94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9"/>
      <c r="L933" s="140"/>
      <c r="N933" s="138"/>
      <c r="O933" s="141"/>
      <c r="S933" s="94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9"/>
      <c r="L934" s="140"/>
      <c r="N934" s="138"/>
      <c r="O934" s="141"/>
      <c r="S934" s="94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9"/>
      <c r="L935" s="140"/>
      <c r="N935" s="138"/>
      <c r="O935" s="141"/>
      <c r="S935" s="94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9"/>
      <c r="L936" s="140"/>
      <c r="N936" s="138"/>
      <c r="O936" s="141"/>
      <c r="S936" s="94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9"/>
      <c r="L937" s="140"/>
      <c r="N937" s="138"/>
      <c r="O937" s="141"/>
      <c r="S937" s="94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9"/>
      <c r="L938" s="140"/>
      <c r="N938" s="138"/>
      <c r="O938" s="141"/>
      <c r="S938" s="94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9"/>
      <c r="L939" s="140"/>
      <c r="N939" s="138"/>
      <c r="O939" s="141"/>
      <c r="S939" s="94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9"/>
      <c r="L940" s="140"/>
      <c r="N940" s="138"/>
      <c r="O940" s="141"/>
      <c r="S940" s="94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9"/>
      <c r="L941" s="140"/>
      <c r="N941" s="138"/>
      <c r="O941" s="141"/>
      <c r="S941" s="94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9"/>
      <c r="L942" s="140"/>
      <c r="N942" s="138"/>
      <c r="O942" s="141"/>
      <c r="S942" s="94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9"/>
      <c r="L943" s="140"/>
      <c r="N943" s="138"/>
      <c r="O943" s="141"/>
      <c r="S943" s="94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9"/>
      <c r="L944" s="140"/>
      <c r="N944" s="138"/>
      <c r="O944" s="141"/>
      <c r="S944" s="94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9"/>
      <c r="L945" s="140"/>
      <c r="N945" s="138"/>
      <c r="O945" s="141"/>
      <c r="S945" s="94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9"/>
      <c r="L946" s="140"/>
      <c r="N946" s="138"/>
      <c r="O946" s="141"/>
      <c r="S946" s="94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9"/>
      <c r="L947" s="140"/>
      <c r="N947" s="138"/>
      <c r="O947" s="141"/>
      <c r="S947" s="94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9"/>
      <c r="L948" s="140"/>
      <c r="N948" s="138"/>
      <c r="O948" s="141"/>
      <c r="S948" s="94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9"/>
      <c r="L949" s="140"/>
      <c r="N949" s="138"/>
      <c r="O949" s="141"/>
      <c r="S949" s="94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9"/>
      <c r="L950" s="140"/>
      <c r="N950" s="138"/>
      <c r="O950" s="141"/>
      <c r="S950" s="94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9"/>
      <c r="L951" s="140"/>
      <c r="N951" s="138"/>
      <c r="O951" s="141"/>
      <c r="S951" s="94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9"/>
      <c r="L952" s="140"/>
      <c r="N952" s="138"/>
      <c r="O952" s="141"/>
      <c r="S952" s="94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9"/>
      <c r="L953" s="140"/>
      <c r="N953" s="138"/>
      <c r="O953" s="141"/>
      <c r="S953" s="94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9"/>
      <c r="L954" s="140"/>
      <c r="N954" s="138"/>
      <c r="O954" s="141"/>
      <c r="S954" s="94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9"/>
      <c r="L955" s="140"/>
      <c r="N955" s="138"/>
      <c r="O955" s="141"/>
      <c r="S955" s="94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9"/>
      <c r="L956" s="140"/>
      <c r="N956" s="138"/>
      <c r="O956" s="141"/>
      <c r="S956" s="94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9"/>
      <c r="L957" s="140"/>
      <c r="N957" s="138"/>
      <c r="O957" s="141"/>
      <c r="S957" s="94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9"/>
      <c r="L958" s="140"/>
      <c r="N958" s="138"/>
      <c r="O958" s="141"/>
      <c r="S958" s="94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9"/>
      <c r="L959" s="140"/>
      <c r="N959" s="138"/>
      <c r="O959" s="141"/>
      <c r="S959" s="94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9"/>
      <c r="L960" s="140"/>
      <c r="N960" s="138"/>
      <c r="O960" s="141"/>
      <c r="S960" s="94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9"/>
      <c r="L961" s="140"/>
      <c r="N961" s="138"/>
      <c r="O961" s="141"/>
      <c r="S961" s="94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9"/>
      <c r="L962" s="140"/>
      <c r="N962" s="138"/>
      <c r="O962" s="141"/>
      <c r="S962" s="94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9"/>
      <c r="L963" s="140"/>
      <c r="N963" s="138"/>
      <c r="O963" s="141"/>
      <c r="S963" s="94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9"/>
      <c r="L964" s="140"/>
      <c r="N964" s="138"/>
      <c r="O964" s="141"/>
      <c r="S964" s="94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9"/>
      <c r="L965" s="140"/>
      <c r="N965" s="138"/>
      <c r="O965" s="141"/>
      <c r="S965" s="94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9"/>
      <c r="L966" s="140"/>
      <c r="N966" s="138"/>
      <c r="O966" s="141"/>
      <c r="S966" s="94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9"/>
      <c r="L967" s="140"/>
      <c r="N967" s="138"/>
      <c r="O967" s="141"/>
      <c r="S967" s="94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9"/>
      <c r="L968" s="140"/>
      <c r="N968" s="138"/>
      <c r="O968" s="141"/>
      <c r="S968" s="94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9"/>
      <c r="L969" s="140"/>
      <c r="N969" s="138"/>
      <c r="O969" s="141"/>
      <c r="S969" s="94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9"/>
      <c r="L970" s="140"/>
      <c r="N970" s="138"/>
      <c r="O970" s="141"/>
      <c r="S970" s="94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9"/>
      <c r="L971" s="140"/>
      <c r="N971" s="138"/>
      <c r="O971" s="141"/>
      <c r="S971" s="94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9"/>
      <c r="L972" s="140"/>
      <c r="N972" s="138"/>
      <c r="O972" s="141"/>
      <c r="S972" s="94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9"/>
      <c r="L973" s="140"/>
      <c r="N973" s="138"/>
      <c r="O973" s="141"/>
      <c r="S973" s="94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9"/>
      <c r="L974" s="140"/>
      <c r="N974" s="138"/>
      <c r="O974" s="141"/>
      <c r="S974" s="94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9"/>
      <c r="L975" s="140"/>
      <c r="N975" s="138"/>
      <c r="O975" s="141"/>
      <c r="S975" s="94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9"/>
      <c r="L976" s="140"/>
      <c r="N976" s="138"/>
      <c r="O976" s="141"/>
      <c r="S976" s="94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9"/>
      <c r="L977" s="140"/>
      <c r="N977" s="138"/>
      <c r="O977" s="141"/>
      <c r="S977" s="94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9"/>
      <c r="L978" s="140"/>
      <c r="N978" s="138"/>
      <c r="O978" s="141"/>
      <c r="S978" s="94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9"/>
      <c r="L979" s="140"/>
      <c r="N979" s="138"/>
      <c r="O979" s="141"/>
      <c r="S979" s="94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9"/>
      <c r="L980" s="140"/>
      <c r="N980" s="138"/>
      <c r="O980" s="141"/>
      <c r="S980" s="94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9"/>
      <c r="L981" s="140"/>
      <c r="N981" s="138"/>
      <c r="O981" s="141"/>
      <c r="S981" s="94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9"/>
      <c r="L982" s="140"/>
      <c r="N982" s="138"/>
      <c r="O982" s="141"/>
      <c r="S982" s="94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9"/>
      <c r="L983" s="140"/>
      <c r="N983" s="138"/>
      <c r="O983" s="141"/>
      <c r="S983" s="94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9"/>
      <c r="L984" s="140"/>
      <c r="N984" s="138"/>
      <c r="O984" s="141"/>
      <c r="S984" s="94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9"/>
      <c r="L985" s="140"/>
      <c r="N985" s="138"/>
      <c r="O985" s="141"/>
      <c r="S985" s="94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9"/>
      <c r="L986" s="140"/>
      <c r="N986" s="138"/>
      <c r="O986" s="141"/>
      <c r="S986" s="94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9"/>
      <c r="L987" s="140"/>
      <c r="N987" s="138"/>
      <c r="O987" s="141"/>
      <c r="S987" s="94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9"/>
      <c r="L988" s="140"/>
      <c r="N988" s="138"/>
      <c r="O988" s="141"/>
      <c r="S988" s="94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9"/>
      <c r="L989" s="140"/>
      <c r="N989" s="138"/>
      <c r="O989" s="141"/>
      <c r="S989" s="94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9"/>
      <c r="L990" s="140"/>
      <c r="N990" s="138"/>
      <c r="O990" s="141"/>
      <c r="S990" s="94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9"/>
      <c r="L991" s="140"/>
      <c r="N991" s="138"/>
      <c r="O991" s="141"/>
      <c r="S991" s="94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9"/>
      <c r="L992" s="140"/>
      <c r="N992" s="138"/>
      <c r="O992" s="141"/>
      <c r="S992" s="94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9"/>
      <c r="L993" s="140"/>
      <c r="N993" s="138"/>
      <c r="O993" s="141"/>
      <c r="S993" s="94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9"/>
      <c r="L994" s="140"/>
      <c r="N994" s="138"/>
      <c r="O994" s="141"/>
      <c r="S994" s="94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9"/>
      <c r="L995" s="140"/>
      <c r="N995" s="138"/>
      <c r="O995" s="141"/>
      <c r="S995" s="94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9"/>
      <c r="L996" s="140"/>
      <c r="N996" s="138"/>
      <c r="O996" s="141"/>
      <c r="S996" s="94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9"/>
      <c r="L997" s="140"/>
      <c r="N997" s="138"/>
      <c r="O997" s="141"/>
      <c r="S997" s="94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9"/>
      <c r="L998" s="140"/>
      <c r="N998" s="138"/>
      <c r="O998" s="141"/>
      <c r="S998" s="94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9"/>
      <c r="L999" s="140"/>
      <c r="N999" s="138"/>
      <c r="O999" s="141"/>
      <c r="S999" s="94"/>
    </row>
  </sheetData>
  <mergeCells count="9">
    <mergeCell ref="R68:S68"/>
    <mergeCell ref="R99:S99"/>
    <mergeCell ref="B1:D1"/>
    <mergeCell ref="E1:G1"/>
    <mergeCell ref="H1:J1"/>
    <mergeCell ref="K1:M1"/>
    <mergeCell ref="N1:P1"/>
    <mergeCell ref="R6:S6"/>
    <mergeCell ref="R53:S53"/>
  </mergeCells>
  <conditionalFormatting sqref="E19 E50 E81 E112">
    <cfRule type="notContainsBlanks" dxfId="7" priority="1">
      <formula>LEN(TRIM(E19))&gt;0</formula>
    </cfRule>
  </conditionalFormatting>
  <conditionalFormatting sqref="J3:J128">
    <cfRule type="cellIs" dxfId="5" priority="2" operator="lessThan">
      <formula>I3:I127</formula>
    </cfRule>
  </conditionalFormatting>
  <conditionalFormatting sqref="J3:J128">
    <cfRule type="cellIs" dxfId="11" priority="3" operator="greaterThan">
      <formula>I4:I127</formula>
    </cfRule>
  </conditionalFormatting>
  <conditionalFormatting sqref="D3:D152">
    <cfRule type="cellIs" dxfId="12" priority="4" operator="equal">
      <formula>0</formula>
    </cfRule>
  </conditionalFormatting>
  <conditionalFormatting sqref="D3:D152">
    <cfRule type="cellIs" dxfId="5" priority="5" operator="lessThan">
      <formula>C3:C151</formula>
    </cfRule>
  </conditionalFormatting>
  <conditionalFormatting sqref="D3:D152">
    <cfRule type="cellIs" dxfId="4" priority="6" operator="greaterThanOrEqual">
      <formula>C3:C151</formula>
    </cfRule>
  </conditionalFormatting>
  <conditionalFormatting sqref="F3:F164">
    <cfRule type="notContainsBlanks" dxfId="14" priority="7">
      <formula>LEN(TRIM(F3))&gt;0</formula>
    </cfRule>
  </conditionalFormatting>
  <conditionalFormatting sqref="G3:G136">
    <cfRule type="cellIs" dxfId="12" priority="8" operator="equal">
      <formula>0</formula>
    </cfRule>
  </conditionalFormatting>
  <conditionalFormatting sqref="G3:G136">
    <cfRule type="cellIs" dxfId="5" priority="9" operator="lessThan">
      <formula>F3:F161</formula>
    </cfRule>
  </conditionalFormatting>
  <conditionalFormatting sqref="J18">
    <cfRule type="notContainsBlanks" dxfId="7" priority="10">
      <formula>LEN(TRIM(J18))&gt;0</formula>
    </cfRule>
  </conditionalFormatting>
  <conditionalFormatting sqref="G3:G136">
    <cfRule type="cellIs" dxfId="4" priority="11" operator="greaterThan">
      <formula>F3:F161</formula>
    </cfRule>
  </conditionalFormatting>
  <conditionalFormatting sqref="P1:P999">
    <cfRule type="cellIs" dxfId="4" priority="12" operator="greaterThan">
      <formula>0</formula>
    </cfRule>
  </conditionalFormatting>
  <conditionalFormatting sqref="P1:P999">
    <cfRule type="cellIs" dxfId="5" priority="13" operator="lessThan">
      <formula>0</formula>
    </cfRule>
  </conditionalFormatting>
  <conditionalFormatting sqref="M1:M999">
    <cfRule type="cellIs" dxfId="4" priority="14" operator="greaterThan">
      <formula>50%</formula>
    </cfRule>
  </conditionalFormatting>
  <conditionalFormatting sqref="M1:M999">
    <cfRule type="cellIs" dxfId="5" priority="15" operator="lessThan">
      <formula>50%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2"/>
  <cols>
    <col customWidth="1" min="1" max="1" width="11.13"/>
    <col customWidth="1" min="2" max="2" width="9.25"/>
    <col customWidth="1" min="3" max="3" width="4.75"/>
    <col customWidth="1" min="4" max="4" width="5.13"/>
    <col customWidth="1" min="5" max="5" width="9.25"/>
    <col customWidth="1" min="6" max="6" width="4.75"/>
    <col customWidth="1" min="7" max="7" width="4.25"/>
    <col customWidth="1" min="8" max="8" width="13.0"/>
    <col customWidth="1" min="9" max="9" width="10.5"/>
    <col customWidth="1" min="10" max="10" width="11.13"/>
    <col customWidth="1" min="11" max="11" width="12.0"/>
    <col customWidth="1" min="12" max="12" width="4.75"/>
    <col customWidth="1" min="13" max="13" width="4.88"/>
    <col customWidth="1" min="14" max="14" width="11.0"/>
    <col customWidth="1" min="15" max="15" width="6.38"/>
    <col customWidth="1" min="16" max="16" width="8.75"/>
    <col customWidth="1" min="18" max="18" width="16.25"/>
  </cols>
  <sheetData>
    <row r="1">
      <c r="A1" s="5" t="s">
        <v>0</v>
      </c>
      <c r="B1" s="5" t="s">
        <v>1</v>
      </c>
      <c r="E1" s="5" t="s">
        <v>2</v>
      </c>
      <c r="H1" s="5" t="s">
        <v>3</v>
      </c>
      <c r="K1" s="5" t="s">
        <v>4</v>
      </c>
      <c r="N1" s="5" t="s">
        <v>5</v>
      </c>
      <c r="Q1" s="90"/>
      <c r="R1" s="90"/>
      <c r="S1" s="91"/>
      <c r="T1" s="90"/>
      <c r="U1" s="90"/>
      <c r="V1" s="90"/>
      <c r="W1" s="90"/>
      <c r="X1" s="90"/>
      <c r="Y1" s="90"/>
      <c r="Z1" s="90"/>
      <c r="AA1" s="90"/>
      <c r="AB1" s="90"/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92" t="s">
        <v>38</v>
      </c>
      <c r="M2" s="5" t="s">
        <v>39</v>
      </c>
      <c r="N2" s="5" t="s">
        <v>40</v>
      </c>
      <c r="O2" s="93" t="s">
        <v>41</v>
      </c>
      <c r="P2" s="5" t="s">
        <v>42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5">
        <v>2025.0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S3" s="94"/>
    </row>
    <row r="4" outlineLevel="1">
      <c r="A4" s="5" t="s">
        <v>12</v>
      </c>
      <c r="B4" s="17">
        <f t="shared" ref="B4:C4" si="1">B5+B37+B69</f>
        <v>2829</v>
      </c>
      <c r="C4" s="17">
        <f t="shared" si="1"/>
        <v>1910</v>
      </c>
      <c r="D4" s="17">
        <f t="shared" ref="D4:G4" si="2">D5+D37</f>
        <v>827</v>
      </c>
      <c r="E4" s="17">
        <f t="shared" si="2"/>
        <v>389</v>
      </c>
      <c r="F4" s="17">
        <f t="shared" si="2"/>
        <v>501</v>
      </c>
      <c r="G4" s="17">
        <f t="shared" si="2"/>
        <v>-160</v>
      </c>
      <c r="H4" s="95">
        <f>H5+H37+H69</f>
        <v>127959.56</v>
      </c>
      <c r="I4" s="95">
        <f t="shared" ref="I4:L4" si="3">I5+I37</f>
        <v>200000</v>
      </c>
      <c r="J4" s="96">
        <f t="shared" si="3"/>
        <v>-122178.67</v>
      </c>
      <c r="K4" s="98">
        <f t="shared" si="3"/>
        <v>0.5310526316</v>
      </c>
      <c r="L4" s="98">
        <f t="shared" si="3"/>
        <v>0.6</v>
      </c>
      <c r="M4" s="98">
        <f t="shared" ref="M4:M5" si="6">K4-L4</f>
        <v>-0.06894736842</v>
      </c>
      <c r="N4" s="96">
        <f t="shared" ref="N4:P4" si="4">N5+N37</f>
        <v>321.3161964</v>
      </c>
      <c r="O4" s="99">
        <f t="shared" si="4"/>
        <v>500</v>
      </c>
      <c r="P4" s="96">
        <f t="shared" si="4"/>
        <v>-178.6838036</v>
      </c>
      <c r="S4" s="94"/>
    </row>
    <row r="5" outlineLevel="1" collapsed="1">
      <c r="A5" s="100" t="s">
        <v>43</v>
      </c>
      <c r="B5" s="325">
        <f>SUM(B6:B35)</f>
        <v>2034</v>
      </c>
      <c r="C5" s="325">
        <v>1430.0</v>
      </c>
      <c r="D5" s="325">
        <f t="shared" ref="D5:E5" si="5">SUM(D6:D35)</f>
        <v>687</v>
      </c>
      <c r="E5" s="325">
        <f t="shared" si="5"/>
        <v>267</v>
      </c>
      <c r="F5" s="325">
        <f>C5*30%</f>
        <v>429</v>
      </c>
      <c r="G5" s="325">
        <f>SUM(G6:G35)</f>
        <v>-123</v>
      </c>
      <c r="H5" s="353">
        <f>SUM(H6:H36)</f>
        <v>72010.11</v>
      </c>
      <c r="I5" s="353">
        <v>120000.0</v>
      </c>
      <c r="J5" s="326">
        <f>SUM(J6:J36)</f>
        <v>-47989.86</v>
      </c>
      <c r="K5" s="103">
        <v>0.21</v>
      </c>
      <c r="L5" s="110">
        <v>0.3</v>
      </c>
      <c r="M5" s="110">
        <f t="shared" si="6"/>
        <v>-0.09</v>
      </c>
      <c r="N5" s="326">
        <f t="shared" ref="N5:N36" si="7">IFERROR(H5/E5,"")</f>
        <v>269.7007865</v>
      </c>
      <c r="O5" s="327">
        <v>250.0</v>
      </c>
      <c r="P5" s="326">
        <f t="shared" ref="P5:P100" si="8">N5-O5</f>
        <v>19.70078652</v>
      </c>
      <c r="R5" s="113" t="s">
        <v>44</v>
      </c>
    </row>
    <row r="6" hidden="1" outlineLevel="2">
      <c r="A6" s="105">
        <v>45931.0</v>
      </c>
      <c r="B6" s="106">
        <v>70.0</v>
      </c>
      <c r="C6" s="107">
        <v>80.0</v>
      </c>
      <c r="D6" s="107">
        <f t="shared" ref="D6:D11" si="9">B6-C6</f>
        <v>-10</v>
      </c>
      <c r="E6" s="106">
        <v>12.0</v>
      </c>
      <c r="F6" s="107">
        <v>18.0</v>
      </c>
      <c r="G6" s="107">
        <f t="shared" ref="G6:G11" si="10">E6-F6</f>
        <v>-6</v>
      </c>
      <c r="H6" s="108">
        <v>2186.29</v>
      </c>
      <c r="I6" s="109">
        <v>5217.39</v>
      </c>
      <c r="J6" s="109">
        <f t="shared" ref="J6:J36" si="11">H6-I6</f>
        <v>-3031.1</v>
      </c>
      <c r="K6" s="111">
        <f t="shared" ref="K6:K72" si="12">IFERROR(E6/B6,"")</f>
        <v>0.1714285714</v>
      </c>
      <c r="L6" s="111">
        <v>0.3</v>
      </c>
      <c r="M6" s="111">
        <f t="shared" ref="M6:M11" si="13">L6-K6</f>
        <v>0.1285714286</v>
      </c>
      <c r="N6" s="109">
        <f t="shared" si="7"/>
        <v>182.1908333</v>
      </c>
      <c r="O6" s="112">
        <v>250.0</v>
      </c>
      <c r="P6" s="109">
        <f t="shared" si="8"/>
        <v>-67.80916667</v>
      </c>
      <c r="R6" s="115" t="s">
        <v>12</v>
      </c>
    </row>
    <row r="7" hidden="1" outlineLevel="2">
      <c r="A7" s="105">
        <v>45932.0</v>
      </c>
      <c r="B7" s="106">
        <v>100.0</v>
      </c>
      <c r="C7" s="107">
        <v>80.0</v>
      </c>
      <c r="D7" s="107">
        <f t="shared" si="9"/>
        <v>20</v>
      </c>
      <c r="E7" s="106">
        <v>12.0</v>
      </c>
      <c r="F7" s="107">
        <v>18.0</v>
      </c>
      <c r="G7" s="107">
        <f t="shared" si="10"/>
        <v>-6</v>
      </c>
      <c r="H7" s="108">
        <v>3749.01</v>
      </c>
      <c r="I7" s="109">
        <v>5217.39</v>
      </c>
      <c r="J7" s="109">
        <f t="shared" si="11"/>
        <v>-1468.38</v>
      </c>
      <c r="K7" s="111">
        <f t="shared" si="12"/>
        <v>0.12</v>
      </c>
      <c r="L7" s="111">
        <v>0.3</v>
      </c>
      <c r="M7" s="111">
        <f t="shared" si="13"/>
        <v>0.18</v>
      </c>
      <c r="N7" s="109">
        <f t="shared" si="7"/>
        <v>312.4175</v>
      </c>
      <c r="O7" s="112">
        <v>250.0</v>
      </c>
      <c r="P7" s="109">
        <f t="shared" si="8"/>
        <v>62.4175</v>
      </c>
      <c r="R7" s="113" t="s">
        <v>8</v>
      </c>
      <c r="S7" s="116">
        <v>120000.0</v>
      </c>
    </row>
    <row r="8" hidden="1" outlineLevel="2">
      <c r="A8" s="105">
        <v>45933.0</v>
      </c>
      <c r="B8" s="106">
        <v>102.0</v>
      </c>
      <c r="C8" s="107">
        <v>80.0</v>
      </c>
      <c r="D8" s="107">
        <f t="shared" si="9"/>
        <v>22</v>
      </c>
      <c r="E8" s="106">
        <v>4.0</v>
      </c>
      <c r="F8" s="107">
        <v>18.0</v>
      </c>
      <c r="G8" s="107">
        <f t="shared" si="10"/>
        <v>-14</v>
      </c>
      <c r="H8" s="108">
        <v>1126.84</v>
      </c>
      <c r="I8" s="109">
        <v>5217.39</v>
      </c>
      <c r="J8" s="109">
        <f t="shared" si="11"/>
        <v>-4090.55</v>
      </c>
      <c r="K8" s="111">
        <f t="shared" si="12"/>
        <v>0.03921568627</v>
      </c>
      <c r="L8" s="111">
        <v>0.3</v>
      </c>
      <c r="M8" s="111">
        <f t="shared" si="13"/>
        <v>0.2607843137</v>
      </c>
      <c r="N8" s="109">
        <f t="shared" si="7"/>
        <v>281.71</v>
      </c>
      <c r="O8" s="112">
        <v>250.0</v>
      </c>
      <c r="P8" s="109">
        <f t="shared" si="8"/>
        <v>31.71</v>
      </c>
      <c r="R8" s="113" t="s">
        <v>45</v>
      </c>
      <c r="S8" s="117">
        <f>S7/30</f>
        <v>4000</v>
      </c>
    </row>
    <row r="9" hidden="1" outlineLevel="2">
      <c r="A9" s="105">
        <v>45934.0</v>
      </c>
      <c r="B9" s="106">
        <v>87.0</v>
      </c>
      <c r="C9" s="107">
        <v>80.0</v>
      </c>
      <c r="D9" s="107">
        <f t="shared" si="9"/>
        <v>7</v>
      </c>
      <c r="E9" s="106">
        <v>4.0</v>
      </c>
      <c r="F9" s="107"/>
      <c r="G9" s="107">
        <f t="shared" si="10"/>
        <v>4</v>
      </c>
      <c r="H9" s="108">
        <v>285.98</v>
      </c>
      <c r="I9" s="109"/>
      <c r="J9" s="109">
        <f t="shared" si="11"/>
        <v>285.98</v>
      </c>
      <c r="K9" s="111">
        <f t="shared" si="12"/>
        <v>0.04597701149</v>
      </c>
      <c r="L9" s="111">
        <v>0.3</v>
      </c>
      <c r="M9" s="111">
        <f t="shared" si="13"/>
        <v>0.2540229885</v>
      </c>
      <c r="N9" s="109">
        <f t="shared" si="7"/>
        <v>71.495</v>
      </c>
      <c r="O9" s="112">
        <v>250.0</v>
      </c>
      <c r="P9" s="109">
        <f t="shared" si="8"/>
        <v>-178.505</v>
      </c>
      <c r="R9" s="113" t="s">
        <v>46</v>
      </c>
      <c r="S9" s="117">
        <f>S7/23</f>
        <v>5217.391304</v>
      </c>
    </row>
    <row r="10" hidden="1" outlineLevel="2">
      <c r="A10" s="105">
        <v>45935.0</v>
      </c>
      <c r="B10" s="106">
        <v>67.0</v>
      </c>
      <c r="C10" s="107">
        <v>80.0</v>
      </c>
      <c r="D10" s="107">
        <f t="shared" si="9"/>
        <v>-13</v>
      </c>
      <c r="E10" s="106">
        <v>0.0</v>
      </c>
      <c r="F10" s="107"/>
      <c r="G10" s="107">
        <f t="shared" si="10"/>
        <v>0</v>
      </c>
      <c r="H10" s="108">
        <v>0.0</v>
      </c>
      <c r="I10" s="109"/>
      <c r="J10" s="109">
        <f t="shared" si="11"/>
        <v>0</v>
      </c>
      <c r="K10" s="111">
        <f t="shared" si="12"/>
        <v>0</v>
      </c>
      <c r="L10" s="111">
        <v>0.3</v>
      </c>
      <c r="M10" s="111">
        <f t="shared" si="13"/>
        <v>0.3</v>
      </c>
      <c r="N10" s="109" t="str">
        <f t="shared" si="7"/>
        <v/>
      </c>
      <c r="O10" s="112">
        <v>250.0</v>
      </c>
      <c r="P10" s="109">
        <f t="shared" si="8"/>
        <v>-250</v>
      </c>
      <c r="R10" s="113" t="s">
        <v>7</v>
      </c>
      <c r="S10" s="117">
        <f>H5</f>
        <v>72010.11</v>
      </c>
    </row>
    <row r="11" hidden="1" outlineLevel="2">
      <c r="A11" s="105">
        <v>45936.0</v>
      </c>
      <c r="B11" s="106">
        <v>57.0</v>
      </c>
      <c r="C11" s="107">
        <v>80.0</v>
      </c>
      <c r="D11" s="107">
        <f t="shared" si="9"/>
        <v>-23</v>
      </c>
      <c r="E11" s="106">
        <v>10.0</v>
      </c>
      <c r="F11" s="107">
        <v>18.0</v>
      </c>
      <c r="G11" s="107">
        <f t="shared" si="10"/>
        <v>-8</v>
      </c>
      <c r="H11" s="108">
        <v>2258.83</v>
      </c>
      <c r="I11" s="109">
        <v>5217.39</v>
      </c>
      <c r="J11" s="109">
        <f t="shared" si="11"/>
        <v>-2958.56</v>
      </c>
      <c r="K11" s="111">
        <f t="shared" si="12"/>
        <v>0.1754385965</v>
      </c>
      <c r="L11" s="111">
        <v>0.3</v>
      </c>
      <c r="M11" s="111">
        <f t="shared" si="13"/>
        <v>0.1245614035</v>
      </c>
      <c r="N11" s="109">
        <f t="shared" si="7"/>
        <v>225.883</v>
      </c>
      <c r="O11" s="112">
        <v>250.0</v>
      </c>
      <c r="P11" s="109">
        <f t="shared" si="8"/>
        <v>-24.117</v>
      </c>
      <c r="R11" s="113" t="s">
        <v>47</v>
      </c>
      <c r="S11" s="119">
        <f>S10/S7</f>
        <v>0.60008425</v>
      </c>
    </row>
    <row r="12" hidden="1" outlineLevel="2">
      <c r="A12" s="105">
        <v>45937.0</v>
      </c>
      <c r="B12" s="106">
        <v>67.0</v>
      </c>
      <c r="C12" s="107"/>
      <c r="D12" s="107"/>
      <c r="E12" s="106">
        <v>12.0</v>
      </c>
      <c r="F12" s="107">
        <v>18.0</v>
      </c>
      <c r="G12" s="107"/>
      <c r="H12" s="108">
        <v>2115.93</v>
      </c>
      <c r="I12" s="109">
        <v>5217.39</v>
      </c>
      <c r="J12" s="109">
        <f t="shared" si="11"/>
        <v>-3101.46</v>
      </c>
      <c r="K12" s="111">
        <f t="shared" si="12"/>
        <v>0.1791044776</v>
      </c>
      <c r="L12" s="111"/>
      <c r="M12" s="114"/>
      <c r="N12" s="109">
        <f t="shared" si="7"/>
        <v>176.3275</v>
      </c>
      <c r="O12" s="112"/>
      <c r="P12" s="109">
        <f t="shared" si="8"/>
        <v>176.3275</v>
      </c>
      <c r="R12" s="113" t="s">
        <v>48</v>
      </c>
      <c r="S12" s="120">
        <v>1.0</v>
      </c>
    </row>
    <row r="13" hidden="1" outlineLevel="2">
      <c r="A13" s="105">
        <v>45938.0</v>
      </c>
      <c r="B13" s="106">
        <v>50.0</v>
      </c>
      <c r="C13" s="107">
        <v>80.0</v>
      </c>
      <c r="D13" s="107">
        <f t="shared" ref="D13:D36" si="14">B13-C13</f>
        <v>-30</v>
      </c>
      <c r="E13" s="106">
        <v>11.0</v>
      </c>
      <c r="F13" s="107">
        <v>18.0</v>
      </c>
      <c r="G13" s="107">
        <f t="shared" ref="G13:G36" si="15">E13-F13</f>
        <v>-7</v>
      </c>
      <c r="H13" s="108">
        <v>1949.85</v>
      </c>
      <c r="I13" s="109">
        <v>5217.39</v>
      </c>
      <c r="J13" s="109">
        <f t="shared" si="11"/>
        <v>-3267.54</v>
      </c>
      <c r="K13" s="111">
        <f t="shared" si="12"/>
        <v>0.22</v>
      </c>
      <c r="L13" s="111">
        <v>0.3</v>
      </c>
      <c r="M13" s="111">
        <f t="shared" ref="M13:M36" si="16">L13-K13</f>
        <v>0.08</v>
      </c>
      <c r="N13" s="109">
        <f t="shared" si="7"/>
        <v>177.2590909</v>
      </c>
      <c r="O13" s="112">
        <v>250.0</v>
      </c>
      <c r="P13" s="109">
        <f t="shared" si="8"/>
        <v>-72.74090909</v>
      </c>
      <c r="R13" s="113" t="s">
        <v>49</v>
      </c>
      <c r="S13" s="121">
        <f>(S7-S10)/S12</f>
        <v>47989.89</v>
      </c>
    </row>
    <row r="14" hidden="1" outlineLevel="2">
      <c r="A14" s="105">
        <v>45939.0</v>
      </c>
      <c r="B14" s="106">
        <v>77.0</v>
      </c>
      <c r="C14" s="107">
        <v>80.0</v>
      </c>
      <c r="D14" s="107">
        <f t="shared" si="14"/>
        <v>-3</v>
      </c>
      <c r="E14" s="106">
        <v>14.0</v>
      </c>
      <c r="F14" s="107">
        <v>18.0</v>
      </c>
      <c r="G14" s="107">
        <f t="shared" si="15"/>
        <v>-4</v>
      </c>
      <c r="H14" s="108">
        <v>3048.7</v>
      </c>
      <c r="I14" s="109">
        <v>5217.39</v>
      </c>
      <c r="J14" s="109">
        <f t="shared" si="11"/>
        <v>-2168.69</v>
      </c>
      <c r="K14" s="111">
        <f t="shared" si="12"/>
        <v>0.1818181818</v>
      </c>
      <c r="L14" s="111">
        <v>0.3</v>
      </c>
      <c r="M14" s="111">
        <f t="shared" si="16"/>
        <v>0.1181818182</v>
      </c>
      <c r="N14" s="109">
        <f t="shared" si="7"/>
        <v>217.7642857</v>
      </c>
      <c r="O14" s="112">
        <v>250.0</v>
      </c>
      <c r="P14" s="109">
        <f t="shared" si="8"/>
        <v>-32.23571429</v>
      </c>
      <c r="R14" s="113" t="s">
        <v>50</v>
      </c>
      <c r="S14" s="122">
        <f>N5</f>
        <v>269.7007865</v>
      </c>
    </row>
    <row r="15" hidden="1" outlineLevel="2">
      <c r="A15" s="105">
        <v>45940.0</v>
      </c>
      <c r="B15" s="106">
        <v>81.0</v>
      </c>
      <c r="C15" s="107">
        <v>80.0</v>
      </c>
      <c r="D15" s="107">
        <f t="shared" si="14"/>
        <v>1</v>
      </c>
      <c r="E15" s="106">
        <v>14.0</v>
      </c>
      <c r="F15" s="107">
        <v>18.0</v>
      </c>
      <c r="G15" s="107">
        <f t="shared" si="15"/>
        <v>-4</v>
      </c>
      <c r="H15" s="108">
        <v>2989.09</v>
      </c>
      <c r="I15" s="109">
        <v>5217.39</v>
      </c>
      <c r="J15" s="109">
        <f t="shared" si="11"/>
        <v>-2228.3</v>
      </c>
      <c r="K15" s="111">
        <f t="shared" si="12"/>
        <v>0.1728395062</v>
      </c>
      <c r="L15" s="111">
        <v>0.3</v>
      </c>
      <c r="M15" s="111">
        <f t="shared" si="16"/>
        <v>0.1271604938</v>
      </c>
      <c r="N15" s="109">
        <f t="shared" si="7"/>
        <v>213.5064286</v>
      </c>
      <c r="O15" s="112">
        <v>250.0</v>
      </c>
      <c r="P15" s="109">
        <f t="shared" si="8"/>
        <v>-36.49357143</v>
      </c>
      <c r="R15" s="113" t="s">
        <v>51</v>
      </c>
      <c r="S15" s="127">
        <f>B5</f>
        <v>2034</v>
      </c>
    </row>
    <row r="16" hidden="1" outlineLevel="2">
      <c r="A16" s="105">
        <v>45941.0</v>
      </c>
      <c r="B16" s="106">
        <v>33.0</v>
      </c>
      <c r="C16" s="123">
        <v>80.0</v>
      </c>
      <c r="D16" s="123">
        <f t="shared" si="14"/>
        <v>-47</v>
      </c>
      <c r="E16" s="106">
        <v>5.0</v>
      </c>
      <c r="F16" s="107"/>
      <c r="G16" s="123">
        <f t="shared" si="15"/>
        <v>5</v>
      </c>
      <c r="H16" s="108">
        <v>1062.03</v>
      </c>
      <c r="I16" s="109"/>
      <c r="J16" s="124">
        <f t="shared" si="11"/>
        <v>1062.03</v>
      </c>
      <c r="K16" s="111">
        <f t="shared" si="12"/>
        <v>0.1515151515</v>
      </c>
      <c r="L16" s="125">
        <v>0.3</v>
      </c>
      <c r="M16" s="125">
        <f t="shared" si="16"/>
        <v>0.1484848485</v>
      </c>
      <c r="N16" s="124">
        <f t="shared" si="7"/>
        <v>212.406</v>
      </c>
      <c r="O16" s="126">
        <v>250.0</v>
      </c>
      <c r="P16" s="124">
        <f t="shared" si="8"/>
        <v>-37.594</v>
      </c>
      <c r="R16" s="113" t="s">
        <v>52</v>
      </c>
      <c r="S16" s="128">
        <f>E5</f>
        <v>267</v>
      </c>
    </row>
    <row r="17" hidden="1" outlineLevel="2">
      <c r="A17" s="105">
        <v>45942.0</v>
      </c>
      <c r="B17" s="106">
        <v>0.0</v>
      </c>
      <c r="C17" s="123">
        <v>80.0</v>
      </c>
      <c r="D17" s="123">
        <f t="shared" si="14"/>
        <v>-80</v>
      </c>
      <c r="E17" s="106">
        <v>0.0</v>
      </c>
      <c r="F17" s="107"/>
      <c r="G17" s="123">
        <f t="shared" si="15"/>
        <v>0</v>
      </c>
      <c r="H17" s="108">
        <v>0.0</v>
      </c>
      <c r="I17" s="109"/>
      <c r="J17" s="124">
        <f t="shared" si="11"/>
        <v>0</v>
      </c>
      <c r="K17" s="125" t="str">
        <f t="shared" si="12"/>
        <v/>
      </c>
      <c r="L17" s="125">
        <v>0.3</v>
      </c>
      <c r="M17" s="125">
        <f t="shared" si="16"/>
        <v>0.3</v>
      </c>
      <c r="N17" s="124" t="str">
        <f t="shared" si="7"/>
        <v/>
      </c>
      <c r="O17" s="126">
        <v>250.0</v>
      </c>
      <c r="P17" s="124">
        <f t="shared" si="8"/>
        <v>-250</v>
      </c>
      <c r="R17" s="113" t="s">
        <v>4</v>
      </c>
      <c r="S17" s="119">
        <f>E5/B5</f>
        <v>0.1312684366</v>
      </c>
    </row>
    <row r="18" hidden="1" outlineLevel="2">
      <c r="A18" s="105">
        <v>45943.0</v>
      </c>
      <c r="B18" s="106">
        <v>59.0</v>
      </c>
      <c r="C18" s="332"/>
      <c r="D18" s="123">
        <f t="shared" si="14"/>
        <v>59</v>
      </c>
      <c r="E18" s="106">
        <v>7.0</v>
      </c>
      <c r="F18" s="107">
        <v>18.0</v>
      </c>
      <c r="G18" s="123">
        <f t="shared" si="15"/>
        <v>-11</v>
      </c>
      <c r="H18" s="108">
        <v>2020.81</v>
      </c>
      <c r="I18" s="109">
        <v>5217.39</v>
      </c>
      <c r="J18" s="124">
        <f t="shared" si="11"/>
        <v>-3196.58</v>
      </c>
      <c r="K18" s="125">
        <f t="shared" si="12"/>
        <v>0.1186440678</v>
      </c>
      <c r="L18" s="125">
        <v>0.3</v>
      </c>
      <c r="M18" s="125">
        <f t="shared" si="16"/>
        <v>0.1813559322</v>
      </c>
      <c r="N18" s="124">
        <f t="shared" si="7"/>
        <v>288.6871429</v>
      </c>
      <c r="O18" s="126">
        <v>250.0</v>
      </c>
      <c r="P18" s="124">
        <f t="shared" si="8"/>
        <v>38.68714286</v>
      </c>
      <c r="S18" s="94"/>
    </row>
    <row r="19" hidden="1" outlineLevel="2">
      <c r="A19" s="105">
        <v>45944.0</v>
      </c>
      <c r="B19" s="106">
        <v>79.0</v>
      </c>
      <c r="C19" s="332"/>
      <c r="D19" s="123">
        <f t="shared" si="14"/>
        <v>79</v>
      </c>
      <c r="E19" s="106">
        <v>13.0</v>
      </c>
      <c r="F19" s="107">
        <v>18.0</v>
      </c>
      <c r="G19" s="123">
        <f t="shared" si="15"/>
        <v>-5</v>
      </c>
      <c r="H19" s="108">
        <v>2064.68</v>
      </c>
      <c r="I19" s="109">
        <v>5217.39</v>
      </c>
      <c r="J19" s="124">
        <f t="shared" si="11"/>
        <v>-3152.71</v>
      </c>
      <c r="K19" s="125">
        <f t="shared" si="12"/>
        <v>0.164556962</v>
      </c>
      <c r="L19" s="125">
        <v>0.3</v>
      </c>
      <c r="M19" s="125">
        <f t="shared" si="16"/>
        <v>0.135443038</v>
      </c>
      <c r="N19" s="124">
        <f t="shared" si="7"/>
        <v>158.8215385</v>
      </c>
      <c r="O19" s="126">
        <v>250.0</v>
      </c>
      <c r="P19" s="124">
        <f t="shared" si="8"/>
        <v>-91.17846154</v>
      </c>
      <c r="S19" s="130"/>
    </row>
    <row r="20" hidden="1" outlineLevel="2">
      <c r="A20" s="105">
        <v>45945.0</v>
      </c>
      <c r="B20" s="106">
        <v>70.0</v>
      </c>
      <c r="C20" s="123">
        <v>80.0</v>
      </c>
      <c r="D20" s="123">
        <f t="shared" si="14"/>
        <v>-10</v>
      </c>
      <c r="E20" s="106">
        <v>17.0</v>
      </c>
      <c r="F20" s="107">
        <v>18.0</v>
      </c>
      <c r="G20" s="123">
        <f t="shared" si="15"/>
        <v>-1</v>
      </c>
      <c r="H20" s="108">
        <v>5674.0</v>
      </c>
      <c r="I20" s="109">
        <v>5217.39</v>
      </c>
      <c r="J20" s="354">
        <f t="shared" si="11"/>
        <v>456.61</v>
      </c>
      <c r="K20" s="125">
        <f t="shared" si="12"/>
        <v>0.2428571429</v>
      </c>
      <c r="L20" s="125">
        <v>0.3</v>
      </c>
      <c r="M20" s="125">
        <f t="shared" si="16"/>
        <v>0.05714285714</v>
      </c>
      <c r="N20" s="124">
        <f t="shared" si="7"/>
        <v>333.7647059</v>
      </c>
      <c r="O20" s="126">
        <v>250.0</v>
      </c>
      <c r="P20" s="124">
        <f t="shared" si="8"/>
        <v>83.76470588</v>
      </c>
      <c r="S20" s="131" t="s">
        <v>135</v>
      </c>
    </row>
    <row r="21" hidden="1" outlineLevel="2">
      <c r="A21" s="105">
        <v>45946.0</v>
      </c>
      <c r="B21" s="106">
        <v>56.0</v>
      </c>
      <c r="C21" s="123">
        <v>80.0</v>
      </c>
      <c r="D21" s="123">
        <f t="shared" si="14"/>
        <v>-24</v>
      </c>
      <c r="E21" s="106">
        <v>14.0</v>
      </c>
      <c r="F21" s="107">
        <v>18.0</v>
      </c>
      <c r="G21" s="123">
        <f t="shared" si="15"/>
        <v>-4</v>
      </c>
      <c r="H21" s="108">
        <v>4048.2</v>
      </c>
      <c r="I21" s="109">
        <v>5217.39</v>
      </c>
      <c r="J21" s="124">
        <f t="shared" si="11"/>
        <v>-1169.19</v>
      </c>
      <c r="K21" s="125">
        <f t="shared" si="12"/>
        <v>0.25</v>
      </c>
      <c r="L21" s="125">
        <v>0.3</v>
      </c>
      <c r="M21" s="125">
        <f t="shared" si="16"/>
        <v>0.05</v>
      </c>
      <c r="N21" s="124">
        <f t="shared" si="7"/>
        <v>289.1571429</v>
      </c>
      <c r="O21" s="126">
        <v>250.0</v>
      </c>
      <c r="P21" s="124">
        <f t="shared" si="8"/>
        <v>39.15714286</v>
      </c>
      <c r="S21" s="94"/>
    </row>
    <row r="22" hidden="1" outlineLevel="2">
      <c r="A22" s="105">
        <v>45947.0</v>
      </c>
      <c r="B22" s="106">
        <v>85.0</v>
      </c>
      <c r="C22" s="123">
        <v>80.0</v>
      </c>
      <c r="D22" s="123">
        <f t="shared" si="14"/>
        <v>5</v>
      </c>
      <c r="E22" s="106">
        <v>8.0</v>
      </c>
      <c r="F22" s="107">
        <v>18.0</v>
      </c>
      <c r="G22" s="123">
        <f t="shared" si="15"/>
        <v>-10</v>
      </c>
      <c r="H22" s="108">
        <v>1828.9</v>
      </c>
      <c r="I22" s="109">
        <v>5217.39</v>
      </c>
      <c r="J22" s="124">
        <f t="shared" si="11"/>
        <v>-3388.49</v>
      </c>
      <c r="K22" s="125">
        <f t="shared" si="12"/>
        <v>0.09411764706</v>
      </c>
      <c r="L22" s="125">
        <v>0.3</v>
      </c>
      <c r="M22" s="125">
        <f t="shared" si="16"/>
        <v>0.2058823529</v>
      </c>
      <c r="N22" s="124">
        <f t="shared" si="7"/>
        <v>228.6125</v>
      </c>
      <c r="O22" s="126">
        <v>250.0</v>
      </c>
      <c r="P22" s="124">
        <f t="shared" si="8"/>
        <v>-21.3875</v>
      </c>
      <c r="S22" s="94"/>
    </row>
    <row r="23" hidden="1" outlineLevel="2">
      <c r="A23" s="105">
        <v>45948.0</v>
      </c>
      <c r="B23" s="106">
        <v>26.0</v>
      </c>
      <c r="C23" s="123">
        <v>80.0</v>
      </c>
      <c r="D23" s="123">
        <f t="shared" si="14"/>
        <v>-54</v>
      </c>
      <c r="E23" s="106">
        <v>4.0</v>
      </c>
      <c r="F23" s="107"/>
      <c r="G23" s="123">
        <f t="shared" si="15"/>
        <v>4</v>
      </c>
      <c r="H23" s="108">
        <v>505.25</v>
      </c>
      <c r="I23" s="109"/>
      <c r="J23" s="124">
        <f t="shared" si="11"/>
        <v>505.25</v>
      </c>
      <c r="K23" s="125">
        <f t="shared" si="12"/>
        <v>0.1538461538</v>
      </c>
      <c r="L23" s="125">
        <v>0.3</v>
      </c>
      <c r="M23" s="125">
        <f t="shared" si="16"/>
        <v>0.1461538462</v>
      </c>
      <c r="N23" s="124">
        <f t="shared" si="7"/>
        <v>126.3125</v>
      </c>
      <c r="O23" s="126">
        <v>250.0</v>
      </c>
      <c r="P23" s="124">
        <f t="shared" si="8"/>
        <v>-123.6875</v>
      </c>
      <c r="S23" s="94"/>
    </row>
    <row r="24" hidden="1" outlineLevel="2">
      <c r="A24" s="105">
        <v>45949.0</v>
      </c>
      <c r="B24" s="106">
        <v>0.0</v>
      </c>
      <c r="C24" s="123">
        <v>80.0</v>
      </c>
      <c r="D24" s="123">
        <f t="shared" si="14"/>
        <v>-80</v>
      </c>
      <c r="E24" s="106">
        <v>0.0</v>
      </c>
      <c r="F24" s="107"/>
      <c r="G24" s="123">
        <f t="shared" si="15"/>
        <v>0</v>
      </c>
      <c r="H24" s="108">
        <v>0.0</v>
      </c>
      <c r="I24" s="109"/>
      <c r="J24" s="124">
        <f t="shared" si="11"/>
        <v>0</v>
      </c>
      <c r="K24" s="125" t="str">
        <f t="shared" si="12"/>
        <v/>
      </c>
      <c r="L24" s="125">
        <v>0.3</v>
      </c>
      <c r="M24" s="125">
        <f t="shared" si="16"/>
        <v>0.3</v>
      </c>
      <c r="N24" s="124" t="str">
        <f t="shared" si="7"/>
        <v/>
      </c>
      <c r="O24" s="126">
        <v>250.0</v>
      </c>
      <c r="P24" s="124">
        <f t="shared" si="8"/>
        <v>-250</v>
      </c>
      <c r="S24" s="94"/>
    </row>
    <row r="25" hidden="1" outlineLevel="2">
      <c r="A25" s="105">
        <v>45950.0</v>
      </c>
      <c r="B25" s="106">
        <v>96.0</v>
      </c>
      <c r="C25" s="332"/>
      <c r="D25" s="123">
        <f t="shared" si="14"/>
        <v>96</v>
      </c>
      <c r="E25" s="106">
        <v>11.0</v>
      </c>
      <c r="F25" s="107">
        <v>18.0</v>
      </c>
      <c r="G25" s="123">
        <f t="shared" si="15"/>
        <v>-7</v>
      </c>
      <c r="H25" s="108">
        <v>3479.99</v>
      </c>
      <c r="I25" s="109">
        <v>5217.39</v>
      </c>
      <c r="J25" s="124">
        <f t="shared" si="11"/>
        <v>-1737.4</v>
      </c>
      <c r="K25" s="125">
        <f t="shared" si="12"/>
        <v>0.1145833333</v>
      </c>
      <c r="L25" s="125">
        <v>0.3</v>
      </c>
      <c r="M25" s="125">
        <f t="shared" si="16"/>
        <v>0.1854166667</v>
      </c>
      <c r="N25" s="124">
        <f t="shared" si="7"/>
        <v>316.3627273</v>
      </c>
      <c r="O25" s="126">
        <v>250.0</v>
      </c>
      <c r="P25" s="124">
        <f t="shared" si="8"/>
        <v>66.36272727</v>
      </c>
      <c r="S25" s="94"/>
    </row>
    <row r="26" hidden="1" outlineLevel="2">
      <c r="A26" s="105">
        <v>45951.0</v>
      </c>
      <c r="B26" s="106">
        <v>96.0</v>
      </c>
      <c r="C26" s="332"/>
      <c r="D26" s="123">
        <f t="shared" si="14"/>
        <v>96</v>
      </c>
      <c r="E26" s="106">
        <v>11.0</v>
      </c>
      <c r="F26" s="107">
        <v>18.0</v>
      </c>
      <c r="G26" s="123">
        <f t="shared" si="15"/>
        <v>-7</v>
      </c>
      <c r="H26" s="108">
        <v>2346.94</v>
      </c>
      <c r="I26" s="109">
        <v>5217.39</v>
      </c>
      <c r="J26" s="124">
        <f t="shared" si="11"/>
        <v>-2870.45</v>
      </c>
      <c r="K26" s="125">
        <f t="shared" si="12"/>
        <v>0.1145833333</v>
      </c>
      <c r="L26" s="125">
        <v>0.3</v>
      </c>
      <c r="M26" s="125">
        <f t="shared" si="16"/>
        <v>0.1854166667</v>
      </c>
      <c r="N26" s="124">
        <f t="shared" si="7"/>
        <v>213.3581818</v>
      </c>
      <c r="O26" s="126">
        <v>250.0</v>
      </c>
      <c r="P26" s="124">
        <f t="shared" si="8"/>
        <v>-36.64181818</v>
      </c>
      <c r="S26" s="94"/>
    </row>
    <row r="27" hidden="1" outlineLevel="2">
      <c r="A27" s="105">
        <v>45952.0</v>
      </c>
      <c r="B27" s="106">
        <v>23.0</v>
      </c>
      <c r="C27" s="332"/>
      <c r="D27" s="123">
        <f t="shared" si="14"/>
        <v>23</v>
      </c>
      <c r="E27" s="106">
        <v>10.0</v>
      </c>
      <c r="F27" s="107">
        <v>18.0</v>
      </c>
      <c r="G27" s="123">
        <f t="shared" si="15"/>
        <v>-8</v>
      </c>
      <c r="H27" s="108">
        <v>2414.05</v>
      </c>
      <c r="I27" s="109">
        <v>5217.39</v>
      </c>
      <c r="J27" s="124">
        <f t="shared" si="11"/>
        <v>-2803.34</v>
      </c>
      <c r="K27" s="125">
        <f t="shared" si="12"/>
        <v>0.4347826087</v>
      </c>
      <c r="L27" s="125">
        <v>0.3</v>
      </c>
      <c r="M27" s="125">
        <f t="shared" si="16"/>
        <v>-0.1347826087</v>
      </c>
      <c r="N27" s="124">
        <f t="shared" si="7"/>
        <v>241.405</v>
      </c>
      <c r="O27" s="126">
        <v>250.0</v>
      </c>
      <c r="P27" s="124">
        <f t="shared" si="8"/>
        <v>-8.595</v>
      </c>
      <c r="S27" s="94"/>
    </row>
    <row r="28" hidden="1" outlineLevel="2">
      <c r="A28" s="105">
        <v>45953.0</v>
      </c>
      <c r="B28" s="106">
        <v>105.0</v>
      </c>
      <c r="C28" s="332"/>
      <c r="D28" s="123">
        <f t="shared" si="14"/>
        <v>105</v>
      </c>
      <c r="E28" s="106">
        <v>9.0</v>
      </c>
      <c r="F28" s="107">
        <v>18.0</v>
      </c>
      <c r="G28" s="123">
        <f t="shared" si="15"/>
        <v>-9</v>
      </c>
      <c r="H28" s="108">
        <v>1739.53</v>
      </c>
      <c r="I28" s="109">
        <v>5217.39</v>
      </c>
      <c r="J28" s="124">
        <f t="shared" si="11"/>
        <v>-3477.86</v>
      </c>
      <c r="K28" s="125">
        <f t="shared" si="12"/>
        <v>0.08571428571</v>
      </c>
      <c r="L28" s="125">
        <v>0.3</v>
      </c>
      <c r="M28" s="125">
        <f t="shared" si="16"/>
        <v>0.2142857143</v>
      </c>
      <c r="N28" s="124">
        <f t="shared" si="7"/>
        <v>193.2811111</v>
      </c>
      <c r="O28" s="126">
        <v>250.0</v>
      </c>
      <c r="P28" s="124">
        <f t="shared" si="8"/>
        <v>-56.71888889</v>
      </c>
      <c r="S28" s="94"/>
    </row>
    <row r="29" hidden="1" outlineLevel="2">
      <c r="A29" s="105">
        <v>45954.0</v>
      </c>
      <c r="B29" s="106">
        <v>87.0</v>
      </c>
      <c r="C29" s="332"/>
      <c r="D29" s="123">
        <f t="shared" si="14"/>
        <v>87</v>
      </c>
      <c r="E29" s="106">
        <v>8.0</v>
      </c>
      <c r="F29" s="107">
        <v>18.0</v>
      </c>
      <c r="G29" s="123">
        <f t="shared" si="15"/>
        <v>-10</v>
      </c>
      <c r="H29" s="108">
        <v>2407.81</v>
      </c>
      <c r="I29" s="109">
        <v>5217.39</v>
      </c>
      <c r="J29" s="124">
        <f t="shared" si="11"/>
        <v>-2809.58</v>
      </c>
      <c r="K29" s="125">
        <f t="shared" si="12"/>
        <v>0.09195402299</v>
      </c>
      <c r="L29" s="125">
        <v>0.3</v>
      </c>
      <c r="M29" s="125">
        <f t="shared" si="16"/>
        <v>0.208045977</v>
      </c>
      <c r="N29" s="124">
        <f t="shared" si="7"/>
        <v>300.97625</v>
      </c>
      <c r="O29" s="126">
        <v>250.0</v>
      </c>
      <c r="P29" s="124">
        <f t="shared" si="8"/>
        <v>50.97625</v>
      </c>
      <c r="S29" s="94"/>
    </row>
    <row r="30" hidden="1" outlineLevel="2">
      <c r="A30" s="105">
        <v>45955.0</v>
      </c>
      <c r="B30" s="106">
        <v>60.0</v>
      </c>
      <c r="C30" s="332"/>
      <c r="D30" s="123">
        <f t="shared" si="14"/>
        <v>60</v>
      </c>
      <c r="E30" s="106">
        <v>2.0</v>
      </c>
      <c r="F30" s="107"/>
      <c r="G30" s="123">
        <f t="shared" si="15"/>
        <v>2</v>
      </c>
      <c r="H30" s="108">
        <v>580.24</v>
      </c>
      <c r="I30" s="109"/>
      <c r="J30" s="124">
        <f t="shared" si="11"/>
        <v>580.24</v>
      </c>
      <c r="K30" s="125">
        <f t="shared" si="12"/>
        <v>0.03333333333</v>
      </c>
      <c r="L30" s="125">
        <v>0.3</v>
      </c>
      <c r="M30" s="125">
        <f t="shared" si="16"/>
        <v>0.2666666667</v>
      </c>
      <c r="N30" s="124">
        <f t="shared" si="7"/>
        <v>290.12</v>
      </c>
      <c r="O30" s="126">
        <v>250.0</v>
      </c>
      <c r="P30" s="124">
        <f t="shared" si="8"/>
        <v>40.12</v>
      </c>
      <c r="S30" s="94"/>
    </row>
    <row r="31" hidden="1" outlineLevel="2">
      <c r="A31" s="105">
        <v>45956.0</v>
      </c>
      <c r="B31" s="106">
        <v>0.0</v>
      </c>
      <c r="C31" s="332"/>
      <c r="D31" s="123">
        <f t="shared" si="14"/>
        <v>0</v>
      </c>
      <c r="E31" s="106">
        <v>0.0</v>
      </c>
      <c r="F31" s="107"/>
      <c r="G31" s="123">
        <f t="shared" si="15"/>
        <v>0</v>
      </c>
      <c r="H31" s="108">
        <v>0.0</v>
      </c>
      <c r="I31" s="109"/>
      <c r="J31" s="124">
        <f t="shared" si="11"/>
        <v>0</v>
      </c>
      <c r="K31" s="125" t="str">
        <f t="shared" si="12"/>
        <v/>
      </c>
      <c r="L31" s="125">
        <v>0.3</v>
      </c>
      <c r="M31" s="125">
        <f t="shared" si="16"/>
        <v>0.3</v>
      </c>
      <c r="N31" s="124" t="str">
        <f t="shared" si="7"/>
        <v/>
      </c>
      <c r="O31" s="126">
        <v>250.0</v>
      </c>
      <c r="P31" s="124">
        <f t="shared" si="8"/>
        <v>-250</v>
      </c>
      <c r="S31" s="94"/>
    </row>
    <row r="32" hidden="1" outlineLevel="2">
      <c r="A32" s="105">
        <v>45957.0</v>
      </c>
      <c r="B32" s="106">
        <v>115.0</v>
      </c>
      <c r="C32" s="332"/>
      <c r="D32" s="123">
        <f t="shared" si="14"/>
        <v>115</v>
      </c>
      <c r="E32" s="106">
        <v>12.0</v>
      </c>
      <c r="F32" s="107">
        <v>18.0</v>
      </c>
      <c r="G32" s="123">
        <f t="shared" si="15"/>
        <v>-6</v>
      </c>
      <c r="H32" s="108">
        <v>2280.69</v>
      </c>
      <c r="I32" s="109">
        <v>5217.39</v>
      </c>
      <c r="J32" s="124">
        <f t="shared" si="11"/>
        <v>-2936.7</v>
      </c>
      <c r="K32" s="125">
        <f t="shared" si="12"/>
        <v>0.1043478261</v>
      </c>
      <c r="L32" s="125">
        <v>0.3</v>
      </c>
      <c r="M32" s="125">
        <f t="shared" si="16"/>
        <v>0.1956521739</v>
      </c>
      <c r="N32" s="124">
        <f t="shared" si="7"/>
        <v>190.0575</v>
      </c>
      <c r="O32" s="126">
        <v>250.0</v>
      </c>
      <c r="P32" s="124">
        <f t="shared" si="8"/>
        <v>-59.9425</v>
      </c>
      <c r="S32" s="94"/>
    </row>
    <row r="33" hidden="1" outlineLevel="2">
      <c r="A33" s="105">
        <v>45958.0</v>
      </c>
      <c r="B33" s="106">
        <v>92.0</v>
      </c>
      <c r="C33" s="332"/>
      <c r="D33" s="123">
        <f t="shared" si="14"/>
        <v>92</v>
      </c>
      <c r="E33" s="106">
        <v>13.0</v>
      </c>
      <c r="F33" s="107">
        <v>18.0</v>
      </c>
      <c r="G33" s="123">
        <f t="shared" si="15"/>
        <v>-5</v>
      </c>
      <c r="H33" s="108">
        <v>2265.57</v>
      </c>
      <c r="I33" s="109">
        <v>5217.39</v>
      </c>
      <c r="J33" s="124">
        <f t="shared" si="11"/>
        <v>-2951.82</v>
      </c>
      <c r="K33" s="125">
        <f t="shared" si="12"/>
        <v>0.1413043478</v>
      </c>
      <c r="L33" s="125">
        <v>0.3</v>
      </c>
      <c r="M33" s="125">
        <f t="shared" si="16"/>
        <v>0.1586956522</v>
      </c>
      <c r="N33" s="124">
        <f t="shared" si="7"/>
        <v>174.2746154</v>
      </c>
      <c r="O33" s="126">
        <v>250.0</v>
      </c>
      <c r="P33" s="124">
        <f t="shared" si="8"/>
        <v>-75.72538462</v>
      </c>
      <c r="S33" s="94"/>
    </row>
    <row r="34" hidden="1" outlineLevel="2">
      <c r="A34" s="105">
        <v>45959.0</v>
      </c>
      <c r="B34" s="106">
        <v>115.0</v>
      </c>
      <c r="C34" s="332"/>
      <c r="D34" s="123">
        <f t="shared" si="14"/>
        <v>115</v>
      </c>
      <c r="E34" s="106">
        <v>13.0</v>
      </c>
      <c r="F34" s="107">
        <v>18.0</v>
      </c>
      <c r="G34" s="123">
        <f t="shared" si="15"/>
        <v>-5</v>
      </c>
      <c r="H34" s="108">
        <v>5198.6</v>
      </c>
      <c r="I34" s="109">
        <v>5217.39</v>
      </c>
      <c r="J34" s="124">
        <f t="shared" si="11"/>
        <v>-18.79</v>
      </c>
      <c r="K34" s="125">
        <f t="shared" si="12"/>
        <v>0.1130434783</v>
      </c>
      <c r="L34" s="125">
        <v>0.3</v>
      </c>
      <c r="M34" s="125">
        <f t="shared" si="16"/>
        <v>0.1869565217</v>
      </c>
      <c r="N34" s="124">
        <f t="shared" si="7"/>
        <v>399.8923077</v>
      </c>
      <c r="O34" s="126">
        <v>250.0</v>
      </c>
      <c r="P34" s="124">
        <f t="shared" si="8"/>
        <v>149.8923077</v>
      </c>
      <c r="S34" s="94"/>
    </row>
    <row r="35" hidden="1" outlineLevel="2">
      <c r="A35" s="105">
        <v>45960.0</v>
      </c>
      <c r="B35" s="106">
        <v>79.0</v>
      </c>
      <c r="C35" s="332"/>
      <c r="D35" s="123">
        <f t="shared" si="14"/>
        <v>79</v>
      </c>
      <c r="E35" s="106">
        <v>17.0</v>
      </c>
      <c r="F35" s="107">
        <v>18.0</v>
      </c>
      <c r="G35" s="123">
        <f t="shared" si="15"/>
        <v>-1</v>
      </c>
      <c r="H35" s="108">
        <v>4762.3</v>
      </c>
      <c r="I35" s="109">
        <v>5217.39</v>
      </c>
      <c r="J35" s="124">
        <f t="shared" si="11"/>
        <v>-455.09</v>
      </c>
      <c r="K35" s="125">
        <f t="shared" si="12"/>
        <v>0.2151898734</v>
      </c>
      <c r="L35" s="125">
        <v>0.3</v>
      </c>
      <c r="M35" s="125">
        <f t="shared" si="16"/>
        <v>0.08481012658</v>
      </c>
      <c r="N35" s="124">
        <f t="shared" si="7"/>
        <v>280.1352941</v>
      </c>
      <c r="O35" s="126">
        <v>250.0</v>
      </c>
      <c r="P35" s="124">
        <f t="shared" si="8"/>
        <v>30.13529412</v>
      </c>
      <c r="S35" s="94"/>
    </row>
    <row r="36" hidden="1" outlineLevel="2">
      <c r="A36" s="105">
        <v>45961.0</v>
      </c>
      <c r="B36" s="106">
        <v>78.0</v>
      </c>
      <c r="C36" s="332"/>
      <c r="D36" s="123">
        <f t="shared" si="14"/>
        <v>78</v>
      </c>
      <c r="E36" s="106">
        <v>13.0</v>
      </c>
      <c r="F36" s="107">
        <v>18.0</v>
      </c>
      <c r="G36" s="123">
        <f t="shared" si="15"/>
        <v>-5</v>
      </c>
      <c r="H36" s="108">
        <v>7620.0</v>
      </c>
      <c r="I36" s="109">
        <v>5217.39</v>
      </c>
      <c r="J36" s="124">
        <f t="shared" si="11"/>
        <v>2402.61</v>
      </c>
      <c r="K36" s="125">
        <f t="shared" si="12"/>
        <v>0.1666666667</v>
      </c>
      <c r="L36" s="125">
        <v>0.3</v>
      </c>
      <c r="M36" s="125">
        <f t="shared" si="16"/>
        <v>0.1333333333</v>
      </c>
      <c r="N36" s="124">
        <f t="shared" si="7"/>
        <v>586.1538462</v>
      </c>
      <c r="O36" s="126">
        <v>250.0</v>
      </c>
      <c r="P36" s="124">
        <f t="shared" si="8"/>
        <v>336.1538462</v>
      </c>
      <c r="S36" s="94"/>
    </row>
    <row r="37" outlineLevel="1" collapsed="1">
      <c r="A37" s="100" t="s">
        <v>132</v>
      </c>
      <c r="B37" s="335">
        <f t="shared" ref="B37:D37" si="17">SUM(B38:B67)</f>
        <v>380</v>
      </c>
      <c r="C37" s="335">
        <f t="shared" si="17"/>
        <v>240</v>
      </c>
      <c r="D37" s="335">
        <f t="shared" si="17"/>
        <v>140</v>
      </c>
      <c r="E37" s="325">
        <v>122.0</v>
      </c>
      <c r="F37" s="335">
        <f t="shared" ref="F37:G37" si="18">SUM(F38:F67)</f>
        <v>72</v>
      </c>
      <c r="G37" s="335">
        <f t="shared" si="18"/>
        <v>-37</v>
      </c>
      <c r="H37" s="353">
        <f>SUM(H38:H68)</f>
        <v>6297.08</v>
      </c>
      <c r="I37" s="353">
        <v>80000.0</v>
      </c>
      <c r="J37" s="336">
        <f>SUM(J38:J68)</f>
        <v>-74188.81</v>
      </c>
      <c r="K37" s="110">
        <f t="shared" si="12"/>
        <v>0.3210526316</v>
      </c>
      <c r="L37" s="110">
        <v>0.3</v>
      </c>
      <c r="M37" s="110">
        <f>K37-L37</f>
        <v>0.02105263158</v>
      </c>
      <c r="N37" s="355">
        <f>H37/E37</f>
        <v>51.61540984</v>
      </c>
      <c r="O37" s="327">
        <v>250.0</v>
      </c>
      <c r="P37" s="353">
        <f t="shared" si="8"/>
        <v>-198.3845902</v>
      </c>
      <c r="S37" s="94"/>
    </row>
    <row r="38" hidden="1" outlineLevel="2">
      <c r="A38" s="132">
        <v>45931.0</v>
      </c>
      <c r="B38" s="329">
        <v>130.0</v>
      </c>
      <c r="C38" s="123"/>
      <c r="D38" s="123">
        <f t="shared" ref="D38:D43" si="19">B38-C38</f>
        <v>130</v>
      </c>
      <c r="E38" s="329">
        <v>35.0</v>
      </c>
      <c r="F38" s="123">
        <f t="shared" ref="F38:F43" si="20">C38*30%</f>
        <v>0</v>
      </c>
      <c r="G38" s="123">
        <f t="shared" ref="G38:G43" si="21">E38-F38</f>
        <v>35</v>
      </c>
      <c r="H38" s="330">
        <v>1818.52</v>
      </c>
      <c r="I38" s="124">
        <v>3478.26</v>
      </c>
      <c r="J38" s="124">
        <f t="shared" ref="J38:J40" si="22">H38-I38</f>
        <v>-1659.74</v>
      </c>
      <c r="K38" s="125">
        <f t="shared" si="12"/>
        <v>0.2692307692</v>
      </c>
      <c r="L38" s="125">
        <v>0.3</v>
      </c>
      <c r="M38" s="125">
        <f t="shared" ref="M38:M43" si="23">L38-K38</f>
        <v>0.03076923077</v>
      </c>
      <c r="N38" s="124">
        <f t="shared" ref="N38:N100" si="24">IFERROR(H38/E38,"")</f>
        <v>51.95771429</v>
      </c>
      <c r="O38" s="126">
        <v>250.0</v>
      </c>
      <c r="P38" s="124">
        <f t="shared" si="8"/>
        <v>-198.0422857</v>
      </c>
    </row>
    <row r="39" hidden="1" outlineLevel="2">
      <c r="A39" s="132">
        <v>45932.0</v>
      </c>
      <c r="B39" s="329">
        <v>84.0</v>
      </c>
      <c r="C39" s="123"/>
      <c r="D39" s="123">
        <f t="shared" si="19"/>
        <v>84</v>
      </c>
      <c r="E39" s="329">
        <v>0.0</v>
      </c>
      <c r="F39" s="123">
        <f t="shared" si="20"/>
        <v>0</v>
      </c>
      <c r="G39" s="123">
        <f t="shared" si="21"/>
        <v>0</v>
      </c>
      <c r="H39" s="330">
        <v>803.15</v>
      </c>
      <c r="I39" s="124">
        <v>3478.26</v>
      </c>
      <c r="J39" s="124">
        <f t="shared" si="22"/>
        <v>-2675.11</v>
      </c>
      <c r="K39" s="125">
        <f t="shared" si="12"/>
        <v>0</v>
      </c>
      <c r="L39" s="125">
        <v>0.3</v>
      </c>
      <c r="M39" s="125">
        <f t="shared" si="23"/>
        <v>0.3</v>
      </c>
      <c r="N39" s="124" t="str">
        <f t="shared" si="24"/>
        <v/>
      </c>
      <c r="O39" s="126">
        <v>250.0</v>
      </c>
      <c r="P39" s="124">
        <f t="shared" si="8"/>
        <v>-250</v>
      </c>
    </row>
    <row r="40" hidden="1" outlineLevel="2">
      <c r="A40" s="132">
        <v>45933.0</v>
      </c>
      <c r="B40" s="329">
        <v>29.0</v>
      </c>
      <c r="C40" s="123"/>
      <c r="D40" s="123">
        <f t="shared" si="19"/>
        <v>29</v>
      </c>
      <c r="E40" s="329">
        <v>0.0</v>
      </c>
      <c r="F40" s="123">
        <f t="shared" si="20"/>
        <v>0</v>
      </c>
      <c r="G40" s="123">
        <f t="shared" si="21"/>
        <v>0</v>
      </c>
      <c r="H40" s="330">
        <v>881.78</v>
      </c>
      <c r="I40" s="124">
        <v>3478.26</v>
      </c>
      <c r="J40" s="124">
        <f t="shared" si="22"/>
        <v>-2596.48</v>
      </c>
      <c r="K40" s="125">
        <f t="shared" si="12"/>
        <v>0</v>
      </c>
      <c r="L40" s="125">
        <v>0.3</v>
      </c>
      <c r="M40" s="125">
        <f t="shared" si="23"/>
        <v>0.3</v>
      </c>
      <c r="N40" s="124" t="str">
        <f t="shared" si="24"/>
        <v/>
      </c>
      <c r="O40" s="126">
        <v>250.0</v>
      </c>
      <c r="P40" s="124">
        <f t="shared" si="8"/>
        <v>-250</v>
      </c>
    </row>
    <row r="41" hidden="1" outlineLevel="2">
      <c r="A41" s="132">
        <v>45934.0</v>
      </c>
      <c r="B41" s="329">
        <v>83.0</v>
      </c>
      <c r="C41" s="123"/>
      <c r="D41" s="123">
        <f t="shared" si="19"/>
        <v>83</v>
      </c>
      <c r="E41" s="329">
        <v>0.0</v>
      </c>
      <c r="F41" s="123">
        <f t="shared" si="20"/>
        <v>0</v>
      </c>
      <c r="G41" s="123">
        <f t="shared" si="21"/>
        <v>0</v>
      </c>
      <c r="H41" s="330">
        <v>485.91</v>
      </c>
      <c r="I41" s="124"/>
      <c r="J41" s="124"/>
      <c r="K41" s="125">
        <f t="shared" si="12"/>
        <v>0</v>
      </c>
      <c r="L41" s="125">
        <v>0.3</v>
      </c>
      <c r="M41" s="125">
        <f t="shared" si="23"/>
        <v>0.3</v>
      </c>
      <c r="N41" s="124" t="str">
        <f t="shared" si="24"/>
        <v/>
      </c>
      <c r="O41" s="126">
        <v>250.0</v>
      </c>
      <c r="P41" s="124">
        <f t="shared" si="8"/>
        <v>-250</v>
      </c>
    </row>
    <row r="42" hidden="1" outlineLevel="2">
      <c r="A42" s="132">
        <v>45935.0</v>
      </c>
      <c r="B42" s="329">
        <v>50.0</v>
      </c>
      <c r="C42" s="123"/>
      <c r="D42" s="123">
        <f t="shared" si="19"/>
        <v>50</v>
      </c>
      <c r="E42" s="329">
        <v>0.0</v>
      </c>
      <c r="F42" s="123">
        <f t="shared" si="20"/>
        <v>0</v>
      </c>
      <c r="G42" s="123">
        <f t="shared" si="21"/>
        <v>0</v>
      </c>
      <c r="H42" s="330">
        <v>0.0</v>
      </c>
      <c r="I42" s="124"/>
      <c r="J42" s="124"/>
      <c r="K42" s="125">
        <f t="shared" si="12"/>
        <v>0</v>
      </c>
      <c r="L42" s="125">
        <v>0.3</v>
      </c>
      <c r="M42" s="125">
        <f t="shared" si="23"/>
        <v>0.3</v>
      </c>
      <c r="N42" s="124" t="str">
        <f t="shared" si="24"/>
        <v/>
      </c>
      <c r="O42" s="126">
        <v>250.0</v>
      </c>
      <c r="P42" s="124">
        <f t="shared" si="8"/>
        <v>-250</v>
      </c>
    </row>
    <row r="43" hidden="1" outlineLevel="2">
      <c r="A43" s="132">
        <v>45936.0</v>
      </c>
      <c r="B43" s="329">
        <v>4.0</v>
      </c>
      <c r="C43" s="123"/>
      <c r="D43" s="123">
        <f t="shared" si="19"/>
        <v>4</v>
      </c>
      <c r="E43" s="329">
        <v>0.0</v>
      </c>
      <c r="F43" s="123">
        <f t="shared" si="20"/>
        <v>0</v>
      </c>
      <c r="G43" s="123">
        <f t="shared" si="21"/>
        <v>0</v>
      </c>
      <c r="H43" s="330">
        <v>680.0</v>
      </c>
      <c r="I43" s="124">
        <v>3478.26</v>
      </c>
      <c r="J43" s="124">
        <f t="shared" ref="J43:J47" si="25">H43-I43</f>
        <v>-2798.26</v>
      </c>
      <c r="K43" s="125">
        <f t="shared" si="12"/>
        <v>0</v>
      </c>
      <c r="L43" s="125">
        <v>0.3</v>
      </c>
      <c r="M43" s="125">
        <f t="shared" si="23"/>
        <v>0.3</v>
      </c>
      <c r="N43" s="124" t="str">
        <f t="shared" si="24"/>
        <v/>
      </c>
      <c r="O43" s="126">
        <v>250.0</v>
      </c>
      <c r="P43" s="124">
        <f t="shared" si="8"/>
        <v>-250</v>
      </c>
    </row>
    <row r="44" hidden="1" outlineLevel="2">
      <c r="A44" s="132">
        <v>45937.0</v>
      </c>
      <c r="B44" s="329">
        <v>0.0</v>
      </c>
      <c r="C44" s="123"/>
      <c r="D44" s="123"/>
      <c r="E44" s="329">
        <v>0.0</v>
      </c>
      <c r="F44" s="123"/>
      <c r="G44" s="123"/>
      <c r="H44" s="330">
        <v>1304.45</v>
      </c>
      <c r="I44" s="124">
        <v>3478.26</v>
      </c>
      <c r="J44" s="124">
        <f t="shared" si="25"/>
        <v>-2173.81</v>
      </c>
      <c r="K44" s="125" t="str">
        <f t="shared" si="12"/>
        <v/>
      </c>
      <c r="L44" s="125"/>
      <c r="M44" s="129"/>
      <c r="N44" s="124" t="str">
        <f t="shared" si="24"/>
        <v/>
      </c>
      <c r="O44" s="126"/>
      <c r="P44" s="124">
        <f t="shared" si="8"/>
        <v>0</v>
      </c>
    </row>
    <row r="45" hidden="1" outlineLevel="2">
      <c r="A45" s="132">
        <v>45938.0</v>
      </c>
      <c r="B45" s="329">
        <v>0.0</v>
      </c>
      <c r="C45" s="123"/>
      <c r="D45" s="123">
        <f t="shared" ref="D45:D68" si="26">B45-C45</f>
        <v>0</v>
      </c>
      <c r="E45" s="329">
        <v>0.0</v>
      </c>
      <c r="F45" s="123">
        <f t="shared" ref="F45:F68" si="27">C45*30%</f>
        <v>0</v>
      </c>
      <c r="G45" s="123">
        <f t="shared" ref="G45:G68" si="28">E45-F45</f>
        <v>0</v>
      </c>
      <c r="H45" s="330">
        <v>323.27</v>
      </c>
      <c r="I45" s="124">
        <v>3478.26</v>
      </c>
      <c r="J45" s="124">
        <f t="shared" si="25"/>
        <v>-3154.99</v>
      </c>
      <c r="K45" s="125" t="str">
        <f t="shared" si="12"/>
        <v/>
      </c>
      <c r="L45" s="125">
        <v>0.3</v>
      </c>
      <c r="M45" s="125">
        <f t="shared" ref="M45:M68" si="29">L45-K45</f>
        <v>0.3</v>
      </c>
      <c r="N45" s="124" t="str">
        <f t="shared" si="24"/>
        <v/>
      </c>
      <c r="O45" s="126">
        <v>250.0</v>
      </c>
      <c r="P45" s="124">
        <f t="shared" si="8"/>
        <v>-250</v>
      </c>
    </row>
    <row r="46" hidden="1" outlineLevel="2">
      <c r="A46" s="132">
        <v>45939.0</v>
      </c>
      <c r="B46" s="329">
        <v>0.0</v>
      </c>
      <c r="C46" s="123"/>
      <c r="D46" s="123">
        <f t="shared" si="26"/>
        <v>0</v>
      </c>
      <c r="E46" s="329">
        <v>0.0</v>
      </c>
      <c r="F46" s="123">
        <f t="shared" si="27"/>
        <v>0</v>
      </c>
      <c r="G46" s="123">
        <f t="shared" si="28"/>
        <v>0</v>
      </c>
      <c r="H46" s="330">
        <v>0.0</v>
      </c>
      <c r="I46" s="124">
        <v>3478.26</v>
      </c>
      <c r="J46" s="124">
        <f t="shared" si="25"/>
        <v>-3478.26</v>
      </c>
      <c r="K46" s="125" t="str">
        <f t="shared" si="12"/>
        <v/>
      </c>
      <c r="L46" s="125">
        <v>0.3</v>
      </c>
      <c r="M46" s="125">
        <f t="shared" si="29"/>
        <v>0.3</v>
      </c>
      <c r="N46" s="124" t="str">
        <f t="shared" si="24"/>
        <v/>
      </c>
      <c r="O46" s="126">
        <v>250.0</v>
      </c>
      <c r="P46" s="124">
        <f t="shared" si="8"/>
        <v>-250</v>
      </c>
    </row>
    <row r="47" hidden="1" outlineLevel="2">
      <c r="A47" s="132">
        <v>45940.0</v>
      </c>
      <c r="B47" s="329">
        <v>0.0</v>
      </c>
      <c r="C47" s="123">
        <v>80.0</v>
      </c>
      <c r="D47" s="123">
        <f t="shared" si="26"/>
        <v>-80</v>
      </c>
      <c r="E47" s="329">
        <v>0.0</v>
      </c>
      <c r="F47" s="123">
        <f t="shared" si="27"/>
        <v>24</v>
      </c>
      <c r="G47" s="123">
        <f t="shared" si="28"/>
        <v>-24</v>
      </c>
      <c r="H47" s="330">
        <v>0.0</v>
      </c>
      <c r="I47" s="124">
        <v>3478.26</v>
      </c>
      <c r="J47" s="124">
        <f t="shared" si="25"/>
        <v>-3478.26</v>
      </c>
      <c r="K47" s="125" t="str">
        <f t="shared" si="12"/>
        <v/>
      </c>
      <c r="L47" s="125">
        <v>0.3</v>
      </c>
      <c r="M47" s="125">
        <f t="shared" si="29"/>
        <v>0.3</v>
      </c>
      <c r="N47" s="124" t="str">
        <f t="shared" si="24"/>
        <v/>
      </c>
      <c r="O47" s="126">
        <v>250.0</v>
      </c>
      <c r="P47" s="124">
        <f t="shared" si="8"/>
        <v>-250</v>
      </c>
    </row>
    <row r="48" hidden="1" outlineLevel="2">
      <c r="A48" s="132">
        <v>45941.0</v>
      </c>
      <c r="B48" s="329">
        <v>0.0</v>
      </c>
      <c r="C48" s="123">
        <v>80.0</v>
      </c>
      <c r="D48" s="123">
        <f t="shared" si="26"/>
        <v>-80</v>
      </c>
      <c r="E48" s="329">
        <v>0.0</v>
      </c>
      <c r="F48" s="123">
        <f t="shared" si="27"/>
        <v>24</v>
      </c>
      <c r="G48" s="123">
        <f t="shared" si="28"/>
        <v>-24</v>
      </c>
      <c r="H48" s="330">
        <v>0.0</v>
      </c>
      <c r="I48" s="124"/>
      <c r="J48" s="124"/>
      <c r="K48" s="125" t="str">
        <f t="shared" si="12"/>
        <v/>
      </c>
      <c r="L48" s="125">
        <v>0.3</v>
      </c>
      <c r="M48" s="125">
        <f t="shared" si="29"/>
        <v>0.3</v>
      </c>
      <c r="N48" s="124" t="str">
        <f t="shared" si="24"/>
        <v/>
      </c>
      <c r="O48" s="126">
        <v>250.0</v>
      </c>
      <c r="P48" s="124">
        <f t="shared" si="8"/>
        <v>-250</v>
      </c>
    </row>
    <row r="49" hidden="1" outlineLevel="2">
      <c r="A49" s="132">
        <v>45942.0</v>
      </c>
      <c r="B49" s="329">
        <v>0.0</v>
      </c>
      <c r="C49" s="123">
        <v>80.0</v>
      </c>
      <c r="D49" s="123">
        <f t="shared" si="26"/>
        <v>-80</v>
      </c>
      <c r="E49" s="329">
        <v>0.0</v>
      </c>
      <c r="F49" s="123">
        <f t="shared" si="27"/>
        <v>24</v>
      </c>
      <c r="G49" s="123">
        <f t="shared" si="28"/>
        <v>-24</v>
      </c>
      <c r="H49" s="330">
        <v>0.0</v>
      </c>
      <c r="I49" s="124"/>
      <c r="J49" s="124"/>
      <c r="K49" s="125" t="str">
        <f t="shared" si="12"/>
        <v/>
      </c>
      <c r="L49" s="125">
        <v>0.3</v>
      </c>
      <c r="M49" s="125">
        <f t="shared" si="29"/>
        <v>0.3</v>
      </c>
      <c r="N49" s="124" t="str">
        <f t="shared" si="24"/>
        <v/>
      </c>
      <c r="O49" s="126">
        <v>250.0</v>
      </c>
      <c r="P49" s="124">
        <f t="shared" si="8"/>
        <v>-250</v>
      </c>
    </row>
    <row r="50" hidden="1" outlineLevel="2">
      <c r="A50" s="132">
        <v>45943.0</v>
      </c>
      <c r="B50" s="329">
        <v>0.0</v>
      </c>
      <c r="C50" s="332"/>
      <c r="D50" s="123">
        <f t="shared" si="26"/>
        <v>0</v>
      </c>
      <c r="E50" s="329">
        <v>0.0</v>
      </c>
      <c r="F50" s="123">
        <f t="shared" si="27"/>
        <v>0</v>
      </c>
      <c r="G50" s="123">
        <f t="shared" si="28"/>
        <v>0</v>
      </c>
      <c r="H50" s="330">
        <v>0.0</v>
      </c>
      <c r="I50" s="124">
        <v>3478.26</v>
      </c>
      <c r="J50" s="124">
        <f t="shared" ref="J50:J54" si="30">H50-I50</f>
        <v>-3478.26</v>
      </c>
      <c r="K50" s="125" t="str">
        <f t="shared" si="12"/>
        <v/>
      </c>
      <c r="L50" s="125">
        <v>0.3</v>
      </c>
      <c r="M50" s="125">
        <f t="shared" si="29"/>
        <v>0.3</v>
      </c>
      <c r="N50" s="124" t="str">
        <f t="shared" si="24"/>
        <v/>
      </c>
      <c r="O50" s="126">
        <v>250.0</v>
      </c>
      <c r="P50" s="124">
        <f t="shared" si="8"/>
        <v>-250</v>
      </c>
      <c r="S50" s="94"/>
    </row>
    <row r="51" hidden="1" outlineLevel="2">
      <c r="A51" s="132">
        <v>45944.0</v>
      </c>
      <c r="B51" s="329">
        <v>0.0</v>
      </c>
      <c r="C51" s="332"/>
      <c r="D51" s="123">
        <f t="shared" si="26"/>
        <v>0</v>
      </c>
      <c r="E51" s="329">
        <v>0.0</v>
      </c>
      <c r="F51" s="123">
        <f t="shared" si="27"/>
        <v>0</v>
      </c>
      <c r="G51" s="123">
        <f t="shared" si="28"/>
        <v>0</v>
      </c>
      <c r="H51" s="330">
        <v>0.0</v>
      </c>
      <c r="I51" s="124">
        <v>3478.26</v>
      </c>
      <c r="J51" s="124">
        <f t="shared" si="30"/>
        <v>-3478.26</v>
      </c>
      <c r="K51" s="125" t="str">
        <f t="shared" si="12"/>
        <v/>
      </c>
      <c r="L51" s="125">
        <v>0.3</v>
      </c>
      <c r="M51" s="125">
        <f t="shared" si="29"/>
        <v>0.3</v>
      </c>
      <c r="N51" s="124" t="str">
        <f t="shared" si="24"/>
        <v/>
      </c>
      <c r="O51" s="126">
        <v>250.0</v>
      </c>
      <c r="P51" s="124">
        <f t="shared" si="8"/>
        <v>-250</v>
      </c>
      <c r="S51" s="94"/>
    </row>
    <row r="52" hidden="1" outlineLevel="2">
      <c r="A52" s="132">
        <v>45945.0</v>
      </c>
      <c r="B52" s="329">
        <v>0.0</v>
      </c>
      <c r="C52" s="332"/>
      <c r="D52" s="123">
        <f t="shared" si="26"/>
        <v>0</v>
      </c>
      <c r="E52" s="329">
        <v>0.0</v>
      </c>
      <c r="F52" s="123">
        <f t="shared" si="27"/>
        <v>0</v>
      </c>
      <c r="G52" s="123">
        <f t="shared" si="28"/>
        <v>0</v>
      </c>
      <c r="H52" s="330">
        <v>0.0</v>
      </c>
      <c r="I52" s="124">
        <v>3478.26</v>
      </c>
      <c r="J52" s="124">
        <f t="shared" si="30"/>
        <v>-3478.26</v>
      </c>
      <c r="K52" s="125" t="str">
        <f t="shared" si="12"/>
        <v/>
      </c>
      <c r="L52" s="125">
        <v>0.3</v>
      </c>
      <c r="M52" s="125">
        <f t="shared" si="29"/>
        <v>0.3</v>
      </c>
      <c r="N52" s="124" t="str">
        <f t="shared" si="24"/>
        <v/>
      </c>
      <c r="O52" s="126">
        <v>250.0</v>
      </c>
      <c r="P52" s="124">
        <f t="shared" si="8"/>
        <v>-250</v>
      </c>
      <c r="S52" s="94"/>
    </row>
    <row r="53" hidden="1" outlineLevel="2">
      <c r="A53" s="132">
        <v>45946.0</v>
      </c>
      <c r="B53" s="329">
        <v>0.0</v>
      </c>
      <c r="C53" s="332"/>
      <c r="D53" s="123">
        <f t="shared" si="26"/>
        <v>0</v>
      </c>
      <c r="E53" s="329">
        <v>0.0</v>
      </c>
      <c r="F53" s="123">
        <f t="shared" si="27"/>
        <v>0</v>
      </c>
      <c r="G53" s="123">
        <f t="shared" si="28"/>
        <v>0</v>
      </c>
      <c r="H53" s="330">
        <v>0.0</v>
      </c>
      <c r="I53" s="124">
        <v>3478.26</v>
      </c>
      <c r="J53" s="124">
        <f t="shared" si="30"/>
        <v>-3478.26</v>
      </c>
      <c r="K53" s="125" t="str">
        <f t="shared" si="12"/>
        <v/>
      </c>
      <c r="L53" s="125">
        <v>0.3</v>
      </c>
      <c r="M53" s="125">
        <f t="shared" si="29"/>
        <v>0.3</v>
      </c>
      <c r="N53" s="124" t="str">
        <f t="shared" si="24"/>
        <v/>
      </c>
      <c r="O53" s="126">
        <v>250.0</v>
      </c>
      <c r="P53" s="124">
        <f t="shared" si="8"/>
        <v>-250</v>
      </c>
      <c r="S53" s="94"/>
    </row>
    <row r="54" hidden="1" outlineLevel="2">
      <c r="A54" s="132">
        <v>45947.0</v>
      </c>
      <c r="B54" s="329">
        <v>0.0</v>
      </c>
      <c r="C54" s="332"/>
      <c r="D54" s="123">
        <f t="shared" si="26"/>
        <v>0</v>
      </c>
      <c r="E54" s="329">
        <v>0.0</v>
      </c>
      <c r="F54" s="123">
        <f t="shared" si="27"/>
        <v>0</v>
      </c>
      <c r="G54" s="123">
        <f t="shared" si="28"/>
        <v>0</v>
      </c>
      <c r="H54" s="330">
        <v>0.0</v>
      </c>
      <c r="I54" s="124">
        <v>3478.26</v>
      </c>
      <c r="J54" s="124">
        <f t="shared" si="30"/>
        <v>-3478.26</v>
      </c>
      <c r="K54" s="125" t="str">
        <f t="shared" si="12"/>
        <v/>
      </c>
      <c r="L54" s="125">
        <v>0.3</v>
      </c>
      <c r="M54" s="125">
        <f t="shared" si="29"/>
        <v>0.3</v>
      </c>
      <c r="N54" s="124" t="str">
        <f t="shared" si="24"/>
        <v/>
      </c>
      <c r="O54" s="126">
        <v>250.0</v>
      </c>
      <c r="P54" s="124">
        <f t="shared" si="8"/>
        <v>-250</v>
      </c>
      <c r="R54" s="115" t="s">
        <v>12</v>
      </c>
    </row>
    <row r="55" hidden="1" outlineLevel="2">
      <c r="A55" s="132">
        <v>45948.0</v>
      </c>
      <c r="B55" s="329">
        <v>0.0</v>
      </c>
      <c r="C55" s="332"/>
      <c r="D55" s="123">
        <f t="shared" si="26"/>
        <v>0</v>
      </c>
      <c r="E55" s="329">
        <v>0.0</v>
      </c>
      <c r="F55" s="123">
        <f t="shared" si="27"/>
        <v>0</v>
      </c>
      <c r="G55" s="123">
        <f t="shared" si="28"/>
        <v>0</v>
      </c>
      <c r="H55" s="330">
        <v>0.0</v>
      </c>
      <c r="I55" s="124"/>
      <c r="J55" s="124"/>
      <c r="K55" s="125" t="str">
        <f t="shared" si="12"/>
        <v/>
      </c>
      <c r="L55" s="125">
        <v>0.3</v>
      </c>
      <c r="M55" s="125">
        <f t="shared" si="29"/>
        <v>0.3</v>
      </c>
      <c r="N55" s="124" t="str">
        <f t="shared" si="24"/>
        <v/>
      </c>
      <c r="O55" s="126">
        <v>250.0</v>
      </c>
      <c r="P55" s="124">
        <f t="shared" si="8"/>
        <v>-250</v>
      </c>
      <c r="R55" s="113" t="s">
        <v>8</v>
      </c>
      <c r="S55" s="116">
        <v>80000.0</v>
      </c>
    </row>
    <row r="56" hidden="1" outlineLevel="2">
      <c r="A56" s="132">
        <v>45949.0</v>
      </c>
      <c r="B56" s="329">
        <v>0.0</v>
      </c>
      <c r="C56" s="332"/>
      <c r="D56" s="123">
        <f t="shared" si="26"/>
        <v>0</v>
      </c>
      <c r="E56" s="329">
        <v>0.0</v>
      </c>
      <c r="F56" s="123">
        <f t="shared" si="27"/>
        <v>0</v>
      </c>
      <c r="G56" s="123">
        <f t="shared" si="28"/>
        <v>0</v>
      </c>
      <c r="H56" s="330">
        <v>0.0</v>
      </c>
      <c r="I56" s="124"/>
      <c r="J56" s="124"/>
      <c r="K56" s="125" t="str">
        <f t="shared" si="12"/>
        <v/>
      </c>
      <c r="L56" s="125">
        <v>0.3</v>
      </c>
      <c r="M56" s="125">
        <f t="shared" si="29"/>
        <v>0.3</v>
      </c>
      <c r="N56" s="124" t="str">
        <f t="shared" si="24"/>
        <v/>
      </c>
      <c r="O56" s="126">
        <v>250.0</v>
      </c>
      <c r="P56" s="124">
        <f t="shared" si="8"/>
        <v>-250</v>
      </c>
      <c r="R56" s="113" t="s">
        <v>45</v>
      </c>
      <c r="S56" s="117">
        <f>S55/30</f>
        <v>2666.666667</v>
      </c>
    </row>
    <row r="57" hidden="1" outlineLevel="2">
      <c r="A57" s="132">
        <v>45950.0</v>
      </c>
      <c r="B57" s="329">
        <v>0.0</v>
      </c>
      <c r="C57" s="332"/>
      <c r="D57" s="123">
        <f t="shared" si="26"/>
        <v>0</v>
      </c>
      <c r="E57" s="329">
        <v>0.0</v>
      </c>
      <c r="F57" s="123">
        <f t="shared" si="27"/>
        <v>0</v>
      </c>
      <c r="G57" s="123">
        <f t="shared" si="28"/>
        <v>0</v>
      </c>
      <c r="H57" s="330">
        <v>0.0</v>
      </c>
      <c r="I57" s="124">
        <v>3478.26</v>
      </c>
      <c r="J57" s="124">
        <f t="shared" ref="J57:J61" si="31">H57-I57</f>
        <v>-3478.26</v>
      </c>
      <c r="K57" s="125" t="str">
        <f t="shared" si="12"/>
        <v/>
      </c>
      <c r="L57" s="125">
        <v>0.3</v>
      </c>
      <c r="M57" s="125">
        <f t="shared" si="29"/>
        <v>0.3</v>
      </c>
      <c r="N57" s="124" t="str">
        <f t="shared" si="24"/>
        <v/>
      </c>
      <c r="O57" s="126">
        <v>250.0</v>
      </c>
      <c r="P57" s="124">
        <f t="shared" si="8"/>
        <v>-250</v>
      </c>
      <c r="R57" s="113" t="s">
        <v>46</v>
      </c>
      <c r="S57" s="117">
        <f>S55/23</f>
        <v>3478.26087</v>
      </c>
    </row>
    <row r="58" hidden="1" outlineLevel="2">
      <c r="A58" s="132">
        <v>45951.0</v>
      </c>
      <c r="B58" s="329">
        <v>0.0</v>
      </c>
      <c r="C58" s="332"/>
      <c r="D58" s="123">
        <f t="shared" si="26"/>
        <v>0</v>
      </c>
      <c r="E58" s="329">
        <v>0.0</v>
      </c>
      <c r="F58" s="123">
        <f t="shared" si="27"/>
        <v>0</v>
      </c>
      <c r="G58" s="123">
        <f t="shared" si="28"/>
        <v>0</v>
      </c>
      <c r="H58" s="330">
        <v>0.0</v>
      </c>
      <c r="I58" s="124">
        <v>3478.26</v>
      </c>
      <c r="J58" s="124">
        <f t="shared" si="31"/>
        <v>-3478.26</v>
      </c>
      <c r="K58" s="125" t="str">
        <f t="shared" si="12"/>
        <v/>
      </c>
      <c r="L58" s="125">
        <v>0.3</v>
      </c>
      <c r="M58" s="125">
        <f t="shared" si="29"/>
        <v>0.3</v>
      </c>
      <c r="N58" s="124" t="str">
        <f t="shared" si="24"/>
        <v/>
      </c>
      <c r="O58" s="126">
        <v>250.0</v>
      </c>
      <c r="P58" s="124">
        <f t="shared" si="8"/>
        <v>-250</v>
      </c>
      <c r="R58" s="113" t="s">
        <v>7</v>
      </c>
      <c r="S58" s="117">
        <f>H37</f>
        <v>6297.08</v>
      </c>
    </row>
    <row r="59" hidden="1" outlineLevel="2">
      <c r="A59" s="132">
        <v>45952.0</v>
      </c>
      <c r="B59" s="329">
        <v>0.0</v>
      </c>
      <c r="C59" s="332"/>
      <c r="D59" s="123">
        <f t="shared" si="26"/>
        <v>0</v>
      </c>
      <c r="E59" s="329">
        <v>0.0</v>
      </c>
      <c r="F59" s="123">
        <f t="shared" si="27"/>
        <v>0</v>
      </c>
      <c r="G59" s="123">
        <f t="shared" si="28"/>
        <v>0</v>
      </c>
      <c r="H59" s="330">
        <v>0.0</v>
      </c>
      <c r="I59" s="124">
        <v>3478.26</v>
      </c>
      <c r="J59" s="124">
        <f t="shared" si="31"/>
        <v>-3478.26</v>
      </c>
      <c r="K59" s="125" t="str">
        <f t="shared" si="12"/>
        <v/>
      </c>
      <c r="L59" s="125">
        <v>0.3</v>
      </c>
      <c r="M59" s="125">
        <f t="shared" si="29"/>
        <v>0.3</v>
      </c>
      <c r="N59" s="124" t="str">
        <f t="shared" si="24"/>
        <v/>
      </c>
      <c r="O59" s="126">
        <v>250.0</v>
      </c>
      <c r="P59" s="124">
        <f t="shared" si="8"/>
        <v>-250</v>
      </c>
      <c r="R59" s="113" t="s">
        <v>47</v>
      </c>
      <c r="S59" s="119">
        <f>S58/S55</f>
        <v>0.0787135</v>
      </c>
    </row>
    <row r="60" hidden="1" outlineLevel="2">
      <c r="A60" s="132">
        <v>45953.0</v>
      </c>
      <c r="B60" s="329">
        <v>0.0</v>
      </c>
      <c r="C60" s="332"/>
      <c r="D60" s="123">
        <f t="shared" si="26"/>
        <v>0</v>
      </c>
      <c r="E60" s="329">
        <v>0.0</v>
      </c>
      <c r="F60" s="123">
        <f t="shared" si="27"/>
        <v>0</v>
      </c>
      <c r="G60" s="123">
        <f t="shared" si="28"/>
        <v>0</v>
      </c>
      <c r="H60" s="330">
        <v>0.0</v>
      </c>
      <c r="I60" s="124">
        <v>3478.26</v>
      </c>
      <c r="J60" s="124">
        <f t="shared" si="31"/>
        <v>-3478.26</v>
      </c>
      <c r="K60" s="125" t="str">
        <f t="shared" si="12"/>
        <v/>
      </c>
      <c r="L60" s="125">
        <v>0.3</v>
      </c>
      <c r="M60" s="125">
        <f t="shared" si="29"/>
        <v>0.3</v>
      </c>
      <c r="N60" s="124" t="str">
        <f t="shared" si="24"/>
        <v/>
      </c>
      <c r="O60" s="126">
        <v>250.0</v>
      </c>
      <c r="P60" s="124">
        <f t="shared" si="8"/>
        <v>-250</v>
      </c>
      <c r="R60" s="113" t="s">
        <v>48</v>
      </c>
      <c r="S60" s="120">
        <v>17.0</v>
      </c>
    </row>
    <row r="61" hidden="1" outlineLevel="2">
      <c r="A61" s="132">
        <v>45954.0</v>
      </c>
      <c r="B61" s="329">
        <v>0.0</v>
      </c>
      <c r="C61" s="332"/>
      <c r="D61" s="123">
        <f t="shared" si="26"/>
        <v>0</v>
      </c>
      <c r="E61" s="329">
        <v>0.0</v>
      </c>
      <c r="F61" s="123">
        <f t="shared" si="27"/>
        <v>0</v>
      </c>
      <c r="G61" s="123">
        <f t="shared" si="28"/>
        <v>0</v>
      </c>
      <c r="H61" s="330">
        <v>0.0</v>
      </c>
      <c r="I61" s="124">
        <v>3478.26</v>
      </c>
      <c r="J61" s="124">
        <f t="shared" si="31"/>
        <v>-3478.26</v>
      </c>
      <c r="K61" s="125" t="str">
        <f t="shared" si="12"/>
        <v/>
      </c>
      <c r="L61" s="125">
        <v>0.3</v>
      </c>
      <c r="M61" s="125">
        <f t="shared" si="29"/>
        <v>0.3</v>
      </c>
      <c r="N61" s="124" t="str">
        <f t="shared" si="24"/>
        <v/>
      </c>
      <c r="O61" s="126">
        <v>250.0</v>
      </c>
      <c r="P61" s="124">
        <f t="shared" si="8"/>
        <v>-250</v>
      </c>
      <c r="R61" s="113" t="s">
        <v>49</v>
      </c>
      <c r="S61" s="121">
        <f>(S55-S58)/S60</f>
        <v>4335.465882</v>
      </c>
    </row>
    <row r="62" hidden="1" outlineLevel="2">
      <c r="A62" s="132">
        <v>45955.0</v>
      </c>
      <c r="B62" s="329">
        <v>0.0</v>
      </c>
      <c r="C62" s="332"/>
      <c r="D62" s="123">
        <f t="shared" si="26"/>
        <v>0</v>
      </c>
      <c r="E62" s="329">
        <v>0.0</v>
      </c>
      <c r="F62" s="123">
        <f t="shared" si="27"/>
        <v>0</v>
      </c>
      <c r="G62" s="123">
        <f t="shared" si="28"/>
        <v>0</v>
      </c>
      <c r="H62" s="330">
        <v>0.0</v>
      </c>
      <c r="I62" s="124"/>
      <c r="J62" s="124"/>
      <c r="K62" s="125" t="str">
        <f t="shared" si="12"/>
        <v/>
      </c>
      <c r="L62" s="125">
        <v>0.3</v>
      </c>
      <c r="M62" s="125">
        <f t="shared" si="29"/>
        <v>0.3</v>
      </c>
      <c r="N62" s="124" t="str">
        <f t="shared" si="24"/>
        <v/>
      </c>
      <c r="O62" s="126">
        <v>250.0</v>
      </c>
      <c r="P62" s="124">
        <f t="shared" si="8"/>
        <v>-250</v>
      </c>
      <c r="R62" s="113" t="s">
        <v>50</v>
      </c>
      <c r="S62" s="117">
        <f>N37</f>
        <v>51.61540984</v>
      </c>
    </row>
    <row r="63" hidden="1" outlineLevel="2">
      <c r="A63" s="132">
        <v>45956.0</v>
      </c>
      <c r="B63" s="329">
        <v>0.0</v>
      </c>
      <c r="C63" s="332"/>
      <c r="D63" s="123">
        <f t="shared" si="26"/>
        <v>0</v>
      </c>
      <c r="E63" s="329">
        <v>0.0</v>
      </c>
      <c r="F63" s="123">
        <f t="shared" si="27"/>
        <v>0</v>
      </c>
      <c r="G63" s="123">
        <f t="shared" si="28"/>
        <v>0</v>
      </c>
      <c r="H63" s="330">
        <v>0.0</v>
      </c>
      <c r="I63" s="124"/>
      <c r="J63" s="124"/>
      <c r="K63" s="125" t="str">
        <f t="shared" si="12"/>
        <v/>
      </c>
      <c r="L63" s="125">
        <v>0.3</v>
      </c>
      <c r="M63" s="125">
        <f t="shared" si="29"/>
        <v>0.3</v>
      </c>
      <c r="N63" s="124" t="str">
        <f t="shared" si="24"/>
        <v/>
      </c>
      <c r="O63" s="126">
        <v>250.0</v>
      </c>
      <c r="P63" s="124">
        <f t="shared" si="8"/>
        <v>-250</v>
      </c>
      <c r="R63" s="113" t="s">
        <v>51</v>
      </c>
      <c r="S63" s="128">
        <f>B37</f>
        <v>380</v>
      </c>
    </row>
    <row r="64" hidden="1" outlineLevel="2">
      <c r="A64" s="132">
        <v>45957.0</v>
      </c>
      <c r="B64" s="329">
        <v>0.0</v>
      </c>
      <c r="C64" s="332"/>
      <c r="D64" s="123">
        <f t="shared" si="26"/>
        <v>0</v>
      </c>
      <c r="E64" s="329">
        <v>0.0</v>
      </c>
      <c r="F64" s="123">
        <f t="shared" si="27"/>
        <v>0</v>
      </c>
      <c r="G64" s="123">
        <f t="shared" si="28"/>
        <v>0</v>
      </c>
      <c r="H64" s="330">
        <v>0.0</v>
      </c>
      <c r="I64" s="124">
        <v>3478.26</v>
      </c>
      <c r="J64" s="124">
        <f t="shared" ref="J64:J68" si="32">H64-I64</f>
        <v>-3478.26</v>
      </c>
      <c r="K64" s="125" t="str">
        <f t="shared" si="12"/>
        <v/>
      </c>
      <c r="L64" s="125">
        <v>0.3</v>
      </c>
      <c r="M64" s="125">
        <f t="shared" si="29"/>
        <v>0.3</v>
      </c>
      <c r="N64" s="124" t="str">
        <f t="shared" si="24"/>
        <v/>
      </c>
      <c r="O64" s="126">
        <v>250.0</v>
      </c>
      <c r="P64" s="124">
        <f t="shared" si="8"/>
        <v>-250</v>
      </c>
      <c r="R64" s="113" t="s">
        <v>52</v>
      </c>
      <c r="S64" s="128">
        <f>E37</f>
        <v>122</v>
      </c>
    </row>
    <row r="65" hidden="1" outlineLevel="2">
      <c r="A65" s="132">
        <v>45958.0</v>
      </c>
      <c r="B65" s="329">
        <v>0.0</v>
      </c>
      <c r="C65" s="332"/>
      <c r="D65" s="123">
        <f t="shared" si="26"/>
        <v>0</v>
      </c>
      <c r="E65" s="329">
        <v>0.0</v>
      </c>
      <c r="F65" s="123">
        <f t="shared" si="27"/>
        <v>0</v>
      </c>
      <c r="G65" s="123">
        <f t="shared" si="28"/>
        <v>0</v>
      </c>
      <c r="H65" s="330">
        <v>0.0</v>
      </c>
      <c r="I65" s="124">
        <v>3478.26</v>
      </c>
      <c r="J65" s="124">
        <f t="shared" si="32"/>
        <v>-3478.26</v>
      </c>
      <c r="K65" s="125" t="str">
        <f t="shared" si="12"/>
        <v/>
      </c>
      <c r="L65" s="125">
        <v>0.3</v>
      </c>
      <c r="M65" s="125">
        <f t="shared" si="29"/>
        <v>0.3</v>
      </c>
      <c r="N65" s="124" t="str">
        <f t="shared" si="24"/>
        <v/>
      </c>
      <c r="O65" s="126">
        <v>250.0</v>
      </c>
      <c r="P65" s="124">
        <f t="shared" si="8"/>
        <v>-250</v>
      </c>
      <c r="R65" s="113" t="s">
        <v>4</v>
      </c>
      <c r="S65" s="119">
        <f>E37/B37</f>
        <v>0.3210526316</v>
      </c>
    </row>
    <row r="66" hidden="1" outlineLevel="2">
      <c r="A66" s="132">
        <v>45959.0</v>
      </c>
      <c r="B66" s="329">
        <v>0.0</v>
      </c>
      <c r="C66" s="332"/>
      <c r="D66" s="123">
        <f t="shared" si="26"/>
        <v>0</v>
      </c>
      <c r="E66" s="329">
        <v>0.0</v>
      </c>
      <c r="F66" s="123">
        <f t="shared" si="27"/>
        <v>0</v>
      </c>
      <c r="G66" s="123">
        <f t="shared" si="28"/>
        <v>0</v>
      </c>
      <c r="H66" s="330">
        <v>0.0</v>
      </c>
      <c r="I66" s="124">
        <v>3478.26</v>
      </c>
      <c r="J66" s="124">
        <f t="shared" si="32"/>
        <v>-3478.26</v>
      </c>
      <c r="K66" s="125" t="str">
        <f t="shared" si="12"/>
        <v/>
      </c>
      <c r="L66" s="125">
        <v>0.3</v>
      </c>
      <c r="M66" s="125">
        <f t="shared" si="29"/>
        <v>0.3</v>
      </c>
      <c r="N66" s="124" t="str">
        <f t="shared" si="24"/>
        <v/>
      </c>
      <c r="O66" s="126">
        <v>250.0</v>
      </c>
      <c r="P66" s="124">
        <f t="shared" si="8"/>
        <v>-250</v>
      </c>
      <c r="S66" s="94"/>
    </row>
    <row r="67" hidden="1" outlineLevel="2">
      <c r="A67" s="132">
        <v>45960.0</v>
      </c>
      <c r="B67" s="329">
        <v>0.0</v>
      </c>
      <c r="C67" s="332"/>
      <c r="D67" s="123">
        <f t="shared" si="26"/>
        <v>0</v>
      </c>
      <c r="E67" s="329">
        <v>0.0</v>
      </c>
      <c r="F67" s="123">
        <f t="shared" si="27"/>
        <v>0</v>
      </c>
      <c r="G67" s="123">
        <f t="shared" si="28"/>
        <v>0</v>
      </c>
      <c r="H67" s="330">
        <v>0.0</v>
      </c>
      <c r="I67" s="124">
        <v>3478.26</v>
      </c>
      <c r="J67" s="124">
        <f t="shared" si="32"/>
        <v>-3478.26</v>
      </c>
      <c r="K67" s="125" t="str">
        <f t="shared" si="12"/>
        <v/>
      </c>
      <c r="L67" s="125">
        <v>0.3</v>
      </c>
      <c r="M67" s="125">
        <f t="shared" si="29"/>
        <v>0.3</v>
      </c>
      <c r="N67" s="124" t="str">
        <f t="shared" si="24"/>
        <v/>
      </c>
      <c r="O67" s="126">
        <v>250.0</v>
      </c>
      <c r="P67" s="124">
        <f t="shared" si="8"/>
        <v>-250</v>
      </c>
      <c r="S67" s="94"/>
    </row>
    <row r="68" hidden="1" outlineLevel="2">
      <c r="A68" s="132">
        <v>45961.0</v>
      </c>
      <c r="B68" s="329">
        <v>0.0</v>
      </c>
      <c r="C68" s="332"/>
      <c r="D68" s="123">
        <f t="shared" si="26"/>
        <v>0</v>
      </c>
      <c r="E68" s="329">
        <v>0.0</v>
      </c>
      <c r="F68" s="123">
        <f t="shared" si="27"/>
        <v>0</v>
      </c>
      <c r="G68" s="123">
        <f t="shared" si="28"/>
        <v>0</v>
      </c>
      <c r="H68" s="330">
        <v>0.0</v>
      </c>
      <c r="I68" s="124">
        <v>3478.26</v>
      </c>
      <c r="J68" s="124">
        <f t="shared" si="32"/>
        <v>-3478.26</v>
      </c>
      <c r="K68" s="125" t="str">
        <f t="shared" si="12"/>
        <v/>
      </c>
      <c r="L68" s="125">
        <v>0.3</v>
      </c>
      <c r="M68" s="125">
        <f t="shared" si="29"/>
        <v>0.3</v>
      </c>
      <c r="N68" s="124" t="str">
        <f t="shared" si="24"/>
        <v/>
      </c>
      <c r="O68" s="126">
        <v>250.0</v>
      </c>
      <c r="P68" s="124">
        <f t="shared" si="8"/>
        <v>-250</v>
      </c>
      <c r="S68" s="94"/>
    </row>
    <row r="69" outlineLevel="1" collapsed="1">
      <c r="A69" s="100" t="s">
        <v>53</v>
      </c>
      <c r="B69" s="325">
        <f t="shared" ref="B69:G69" si="33">SUM(B70:B99)</f>
        <v>415</v>
      </c>
      <c r="C69" s="325">
        <f t="shared" si="33"/>
        <v>240</v>
      </c>
      <c r="D69" s="325">
        <f t="shared" si="33"/>
        <v>248</v>
      </c>
      <c r="E69" s="325">
        <f t="shared" si="33"/>
        <v>198</v>
      </c>
      <c r="F69" s="325">
        <f t="shared" si="33"/>
        <v>66</v>
      </c>
      <c r="G69" s="325">
        <f t="shared" si="33"/>
        <v>128</v>
      </c>
      <c r="H69" s="353">
        <f>SUM(H70:H100)</f>
        <v>49652.37</v>
      </c>
      <c r="I69" s="353">
        <v>33000.0</v>
      </c>
      <c r="J69" s="326">
        <f>SUM(J70:J100)</f>
        <v>15895.8</v>
      </c>
      <c r="K69" s="110">
        <f t="shared" si="12"/>
        <v>0.4771084337</v>
      </c>
      <c r="L69" s="110">
        <v>0.3</v>
      </c>
      <c r="M69" s="110">
        <f>K69-L69</f>
        <v>0.1771084337</v>
      </c>
      <c r="N69" s="326">
        <f t="shared" si="24"/>
        <v>250.7695455</v>
      </c>
      <c r="O69" s="327">
        <f>O70</f>
        <v>150</v>
      </c>
      <c r="P69" s="326">
        <f t="shared" si="8"/>
        <v>100.7695455</v>
      </c>
      <c r="R69" s="113" t="s">
        <v>54</v>
      </c>
      <c r="S69" s="94"/>
    </row>
    <row r="70" hidden="1" outlineLevel="2">
      <c r="A70" s="132">
        <v>45931.0</v>
      </c>
      <c r="B70" s="329">
        <v>28.0</v>
      </c>
      <c r="C70" s="123">
        <v>20.0</v>
      </c>
      <c r="D70" s="123">
        <f t="shared" ref="D70:D72" si="34">B70-C70</f>
        <v>8</v>
      </c>
      <c r="E70" s="329">
        <v>7.0</v>
      </c>
      <c r="F70" s="123">
        <f t="shared" ref="F70:F75" si="35">C70*30%</f>
        <v>6</v>
      </c>
      <c r="G70" s="123">
        <f t="shared" ref="G70:G75" si="36">E70-F70</f>
        <v>1</v>
      </c>
      <c r="H70" s="330">
        <v>790.61</v>
      </c>
      <c r="I70" s="124">
        <v>1434.78</v>
      </c>
      <c r="J70" s="124">
        <f t="shared" ref="J70:J72" si="37">H70-I70</f>
        <v>-644.17</v>
      </c>
      <c r="K70" s="125">
        <f t="shared" si="12"/>
        <v>0.25</v>
      </c>
      <c r="L70" s="125">
        <v>0.3</v>
      </c>
      <c r="M70" s="125">
        <f t="shared" ref="M70:M75" si="38">L70-K70</f>
        <v>0.05</v>
      </c>
      <c r="N70" s="124">
        <f t="shared" si="24"/>
        <v>112.9442857</v>
      </c>
      <c r="O70" s="126">
        <v>150.0</v>
      </c>
      <c r="P70" s="124">
        <f t="shared" si="8"/>
        <v>-37.05571429</v>
      </c>
      <c r="R70" s="115" t="s">
        <v>12</v>
      </c>
    </row>
    <row r="71" hidden="1" outlineLevel="2">
      <c r="A71" s="132">
        <v>45932.0</v>
      </c>
      <c r="B71" s="329">
        <v>43.0</v>
      </c>
      <c r="C71" s="123">
        <v>20.0</v>
      </c>
      <c r="D71" s="123">
        <f t="shared" si="34"/>
        <v>23</v>
      </c>
      <c r="E71" s="329">
        <v>14.0</v>
      </c>
      <c r="F71" s="123">
        <f t="shared" si="35"/>
        <v>6</v>
      </c>
      <c r="G71" s="123">
        <f t="shared" si="36"/>
        <v>8</v>
      </c>
      <c r="H71" s="330">
        <v>2706.83</v>
      </c>
      <c r="I71" s="124">
        <v>1434.78</v>
      </c>
      <c r="J71" s="124">
        <f t="shared" si="37"/>
        <v>1272.05</v>
      </c>
      <c r="K71" s="125">
        <f t="shared" si="12"/>
        <v>0.3255813953</v>
      </c>
      <c r="L71" s="125">
        <v>0.3</v>
      </c>
      <c r="M71" s="125">
        <f t="shared" si="38"/>
        <v>-0.02558139535</v>
      </c>
      <c r="N71" s="124">
        <f t="shared" si="24"/>
        <v>193.345</v>
      </c>
      <c r="O71" s="126">
        <v>150.0</v>
      </c>
      <c r="P71" s="124">
        <f t="shared" si="8"/>
        <v>43.345</v>
      </c>
      <c r="R71" s="113" t="s">
        <v>8</v>
      </c>
      <c r="S71" s="116">
        <v>33000.0</v>
      </c>
    </row>
    <row r="72" hidden="1" outlineLevel="2">
      <c r="A72" s="132">
        <v>45933.0</v>
      </c>
      <c r="B72" s="329">
        <v>28.0</v>
      </c>
      <c r="C72" s="123">
        <v>20.0</v>
      </c>
      <c r="D72" s="123">
        <f t="shared" si="34"/>
        <v>8</v>
      </c>
      <c r="E72" s="329">
        <v>12.0</v>
      </c>
      <c r="F72" s="123">
        <f t="shared" si="35"/>
        <v>6</v>
      </c>
      <c r="G72" s="123">
        <f t="shared" si="36"/>
        <v>6</v>
      </c>
      <c r="H72" s="330">
        <v>2436.6</v>
      </c>
      <c r="I72" s="124">
        <v>1434.78</v>
      </c>
      <c r="J72" s="124">
        <f t="shared" si="37"/>
        <v>1001.82</v>
      </c>
      <c r="K72" s="125">
        <f t="shared" si="12"/>
        <v>0.4285714286</v>
      </c>
      <c r="L72" s="125">
        <v>0.3</v>
      </c>
      <c r="M72" s="125">
        <f t="shared" si="38"/>
        <v>-0.1285714286</v>
      </c>
      <c r="N72" s="124">
        <f t="shared" si="24"/>
        <v>203.05</v>
      </c>
      <c r="O72" s="126">
        <v>150.0</v>
      </c>
      <c r="P72" s="124">
        <f t="shared" si="8"/>
        <v>53.05</v>
      </c>
      <c r="R72" s="113" t="s">
        <v>45</v>
      </c>
      <c r="S72" s="117">
        <f>S71/30</f>
        <v>1100</v>
      </c>
    </row>
    <row r="73" hidden="1" outlineLevel="2">
      <c r="A73" s="132">
        <v>45934.0</v>
      </c>
      <c r="B73" s="356"/>
      <c r="C73" s="123">
        <v>20.0</v>
      </c>
      <c r="D73" s="123">
        <f t="shared" ref="D73:D74" si="39">B75-C73</f>
        <v>22</v>
      </c>
      <c r="E73" s="329">
        <v>0.0</v>
      </c>
      <c r="F73" s="123">
        <f t="shared" si="35"/>
        <v>6</v>
      </c>
      <c r="G73" s="123">
        <f t="shared" si="36"/>
        <v>-6</v>
      </c>
      <c r="H73" s="330">
        <v>0.0</v>
      </c>
      <c r="I73" s="124"/>
      <c r="J73" s="124"/>
      <c r="K73" s="125">
        <f t="shared" ref="K73:K75" si="40">IFERROR(E73/B75,"")</f>
        <v>0</v>
      </c>
      <c r="L73" s="125">
        <v>0.3</v>
      </c>
      <c r="M73" s="125">
        <f t="shared" si="38"/>
        <v>0.3</v>
      </c>
      <c r="N73" s="124" t="str">
        <f t="shared" si="24"/>
        <v/>
      </c>
      <c r="O73" s="126">
        <v>150.0</v>
      </c>
      <c r="P73" s="124">
        <f t="shared" si="8"/>
        <v>-150</v>
      </c>
      <c r="R73" s="113" t="s">
        <v>46</v>
      </c>
      <c r="S73" s="117">
        <f>S71/23</f>
        <v>1434.782609</v>
      </c>
    </row>
    <row r="74" hidden="1" outlineLevel="2">
      <c r="A74" s="132">
        <v>45935.0</v>
      </c>
      <c r="B74" s="356"/>
      <c r="C74" s="123">
        <v>20.0</v>
      </c>
      <c r="D74" s="123">
        <f t="shared" si="39"/>
        <v>11</v>
      </c>
      <c r="E74" s="329">
        <v>0.0</v>
      </c>
      <c r="F74" s="123">
        <f t="shared" si="35"/>
        <v>6</v>
      </c>
      <c r="G74" s="123">
        <f t="shared" si="36"/>
        <v>-6</v>
      </c>
      <c r="H74" s="330">
        <v>0.0</v>
      </c>
      <c r="I74" s="124"/>
      <c r="J74" s="124"/>
      <c r="K74" s="125">
        <f t="shared" si="40"/>
        <v>0</v>
      </c>
      <c r="L74" s="125">
        <v>0.3</v>
      </c>
      <c r="M74" s="125">
        <f t="shared" si="38"/>
        <v>0.3</v>
      </c>
      <c r="N74" s="124" t="str">
        <f t="shared" si="24"/>
        <v/>
      </c>
      <c r="O74" s="126">
        <v>150.0</v>
      </c>
      <c r="P74" s="124">
        <f t="shared" si="8"/>
        <v>-150</v>
      </c>
      <c r="R74" s="113" t="s">
        <v>7</v>
      </c>
      <c r="S74" s="117">
        <f>H69</f>
        <v>49652.37</v>
      </c>
    </row>
    <row r="75" hidden="1" outlineLevel="2">
      <c r="A75" s="132">
        <v>45936.0</v>
      </c>
      <c r="B75" s="329">
        <v>42.0</v>
      </c>
      <c r="C75" s="123">
        <v>20.0</v>
      </c>
      <c r="D75" s="123">
        <f t="shared" ref="D75:D100" si="41">B75-C75</f>
        <v>22</v>
      </c>
      <c r="E75" s="329">
        <v>13.0</v>
      </c>
      <c r="F75" s="123">
        <f t="shared" si="35"/>
        <v>6</v>
      </c>
      <c r="G75" s="123">
        <f t="shared" si="36"/>
        <v>7</v>
      </c>
      <c r="H75" s="330">
        <v>4049.17</v>
      </c>
      <c r="I75" s="124">
        <v>1434.78</v>
      </c>
      <c r="J75" s="124">
        <f t="shared" ref="J75:J79" si="42">H75-I75</f>
        <v>2614.39</v>
      </c>
      <c r="K75" s="125">
        <f t="shared" si="40"/>
        <v>0.40625</v>
      </c>
      <c r="L75" s="125">
        <v>0.3</v>
      </c>
      <c r="M75" s="125">
        <f t="shared" si="38"/>
        <v>-0.10625</v>
      </c>
      <c r="N75" s="124">
        <f t="shared" si="24"/>
        <v>311.4746154</v>
      </c>
      <c r="O75" s="126">
        <v>150.0</v>
      </c>
      <c r="P75" s="124">
        <f t="shared" si="8"/>
        <v>161.4746154</v>
      </c>
      <c r="R75" s="113" t="s">
        <v>47</v>
      </c>
      <c r="S75" s="119">
        <f>S74/S71</f>
        <v>1.504617273</v>
      </c>
    </row>
    <row r="76" hidden="1" outlineLevel="2">
      <c r="A76" s="132">
        <v>45937.0</v>
      </c>
      <c r="B76" s="329">
        <v>31.0</v>
      </c>
      <c r="C76" s="123">
        <v>20.0</v>
      </c>
      <c r="D76" s="123">
        <f t="shared" si="41"/>
        <v>11</v>
      </c>
      <c r="E76" s="329">
        <v>4.0</v>
      </c>
      <c r="F76" s="123"/>
      <c r="G76" s="123"/>
      <c r="H76" s="330">
        <v>2604.4</v>
      </c>
      <c r="I76" s="124">
        <v>1434.78</v>
      </c>
      <c r="J76" s="124">
        <f t="shared" si="42"/>
        <v>1169.62</v>
      </c>
      <c r="K76" s="125" t="str">
        <f t="shared" ref="K76:K77" si="43">IFERROR(E76/#REF!,"")</f>
        <v/>
      </c>
      <c r="L76" s="125"/>
      <c r="M76" s="129"/>
      <c r="N76" s="124">
        <f t="shared" si="24"/>
        <v>651.1</v>
      </c>
      <c r="O76" s="126">
        <v>150.0</v>
      </c>
      <c r="P76" s="124">
        <f t="shared" si="8"/>
        <v>501.1</v>
      </c>
      <c r="R76" s="113" t="s">
        <v>48</v>
      </c>
      <c r="S76" s="120">
        <v>1.0</v>
      </c>
    </row>
    <row r="77" hidden="1" outlineLevel="2">
      <c r="A77" s="132">
        <v>45938.0</v>
      </c>
      <c r="B77" s="329">
        <v>32.0</v>
      </c>
      <c r="C77" s="123">
        <v>20.0</v>
      </c>
      <c r="D77" s="123">
        <f t="shared" si="41"/>
        <v>12</v>
      </c>
      <c r="E77" s="329">
        <v>6.0</v>
      </c>
      <c r="F77" s="123">
        <f t="shared" ref="F77:F100" si="44">C77*30%</f>
        <v>6</v>
      </c>
      <c r="G77" s="123">
        <f t="shared" ref="G77:G100" si="45">E77-F77</f>
        <v>0</v>
      </c>
      <c r="H77" s="330">
        <v>1429.51</v>
      </c>
      <c r="I77" s="124">
        <v>1434.78</v>
      </c>
      <c r="J77" s="124">
        <f t="shared" si="42"/>
        <v>-5.27</v>
      </c>
      <c r="K77" s="125" t="str">
        <f t="shared" si="43"/>
        <v/>
      </c>
      <c r="L77" s="125">
        <v>0.3</v>
      </c>
      <c r="M77" s="125">
        <f t="shared" ref="M77:M100" si="46">L77-K77</f>
        <v>0.3</v>
      </c>
      <c r="N77" s="124">
        <f t="shared" si="24"/>
        <v>238.2516667</v>
      </c>
      <c r="O77" s="126">
        <v>150.0</v>
      </c>
      <c r="P77" s="124">
        <f t="shared" si="8"/>
        <v>88.25166667</v>
      </c>
      <c r="R77" s="113" t="s">
        <v>49</v>
      </c>
      <c r="S77" s="121">
        <f>(S71-S74)/S76</f>
        <v>-16652.37</v>
      </c>
    </row>
    <row r="78" hidden="1" outlineLevel="2">
      <c r="A78" s="132">
        <v>45939.0</v>
      </c>
      <c r="B78" s="329">
        <v>0.0</v>
      </c>
      <c r="C78" s="123">
        <v>20.0</v>
      </c>
      <c r="D78" s="123">
        <f t="shared" si="41"/>
        <v>-20</v>
      </c>
      <c r="E78" s="329">
        <v>3.0</v>
      </c>
      <c r="F78" s="123">
        <f t="shared" si="44"/>
        <v>6</v>
      </c>
      <c r="G78" s="123">
        <f t="shared" si="45"/>
        <v>-3</v>
      </c>
      <c r="H78" s="330">
        <v>1362.41</v>
      </c>
      <c r="I78" s="124">
        <v>1434.78</v>
      </c>
      <c r="J78" s="124">
        <f t="shared" si="42"/>
        <v>-72.37</v>
      </c>
      <c r="K78" s="125" t="str">
        <f t="shared" ref="K78:K100" si="47">IFERROR(E78/B78,"")</f>
        <v/>
      </c>
      <c r="L78" s="125">
        <v>0.3</v>
      </c>
      <c r="M78" s="125">
        <f t="shared" si="46"/>
        <v>0.3</v>
      </c>
      <c r="N78" s="124">
        <f t="shared" si="24"/>
        <v>454.1366667</v>
      </c>
      <c r="O78" s="126">
        <v>150.0</v>
      </c>
      <c r="P78" s="124">
        <f t="shared" si="8"/>
        <v>304.1366667</v>
      </c>
      <c r="R78" s="113" t="s">
        <v>50</v>
      </c>
      <c r="S78" s="122">
        <f>N69</f>
        <v>250.7695455</v>
      </c>
    </row>
    <row r="79" hidden="1" outlineLevel="2">
      <c r="A79" s="132">
        <v>45940.0</v>
      </c>
      <c r="B79" s="329">
        <v>0.0</v>
      </c>
      <c r="C79" s="123">
        <v>20.0</v>
      </c>
      <c r="D79" s="123">
        <f t="shared" si="41"/>
        <v>-20</v>
      </c>
      <c r="E79" s="329">
        <v>0.0</v>
      </c>
      <c r="F79" s="123">
        <f t="shared" si="44"/>
        <v>6</v>
      </c>
      <c r="G79" s="123">
        <f t="shared" si="45"/>
        <v>-6</v>
      </c>
      <c r="H79" s="330">
        <v>0.0</v>
      </c>
      <c r="I79" s="124">
        <v>1434.78</v>
      </c>
      <c r="J79" s="124">
        <f t="shared" si="42"/>
        <v>-1434.78</v>
      </c>
      <c r="K79" s="125" t="str">
        <f t="shared" si="47"/>
        <v/>
      </c>
      <c r="L79" s="125">
        <v>0.3</v>
      </c>
      <c r="M79" s="125">
        <f t="shared" si="46"/>
        <v>0.3</v>
      </c>
      <c r="N79" s="124" t="str">
        <f t="shared" si="24"/>
        <v/>
      </c>
      <c r="O79" s="126">
        <v>150.0</v>
      </c>
      <c r="P79" s="124">
        <f t="shared" si="8"/>
        <v>-150</v>
      </c>
      <c r="R79" s="113" t="s">
        <v>51</v>
      </c>
      <c r="S79" s="128">
        <f>B69</f>
        <v>415</v>
      </c>
    </row>
    <row r="80" hidden="1" outlineLevel="2">
      <c r="A80" s="132">
        <v>45941.0</v>
      </c>
      <c r="B80" s="329">
        <v>0.0</v>
      </c>
      <c r="C80" s="123">
        <v>20.0</v>
      </c>
      <c r="D80" s="123">
        <f t="shared" si="41"/>
        <v>-20</v>
      </c>
      <c r="E80" s="329">
        <v>0.0</v>
      </c>
      <c r="F80" s="123">
        <f t="shared" si="44"/>
        <v>6</v>
      </c>
      <c r="G80" s="123">
        <f t="shared" si="45"/>
        <v>-6</v>
      </c>
      <c r="H80" s="330">
        <v>0.0</v>
      </c>
      <c r="I80" s="124"/>
      <c r="J80" s="124"/>
      <c r="K80" s="125" t="str">
        <f t="shared" si="47"/>
        <v/>
      </c>
      <c r="L80" s="125">
        <v>0.3</v>
      </c>
      <c r="M80" s="125">
        <f t="shared" si="46"/>
        <v>0.3</v>
      </c>
      <c r="N80" s="124" t="str">
        <f t="shared" si="24"/>
        <v/>
      </c>
      <c r="O80" s="126">
        <v>150.0</v>
      </c>
      <c r="P80" s="124">
        <f t="shared" si="8"/>
        <v>-150</v>
      </c>
      <c r="R80" s="113" t="s">
        <v>52</v>
      </c>
      <c r="S80" s="128">
        <f>E69</f>
        <v>198</v>
      </c>
    </row>
    <row r="81" hidden="1" outlineLevel="2">
      <c r="A81" s="132">
        <v>45942.0</v>
      </c>
      <c r="B81" s="329">
        <v>0.0</v>
      </c>
      <c r="C81" s="123">
        <v>20.0</v>
      </c>
      <c r="D81" s="123">
        <f t="shared" si="41"/>
        <v>-20</v>
      </c>
      <c r="E81" s="329">
        <v>0.0</v>
      </c>
      <c r="F81" s="123">
        <f t="shared" si="44"/>
        <v>6</v>
      </c>
      <c r="G81" s="123">
        <f t="shared" si="45"/>
        <v>-6</v>
      </c>
      <c r="H81" s="330">
        <v>0.0</v>
      </c>
      <c r="I81" s="124"/>
      <c r="J81" s="124"/>
      <c r="K81" s="125" t="str">
        <f t="shared" si="47"/>
        <v/>
      </c>
      <c r="L81" s="125">
        <v>0.3</v>
      </c>
      <c r="M81" s="125">
        <f t="shared" si="46"/>
        <v>0.3</v>
      </c>
      <c r="N81" s="124" t="str">
        <f t="shared" si="24"/>
        <v/>
      </c>
      <c r="O81" s="126">
        <v>150.0</v>
      </c>
      <c r="P81" s="124">
        <f t="shared" si="8"/>
        <v>-150</v>
      </c>
      <c r="R81" s="113" t="s">
        <v>4</v>
      </c>
      <c r="S81" s="119">
        <f>E69/B69</f>
        <v>0.4771084337</v>
      </c>
    </row>
    <row r="82" hidden="1" outlineLevel="2">
      <c r="A82" s="132">
        <v>45943.0</v>
      </c>
      <c r="B82" s="329">
        <v>10.0</v>
      </c>
      <c r="C82" s="123"/>
      <c r="D82" s="123">
        <f t="shared" si="41"/>
        <v>10</v>
      </c>
      <c r="E82" s="329">
        <v>16.0</v>
      </c>
      <c r="F82" s="123">
        <f t="shared" si="44"/>
        <v>0</v>
      </c>
      <c r="G82" s="123">
        <f t="shared" si="45"/>
        <v>16</v>
      </c>
      <c r="H82" s="330">
        <v>4129.06</v>
      </c>
      <c r="I82" s="124">
        <v>1434.78</v>
      </c>
      <c r="J82" s="124">
        <f t="shared" ref="J82:J86" si="48">H82-I82</f>
        <v>2694.28</v>
      </c>
      <c r="K82" s="125">
        <f t="shared" si="47"/>
        <v>1.6</v>
      </c>
      <c r="L82" s="125">
        <v>0.3</v>
      </c>
      <c r="M82" s="125">
        <f t="shared" si="46"/>
        <v>-1.3</v>
      </c>
      <c r="N82" s="124">
        <f t="shared" si="24"/>
        <v>258.06625</v>
      </c>
      <c r="O82" s="126">
        <v>150.0</v>
      </c>
      <c r="P82" s="124">
        <f t="shared" si="8"/>
        <v>108.06625</v>
      </c>
      <c r="S82" s="94"/>
    </row>
    <row r="83" hidden="1" outlineLevel="2">
      <c r="A83" s="132">
        <v>45944.0</v>
      </c>
      <c r="B83" s="329">
        <v>31.0</v>
      </c>
      <c r="C83" s="123"/>
      <c r="D83" s="123">
        <f t="shared" si="41"/>
        <v>31</v>
      </c>
      <c r="E83" s="329">
        <v>12.0</v>
      </c>
      <c r="F83" s="123">
        <f t="shared" si="44"/>
        <v>0</v>
      </c>
      <c r="G83" s="123">
        <f t="shared" si="45"/>
        <v>12</v>
      </c>
      <c r="H83" s="330">
        <v>3432.7</v>
      </c>
      <c r="I83" s="124">
        <v>1434.78</v>
      </c>
      <c r="J83" s="124">
        <f t="shared" si="48"/>
        <v>1997.92</v>
      </c>
      <c r="K83" s="125">
        <f t="shared" si="47"/>
        <v>0.3870967742</v>
      </c>
      <c r="L83" s="125">
        <v>0.3</v>
      </c>
      <c r="M83" s="125">
        <f t="shared" si="46"/>
        <v>-0.08709677419</v>
      </c>
      <c r="N83" s="124">
        <f t="shared" si="24"/>
        <v>286.0583333</v>
      </c>
      <c r="O83" s="126">
        <v>150.0</v>
      </c>
      <c r="P83" s="124">
        <f t="shared" si="8"/>
        <v>136.0583333</v>
      </c>
      <c r="S83" s="94"/>
    </row>
    <row r="84" hidden="1" outlineLevel="2">
      <c r="A84" s="132">
        <v>45945.0</v>
      </c>
      <c r="B84" s="329">
        <v>34.0</v>
      </c>
      <c r="C84" s="123"/>
      <c r="D84" s="123">
        <f t="shared" si="41"/>
        <v>34</v>
      </c>
      <c r="E84" s="329">
        <v>15.0</v>
      </c>
      <c r="F84" s="123">
        <f t="shared" si="44"/>
        <v>0</v>
      </c>
      <c r="G84" s="123">
        <f t="shared" si="45"/>
        <v>15</v>
      </c>
      <c r="H84" s="330">
        <v>2076.6</v>
      </c>
      <c r="I84" s="124">
        <v>1434.78</v>
      </c>
      <c r="J84" s="124">
        <f t="shared" si="48"/>
        <v>641.82</v>
      </c>
      <c r="K84" s="125">
        <f t="shared" si="47"/>
        <v>0.4411764706</v>
      </c>
      <c r="L84" s="125">
        <v>0.3</v>
      </c>
      <c r="M84" s="125">
        <f t="shared" si="46"/>
        <v>-0.1411764706</v>
      </c>
      <c r="N84" s="124">
        <f t="shared" si="24"/>
        <v>138.44</v>
      </c>
      <c r="O84" s="126">
        <v>150.0</v>
      </c>
      <c r="P84" s="124">
        <f t="shared" si="8"/>
        <v>-11.56</v>
      </c>
      <c r="S84" s="94"/>
    </row>
    <row r="85" hidden="1" outlineLevel="2">
      <c r="A85" s="132">
        <v>45946.0</v>
      </c>
      <c r="B85" s="329">
        <v>18.0</v>
      </c>
      <c r="C85" s="123"/>
      <c r="D85" s="123">
        <f t="shared" si="41"/>
        <v>18</v>
      </c>
      <c r="E85" s="329">
        <v>12.0</v>
      </c>
      <c r="F85" s="123">
        <f t="shared" si="44"/>
        <v>0</v>
      </c>
      <c r="G85" s="123">
        <f t="shared" si="45"/>
        <v>12</v>
      </c>
      <c r="H85" s="330">
        <v>3547.94</v>
      </c>
      <c r="I85" s="124">
        <v>1434.78</v>
      </c>
      <c r="J85" s="124">
        <f t="shared" si="48"/>
        <v>2113.16</v>
      </c>
      <c r="K85" s="125">
        <f t="shared" si="47"/>
        <v>0.6666666667</v>
      </c>
      <c r="L85" s="125">
        <v>0.3</v>
      </c>
      <c r="M85" s="125">
        <f t="shared" si="46"/>
        <v>-0.3666666667</v>
      </c>
      <c r="N85" s="124">
        <f t="shared" si="24"/>
        <v>295.6616667</v>
      </c>
      <c r="O85" s="126">
        <v>150.0</v>
      </c>
      <c r="P85" s="124">
        <f t="shared" si="8"/>
        <v>145.6616667</v>
      </c>
      <c r="S85" s="94"/>
    </row>
    <row r="86" hidden="1" outlineLevel="2">
      <c r="A86" s="132">
        <v>45947.0</v>
      </c>
      <c r="B86" s="329">
        <v>15.0</v>
      </c>
      <c r="C86" s="123"/>
      <c r="D86" s="123">
        <f t="shared" si="41"/>
        <v>15</v>
      </c>
      <c r="E86" s="329">
        <v>7.0</v>
      </c>
      <c r="F86" s="123">
        <f t="shared" si="44"/>
        <v>0</v>
      </c>
      <c r="G86" s="123">
        <f t="shared" si="45"/>
        <v>7</v>
      </c>
      <c r="H86" s="330">
        <v>2719.63</v>
      </c>
      <c r="I86" s="124">
        <v>1434.78</v>
      </c>
      <c r="J86" s="124">
        <f t="shared" si="48"/>
        <v>1284.85</v>
      </c>
      <c r="K86" s="125">
        <f t="shared" si="47"/>
        <v>0.4666666667</v>
      </c>
      <c r="L86" s="125">
        <v>0.3</v>
      </c>
      <c r="M86" s="125">
        <f t="shared" si="46"/>
        <v>-0.1666666667</v>
      </c>
      <c r="N86" s="124">
        <f t="shared" si="24"/>
        <v>388.5185714</v>
      </c>
      <c r="O86" s="126">
        <v>150.0</v>
      </c>
      <c r="P86" s="124">
        <f t="shared" si="8"/>
        <v>238.5185714</v>
      </c>
      <c r="S86" s="94"/>
    </row>
    <row r="87" hidden="1" outlineLevel="2">
      <c r="A87" s="132">
        <v>45948.0</v>
      </c>
      <c r="B87" s="329">
        <v>15.0</v>
      </c>
      <c r="C87" s="123"/>
      <c r="D87" s="123">
        <f t="shared" si="41"/>
        <v>15</v>
      </c>
      <c r="E87" s="329">
        <v>3.0</v>
      </c>
      <c r="F87" s="123">
        <f t="shared" si="44"/>
        <v>0</v>
      </c>
      <c r="G87" s="123">
        <f t="shared" si="45"/>
        <v>3</v>
      </c>
      <c r="H87" s="330">
        <v>756.63</v>
      </c>
      <c r="I87" s="124"/>
      <c r="J87" s="124"/>
      <c r="K87" s="125">
        <f t="shared" si="47"/>
        <v>0.2</v>
      </c>
      <c r="L87" s="125">
        <v>0.3</v>
      </c>
      <c r="M87" s="125">
        <f t="shared" si="46"/>
        <v>0.1</v>
      </c>
      <c r="N87" s="124">
        <f t="shared" si="24"/>
        <v>252.21</v>
      </c>
      <c r="O87" s="126">
        <v>150.0</v>
      </c>
      <c r="P87" s="124">
        <f t="shared" si="8"/>
        <v>102.21</v>
      </c>
      <c r="S87" s="94"/>
    </row>
    <row r="88" hidden="1" outlineLevel="2">
      <c r="A88" s="132">
        <v>45949.0</v>
      </c>
      <c r="B88" s="329">
        <v>0.0</v>
      </c>
      <c r="C88" s="123"/>
      <c r="D88" s="123">
        <f t="shared" si="41"/>
        <v>0</v>
      </c>
      <c r="E88" s="329">
        <v>0.0</v>
      </c>
      <c r="F88" s="123">
        <f t="shared" si="44"/>
        <v>0</v>
      </c>
      <c r="G88" s="123">
        <f t="shared" si="45"/>
        <v>0</v>
      </c>
      <c r="H88" s="330">
        <v>0.0</v>
      </c>
      <c r="I88" s="124"/>
      <c r="J88" s="124"/>
      <c r="K88" s="125" t="str">
        <f t="shared" si="47"/>
        <v/>
      </c>
      <c r="L88" s="125">
        <v>0.3</v>
      </c>
      <c r="M88" s="125">
        <f t="shared" si="46"/>
        <v>0.3</v>
      </c>
      <c r="N88" s="124" t="str">
        <f t="shared" si="24"/>
        <v/>
      </c>
      <c r="O88" s="126">
        <v>150.0</v>
      </c>
      <c r="P88" s="124">
        <f t="shared" si="8"/>
        <v>-150</v>
      </c>
      <c r="S88" s="94"/>
    </row>
    <row r="89" hidden="1" outlineLevel="2">
      <c r="A89" s="132">
        <v>45950.0</v>
      </c>
      <c r="B89" s="329">
        <v>9.0</v>
      </c>
      <c r="C89" s="123"/>
      <c r="D89" s="123">
        <f t="shared" si="41"/>
        <v>9</v>
      </c>
      <c r="E89" s="329">
        <v>15.0</v>
      </c>
      <c r="F89" s="123">
        <f t="shared" si="44"/>
        <v>0</v>
      </c>
      <c r="G89" s="123">
        <f t="shared" si="45"/>
        <v>15</v>
      </c>
      <c r="H89" s="330">
        <v>2339.09</v>
      </c>
      <c r="I89" s="124">
        <v>1434.78</v>
      </c>
      <c r="J89" s="124">
        <f t="shared" ref="J89:J93" si="49">H89-I89</f>
        <v>904.31</v>
      </c>
      <c r="K89" s="125">
        <f t="shared" si="47"/>
        <v>1.666666667</v>
      </c>
      <c r="L89" s="125">
        <v>0.3</v>
      </c>
      <c r="M89" s="125">
        <f t="shared" si="46"/>
        <v>-1.366666667</v>
      </c>
      <c r="N89" s="124">
        <f t="shared" si="24"/>
        <v>155.9393333</v>
      </c>
      <c r="O89" s="126">
        <v>150.0</v>
      </c>
      <c r="P89" s="124">
        <f t="shared" si="8"/>
        <v>5.939333333</v>
      </c>
      <c r="S89" s="94"/>
    </row>
    <row r="90" hidden="1" outlineLevel="2">
      <c r="A90" s="132">
        <v>45951.0</v>
      </c>
      <c r="B90" s="329">
        <v>10.0</v>
      </c>
      <c r="C90" s="123"/>
      <c r="D90" s="123">
        <f t="shared" si="41"/>
        <v>10</v>
      </c>
      <c r="E90" s="329">
        <v>3.0</v>
      </c>
      <c r="F90" s="123">
        <f t="shared" si="44"/>
        <v>0</v>
      </c>
      <c r="G90" s="123">
        <f t="shared" si="45"/>
        <v>3</v>
      </c>
      <c r="H90" s="330">
        <v>927.99</v>
      </c>
      <c r="I90" s="124">
        <v>1434.78</v>
      </c>
      <c r="J90" s="124">
        <f t="shared" si="49"/>
        <v>-506.79</v>
      </c>
      <c r="K90" s="125">
        <f t="shared" si="47"/>
        <v>0.3</v>
      </c>
      <c r="L90" s="125">
        <v>0.3</v>
      </c>
      <c r="M90" s="125">
        <f t="shared" si="46"/>
        <v>0</v>
      </c>
      <c r="N90" s="124">
        <f t="shared" si="24"/>
        <v>309.33</v>
      </c>
      <c r="O90" s="126">
        <v>150.0</v>
      </c>
      <c r="P90" s="124">
        <f t="shared" si="8"/>
        <v>159.33</v>
      </c>
      <c r="S90" s="94"/>
    </row>
    <row r="91" hidden="1" outlineLevel="2">
      <c r="A91" s="132">
        <v>45952.0</v>
      </c>
      <c r="B91" s="329">
        <v>6.0</v>
      </c>
      <c r="C91" s="123"/>
      <c r="D91" s="123">
        <f t="shared" si="41"/>
        <v>6</v>
      </c>
      <c r="E91" s="329">
        <v>8.0</v>
      </c>
      <c r="F91" s="123">
        <f t="shared" si="44"/>
        <v>0</v>
      </c>
      <c r="G91" s="123">
        <f t="shared" si="45"/>
        <v>8</v>
      </c>
      <c r="H91" s="330">
        <v>1874.15</v>
      </c>
      <c r="I91" s="124">
        <v>1434.78</v>
      </c>
      <c r="J91" s="124">
        <f t="shared" si="49"/>
        <v>439.37</v>
      </c>
      <c r="K91" s="125">
        <f t="shared" si="47"/>
        <v>1.333333333</v>
      </c>
      <c r="L91" s="125">
        <v>0.3</v>
      </c>
      <c r="M91" s="125">
        <f t="shared" si="46"/>
        <v>-1.033333333</v>
      </c>
      <c r="N91" s="124">
        <f t="shared" si="24"/>
        <v>234.26875</v>
      </c>
      <c r="O91" s="126">
        <v>150.0</v>
      </c>
      <c r="P91" s="124">
        <f t="shared" si="8"/>
        <v>84.26875</v>
      </c>
      <c r="S91" s="94"/>
    </row>
    <row r="92" hidden="1" outlineLevel="2">
      <c r="A92" s="132">
        <v>45953.0</v>
      </c>
      <c r="B92" s="329">
        <v>10.0</v>
      </c>
      <c r="C92" s="123"/>
      <c r="D92" s="123">
        <f t="shared" si="41"/>
        <v>10</v>
      </c>
      <c r="E92" s="329">
        <v>10.0</v>
      </c>
      <c r="F92" s="123">
        <f t="shared" si="44"/>
        <v>0</v>
      </c>
      <c r="G92" s="123">
        <f t="shared" si="45"/>
        <v>10</v>
      </c>
      <c r="H92" s="330">
        <v>3647.18</v>
      </c>
      <c r="I92" s="124">
        <v>1434.78</v>
      </c>
      <c r="J92" s="124">
        <f t="shared" si="49"/>
        <v>2212.4</v>
      </c>
      <c r="K92" s="125">
        <f t="shared" si="47"/>
        <v>1</v>
      </c>
      <c r="L92" s="125">
        <v>0.3</v>
      </c>
      <c r="M92" s="125">
        <f t="shared" si="46"/>
        <v>-0.7</v>
      </c>
      <c r="N92" s="124">
        <f t="shared" si="24"/>
        <v>364.718</v>
      </c>
      <c r="O92" s="126">
        <v>150.0</v>
      </c>
      <c r="P92" s="124">
        <f t="shared" si="8"/>
        <v>214.718</v>
      </c>
      <c r="S92" s="94"/>
    </row>
    <row r="93" hidden="1" outlineLevel="2">
      <c r="A93" s="132">
        <v>45954.0</v>
      </c>
      <c r="B93" s="329">
        <v>3.0</v>
      </c>
      <c r="C93" s="123"/>
      <c r="D93" s="123">
        <f t="shared" si="41"/>
        <v>3</v>
      </c>
      <c r="E93" s="329">
        <v>2.0</v>
      </c>
      <c r="F93" s="123">
        <f t="shared" si="44"/>
        <v>0</v>
      </c>
      <c r="G93" s="123">
        <f t="shared" si="45"/>
        <v>2</v>
      </c>
      <c r="H93" s="330">
        <v>384.84</v>
      </c>
      <c r="I93" s="124">
        <v>1434.78</v>
      </c>
      <c r="J93" s="124">
        <f t="shared" si="49"/>
        <v>-1049.94</v>
      </c>
      <c r="K93" s="125">
        <f t="shared" si="47"/>
        <v>0.6666666667</v>
      </c>
      <c r="L93" s="125">
        <v>0.3</v>
      </c>
      <c r="M93" s="125">
        <f t="shared" si="46"/>
        <v>-0.3666666667</v>
      </c>
      <c r="N93" s="124">
        <f t="shared" si="24"/>
        <v>192.42</v>
      </c>
      <c r="O93" s="126">
        <v>150.0</v>
      </c>
      <c r="P93" s="124">
        <f t="shared" si="8"/>
        <v>42.42</v>
      </c>
      <c r="S93" s="94"/>
    </row>
    <row r="94" hidden="1" outlineLevel="2">
      <c r="A94" s="132">
        <v>45955.0</v>
      </c>
      <c r="B94" s="329">
        <v>0.0</v>
      </c>
      <c r="C94" s="123"/>
      <c r="D94" s="123">
        <f t="shared" si="41"/>
        <v>0</v>
      </c>
      <c r="E94" s="329">
        <v>0.0</v>
      </c>
      <c r="F94" s="123">
        <f t="shared" si="44"/>
        <v>0</v>
      </c>
      <c r="G94" s="123">
        <f t="shared" si="45"/>
        <v>0</v>
      </c>
      <c r="H94" s="330">
        <v>0.0</v>
      </c>
      <c r="I94" s="124"/>
      <c r="J94" s="124"/>
      <c r="K94" s="125" t="str">
        <f t="shared" si="47"/>
        <v/>
      </c>
      <c r="L94" s="125">
        <v>0.3</v>
      </c>
      <c r="M94" s="125">
        <f t="shared" si="46"/>
        <v>0.3</v>
      </c>
      <c r="N94" s="124" t="str">
        <f t="shared" si="24"/>
        <v/>
      </c>
      <c r="O94" s="126">
        <v>150.0</v>
      </c>
      <c r="P94" s="124">
        <f t="shared" si="8"/>
        <v>-150</v>
      </c>
      <c r="S94" s="94"/>
    </row>
    <row r="95" hidden="1" outlineLevel="2">
      <c r="A95" s="132">
        <v>45956.0</v>
      </c>
      <c r="B95" s="329">
        <v>0.0</v>
      </c>
      <c r="C95" s="123"/>
      <c r="D95" s="123">
        <f t="shared" si="41"/>
        <v>0</v>
      </c>
      <c r="E95" s="329">
        <v>0.0</v>
      </c>
      <c r="F95" s="123">
        <f t="shared" si="44"/>
        <v>0</v>
      </c>
      <c r="G95" s="123">
        <f t="shared" si="45"/>
        <v>0</v>
      </c>
      <c r="H95" s="330">
        <v>0.0</v>
      </c>
      <c r="I95" s="124"/>
      <c r="J95" s="124"/>
      <c r="K95" s="125" t="str">
        <f t="shared" si="47"/>
        <v/>
      </c>
      <c r="L95" s="125">
        <v>0.3</v>
      </c>
      <c r="M95" s="125">
        <f t="shared" si="46"/>
        <v>0.3</v>
      </c>
      <c r="N95" s="124" t="str">
        <f t="shared" si="24"/>
        <v/>
      </c>
      <c r="O95" s="126">
        <v>150.0</v>
      </c>
      <c r="P95" s="124">
        <f t="shared" si="8"/>
        <v>-150</v>
      </c>
      <c r="S95" s="94"/>
    </row>
    <row r="96" hidden="1" outlineLevel="2">
      <c r="A96" s="132">
        <v>45957.0</v>
      </c>
      <c r="B96" s="329">
        <v>9.0</v>
      </c>
      <c r="C96" s="123"/>
      <c r="D96" s="123">
        <f t="shared" si="41"/>
        <v>9</v>
      </c>
      <c r="E96" s="329">
        <v>6.0</v>
      </c>
      <c r="F96" s="123">
        <f t="shared" si="44"/>
        <v>0</v>
      </c>
      <c r="G96" s="123">
        <f t="shared" si="45"/>
        <v>6</v>
      </c>
      <c r="H96" s="330">
        <v>987.17</v>
      </c>
      <c r="I96" s="124">
        <v>1434.78</v>
      </c>
      <c r="J96" s="124">
        <f t="shared" ref="J96:J100" si="50">H96-I96</f>
        <v>-447.61</v>
      </c>
      <c r="K96" s="125">
        <f t="shared" si="47"/>
        <v>0.6666666667</v>
      </c>
      <c r="L96" s="125">
        <v>0.3</v>
      </c>
      <c r="M96" s="125">
        <f t="shared" si="46"/>
        <v>-0.3666666667</v>
      </c>
      <c r="N96" s="124">
        <f t="shared" si="24"/>
        <v>164.5283333</v>
      </c>
      <c r="O96" s="126">
        <v>150.0</v>
      </c>
      <c r="P96" s="124">
        <f t="shared" si="8"/>
        <v>14.52833333</v>
      </c>
      <c r="S96" s="94"/>
    </row>
    <row r="97" hidden="1" outlineLevel="2">
      <c r="A97" s="132">
        <v>45958.0</v>
      </c>
      <c r="B97" s="329">
        <v>18.0</v>
      </c>
      <c r="C97" s="123"/>
      <c r="D97" s="123">
        <f t="shared" si="41"/>
        <v>18</v>
      </c>
      <c r="E97" s="329">
        <v>15.0</v>
      </c>
      <c r="F97" s="123">
        <f t="shared" si="44"/>
        <v>0</v>
      </c>
      <c r="G97" s="123">
        <f t="shared" si="45"/>
        <v>15</v>
      </c>
      <c r="H97" s="330">
        <v>2367.95</v>
      </c>
      <c r="I97" s="124">
        <v>1434.78</v>
      </c>
      <c r="J97" s="124">
        <f t="shared" si="50"/>
        <v>933.17</v>
      </c>
      <c r="K97" s="125">
        <f t="shared" si="47"/>
        <v>0.8333333333</v>
      </c>
      <c r="L97" s="125">
        <v>0.3</v>
      </c>
      <c r="M97" s="125">
        <f t="shared" si="46"/>
        <v>-0.5333333333</v>
      </c>
      <c r="N97" s="124">
        <f t="shared" si="24"/>
        <v>157.8633333</v>
      </c>
      <c r="O97" s="126">
        <v>150.0</v>
      </c>
      <c r="P97" s="124">
        <f t="shared" si="8"/>
        <v>7.863333333</v>
      </c>
      <c r="S97" s="94"/>
    </row>
    <row r="98" hidden="1" outlineLevel="2">
      <c r="A98" s="132">
        <v>45959.0</v>
      </c>
      <c r="B98" s="329">
        <v>15.0</v>
      </c>
      <c r="C98" s="123"/>
      <c r="D98" s="123">
        <f t="shared" si="41"/>
        <v>15</v>
      </c>
      <c r="E98" s="329">
        <v>11.0</v>
      </c>
      <c r="F98" s="123">
        <f t="shared" si="44"/>
        <v>0</v>
      </c>
      <c r="G98" s="123">
        <f t="shared" si="45"/>
        <v>11</v>
      </c>
      <c r="H98" s="330">
        <v>2227.03</v>
      </c>
      <c r="I98" s="124">
        <v>1434.78</v>
      </c>
      <c r="J98" s="124">
        <f t="shared" si="50"/>
        <v>792.25</v>
      </c>
      <c r="K98" s="125">
        <f t="shared" si="47"/>
        <v>0.7333333333</v>
      </c>
      <c r="L98" s="125">
        <v>0.3</v>
      </c>
      <c r="M98" s="125">
        <f t="shared" si="46"/>
        <v>-0.4333333333</v>
      </c>
      <c r="N98" s="124">
        <f t="shared" si="24"/>
        <v>202.4572727</v>
      </c>
      <c r="O98" s="126">
        <v>150.0</v>
      </c>
      <c r="P98" s="124">
        <f t="shared" si="8"/>
        <v>52.45727273</v>
      </c>
      <c r="S98" s="94"/>
    </row>
    <row r="99" hidden="1" outlineLevel="2">
      <c r="A99" s="132">
        <v>45960.0</v>
      </c>
      <c r="B99" s="329">
        <v>8.0</v>
      </c>
      <c r="C99" s="123"/>
      <c r="D99" s="123">
        <f t="shared" si="41"/>
        <v>8</v>
      </c>
      <c r="E99" s="329">
        <v>4.0</v>
      </c>
      <c r="F99" s="123">
        <f t="shared" si="44"/>
        <v>0</v>
      </c>
      <c r="G99" s="123">
        <f t="shared" si="45"/>
        <v>4</v>
      </c>
      <c r="H99" s="330">
        <v>593.28</v>
      </c>
      <c r="I99" s="124">
        <v>1434.78</v>
      </c>
      <c r="J99" s="124">
        <f t="shared" si="50"/>
        <v>-841.5</v>
      </c>
      <c r="K99" s="125">
        <f t="shared" si="47"/>
        <v>0.5</v>
      </c>
      <c r="L99" s="125">
        <v>0.3</v>
      </c>
      <c r="M99" s="125">
        <f t="shared" si="46"/>
        <v>-0.2</v>
      </c>
      <c r="N99" s="124">
        <f t="shared" si="24"/>
        <v>148.32</v>
      </c>
      <c r="O99" s="126">
        <v>150.0</v>
      </c>
      <c r="P99" s="124">
        <f t="shared" si="8"/>
        <v>-1.68</v>
      </c>
      <c r="S99" s="94"/>
    </row>
    <row r="100" hidden="1" outlineLevel="2">
      <c r="A100" s="132">
        <v>45961.0</v>
      </c>
      <c r="B100" s="329">
        <v>14.0</v>
      </c>
      <c r="C100" s="123"/>
      <c r="D100" s="123">
        <f t="shared" si="41"/>
        <v>14</v>
      </c>
      <c r="E100" s="329">
        <v>11.0</v>
      </c>
      <c r="F100" s="123">
        <f t="shared" si="44"/>
        <v>0</v>
      </c>
      <c r="G100" s="123">
        <f t="shared" si="45"/>
        <v>11</v>
      </c>
      <c r="H100" s="330">
        <v>2261.6</v>
      </c>
      <c r="I100" s="124">
        <v>1434.78</v>
      </c>
      <c r="J100" s="124">
        <f t="shared" si="50"/>
        <v>826.82</v>
      </c>
      <c r="K100" s="125">
        <f t="shared" si="47"/>
        <v>0.7857142857</v>
      </c>
      <c r="L100" s="125">
        <v>0.3</v>
      </c>
      <c r="M100" s="125">
        <f t="shared" si="46"/>
        <v>-0.4857142857</v>
      </c>
      <c r="N100" s="124">
        <f t="shared" si="24"/>
        <v>205.6</v>
      </c>
      <c r="O100" s="126">
        <v>150.0</v>
      </c>
      <c r="P100" s="124">
        <f t="shared" si="8"/>
        <v>55.6</v>
      </c>
      <c r="S100" s="94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9"/>
      <c r="L101" s="140"/>
      <c r="N101" s="138"/>
      <c r="O101" s="141"/>
      <c r="S101" s="94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9"/>
      <c r="L102" s="140"/>
      <c r="N102" s="138"/>
      <c r="O102" s="141"/>
      <c r="S102" s="94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9"/>
      <c r="L103" s="140"/>
      <c r="N103" s="138"/>
      <c r="O103" s="141"/>
      <c r="S103" s="94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9"/>
      <c r="L104" s="140"/>
      <c r="N104" s="138"/>
      <c r="O104" s="141"/>
      <c r="S104" s="94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9"/>
      <c r="L105" s="140"/>
      <c r="N105" s="138"/>
      <c r="O105" s="141"/>
      <c r="S105" s="94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9"/>
      <c r="L106" s="140"/>
      <c r="N106" s="138"/>
      <c r="O106" s="141"/>
      <c r="S106" s="94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9"/>
      <c r="L107" s="140"/>
      <c r="N107" s="138"/>
      <c r="O107" s="141"/>
      <c r="S107" s="94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9"/>
      <c r="L108" s="140"/>
      <c r="N108" s="138"/>
      <c r="O108" s="141"/>
      <c r="S108" s="94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9"/>
      <c r="L109" s="140"/>
      <c r="N109" s="138"/>
      <c r="O109" s="141"/>
      <c r="S109" s="94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9"/>
      <c r="L110" s="140"/>
      <c r="N110" s="138"/>
      <c r="O110" s="141"/>
      <c r="S110" s="94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9"/>
      <c r="L111" s="140"/>
      <c r="N111" s="138"/>
      <c r="O111" s="141"/>
      <c r="S111" s="94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9"/>
      <c r="L112" s="140"/>
      <c r="N112" s="138"/>
      <c r="O112" s="141"/>
      <c r="S112" s="94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9"/>
      <c r="L113" s="140"/>
      <c r="N113" s="138"/>
      <c r="O113" s="141"/>
      <c r="S113" s="94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9"/>
      <c r="L114" s="140"/>
      <c r="N114" s="138"/>
      <c r="O114" s="141"/>
      <c r="S114" s="94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9"/>
      <c r="L115" s="140"/>
      <c r="N115" s="138"/>
      <c r="O115" s="141"/>
      <c r="S115" s="94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9"/>
      <c r="L116" s="140"/>
      <c r="N116" s="138"/>
      <c r="O116" s="141"/>
      <c r="S116" s="94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9"/>
      <c r="L117" s="140"/>
      <c r="N117" s="138"/>
      <c r="O117" s="141"/>
      <c r="S117" s="94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9"/>
      <c r="L118" s="140"/>
      <c r="N118" s="138"/>
      <c r="O118" s="141"/>
      <c r="S118" s="94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9"/>
      <c r="L119" s="140"/>
      <c r="N119" s="138"/>
      <c r="O119" s="141"/>
      <c r="S119" s="94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9"/>
      <c r="L120" s="140"/>
      <c r="N120" s="138"/>
      <c r="O120" s="141"/>
      <c r="S120" s="94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9"/>
      <c r="L121" s="140"/>
      <c r="N121" s="138"/>
      <c r="O121" s="141"/>
      <c r="S121" s="94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9"/>
      <c r="L122" s="140"/>
      <c r="N122" s="138"/>
      <c r="O122" s="141"/>
      <c r="S122" s="94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9"/>
      <c r="L123" s="140"/>
      <c r="N123" s="138"/>
      <c r="O123" s="141"/>
      <c r="S123" s="94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9"/>
      <c r="L124" s="140"/>
      <c r="N124" s="138"/>
      <c r="O124" s="141"/>
      <c r="S124" s="94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9"/>
      <c r="L125" s="140"/>
      <c r="N125" s="138"/>
      <c r="O125" s="141"/>
      <c r="S125" s="94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9"/>
      <c r="L126" s="140"/>
      <c r="N126" s="138"/>
      <c r="O126" s="141"/>
      <c r="S126" s="94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9"/>
      <c r="L127" s="140"/>
      <c r="N127" s="138"/>
      <c r="O127" s="141"/>
      <c r="S127" s="94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9"/>
      <c r="L128" s="140"/>
      <c r="N128" s="138"/>
      <c r="O128" s="141"/>
      <c r="S128" s="94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9"/>
      <c r="L129" s="140"/>
      <c r="N129" s="138"/>
      <c r="O129" s="141"/>
      <c r="S129" s="94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9"/>
      <c r="L130" s="140"/>
      <c r="N130" s="138"/>
      <c r="O130" s="141"/>
      <c r="S130" s="94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9"/>
      <c r="L131" s="140"/>
      <c r="N131" s="138"/>
      <c r="O131" s="141"/>
      <c r="S131" s="94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9"/>
      <c r="L132" s="140"/>
      <c r="N132" s="138"/>
      <c r="O132" s="141"/>
      <c r="S132" s="94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9"/>
      <c r="L133" s="140"/>
      <c r="N133" s="138"/>
      <c r="O133" s="141"/>
      <c r="S133" s="94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9"/>
      <c r="L134" s="140"/>
      <c r="N134" s="138"/>
      <c r="O134" s="141"/>
      <c r="S134" s="94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9"/>
      <c r="L135" s="140"/>
      <c r="N135" s="138"/>
      <c r="O135" s="141"/>
      <c r="S135" s="94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9"/>
      <c r="L136" s="140"/>
      <c r="N136" s="138"/>
      <c r="O136" s="141"/>
      <c r="S136" s="94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9"/>
      <c r="L137" s="140"/>
      <c r="N137" s="138"/>
      <c r="O137" s="141"/>
      <c r="S137" s="94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9"/>
      <c r="L138" s="140"/>
      <c r="N138" s="138"/>
      <c r="O138" s="141"/>
      <c r="S138" s="94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9"/>
      <c r="L139" s="140"/>
      <c r="N139" s="138"/>
      <c r="O139" s="141"/>
      <c r="S139" s="94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9"/>
      <c r="L140" s="140"/>
      <c r="N140" s="138"/>
      <c r="O140" s="141"/>
      <c r="S140" s="94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9"/>
      <c r="L141" s="140"/>
      <c r="N141" s="138"/>
      <c r="O141" s="141"/>
      <c r="S141" s="94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9"/>
      <c r="L142" s="140"/>
      <c r="N142" s="138"/>
      <c r="O142" s="141"/>
      <c r="S142" s="94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9"/>
      <c r="L143" s="140"/>
      <c r="N143" s="138"/>
      <c r="O143" s="141"/>
      <c r="S143" s="94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9"/>
      <c r="L144" s="140"/>
      <c r="N144" s="138"/>
      <c r="O144" s="141"/>
      <c r="S144" s="94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L145" s="140"/>
      <c r="N145" s="138"/>
      <c r="O145" s="141"/>
      <c r="S145" s="94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9"/>
      <c r="L146" s="140"/>
      <c r="N146" s="138"/>
      <c r="O146" s="141"/>
      <c r="S146" s="94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  <c r="L147" s="140"/>
      <c r="N147" s="138"/>
      <c r="O147" s="141"/>
      <c r="S147" s="94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9"/>
      <c r="L148" s="140"/>
      <c r="N148" s="138"/>
      <c r="O148" s="141"/>
      <c r="S148" s="94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9"/>
      <c r="L149" s="140"/>
      <c r="N149" s="138"/>
      <c r="O149" s="141"/>
      <c r="S149" s="94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9"/>
      <c r="L150" s="140"/>
      <c r="N150" s="138"/>
      <c r="O150" s="141"/>
      <c r="S150" s="94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L151" s="140"/>
      <c r="N151" s="138"/>
      <c r="O151" s="141"/>
      <c r="S151" s="94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9"/>
      <c r="L152" s="140"/>
      <c r="N152" s="138"/>
      <c r="O152" s="141"/>
      <c r="S152" s="94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9"/>
      <c r="L153" s="140"/>
      <c r="N153" s="138"/>
      <c r="O153" s="141"/>
      <c r="S153" s="94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9"/>
      <c r="L154" s="140"/>
      <c r="N154" s="138"/>
      <c r="O154" s="141"/>
      <c r="S154" s="94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9"/>
      <c r="L155" s="140"/>
      <c r="N155" s="138"/>
      <c r="O155" s="141"/>
      <c r="S155" s="94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9"/>
      <c r="L156" s="140"/>
      <c r="N156" s="138"/>
      <c r="O156" s="141"/>
      <c r="S156" s="94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9"/>
      <c r="L157" s="140"/>
      <c r="N157" s="138"/>
      <c r="O157" s="141"/>
      <c r="S157" s="94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9"/>
      <c r="L158" s="140"/>
      <c r="N158" s="138"/>
      <c r="O158" s="141"/>
      <c r="S158" s="94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9"/>
      <c r="L159" s="140"/>
      <c r="N159" s="138"/>
      <c r="O159" s="141"/>
      <c r="S159" s="94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9"/>
      <c r="L160" s="140"/>
      <c r="N160" s="138"/>
      <c r="O160" s="141"/>
      <c r="S160" s="94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9"/>
      <c r="L161" s="140"/>
      <c r="N161" s="138"/>
      <c r="O161" s="141"/>
      <c r="S161" s="94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9"/>
      <c r="L162" s="140"/>
      <c r="N162" s="138"/>
      <c r="O162" s="141"/>
      <c r="S162" s="94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9"/>
      <c r="L163" s="140"/>
      <c r="N163" s="138"/>
      <c r="O163" s="141"/>
      <c r="S163" s="94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9"/>
      <c r="L164" s="140"/>
      <c r="N164" s="138"/>
      <c r="O164" s="141"/>
      <c r="S164" s="94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9"/>
      <c r="L165" s="140"/>
      <c r="N165" s="138"/>
      <c r="O165" s="141"/>
      <c r="S165" s="94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9"/>
      <c r="L166" s="140"/>
      <c r="N166" s="138"/>
      <c r="O166" s="141"/>
      <c r="S166" s="94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9"/>
      <c r="L167" s="140"/>
      <c r="N167" s="138"/>
      <c r="O167" s="141"/>
      <c r="S167" s="94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9"/>
      <c r="L168" s="140"/>
      <c r="N168" s="138"/>
      <c r="O168" s="141"/>
      <c r="S168" s="94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9"/>
      <c r="L169" s="140"/>
      <c r="N169" s="138"/>
      <c r="O169" s="141"/>
      <c r="S169" s="94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9"/>
      <c r="L170" s="140"/>
      <c r="N170" s="138"/>
      <c r="O170" s="141"/>
      <c r="S170" s="94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9"/>
      <c r="L171" s="140"/>
      <c r="N171" s="138"/>
      <c r="O171" s="141"/>
      <c r="S171" s="94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9"/>
      <c r="L172" s="140"/>
      <c r="N172" s="138"/>
      <c r="O172" s="141"/>
      <c r="S172" s="94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9"/>
      <c r="L173" s="140"/>
      <c r="N173" s="138"/>
      <c r="O173" s="141"/>
      <c r="S173" s="94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9"/>
      <c r="L174" s="140"/>
      <c r="N174" s="138"/>
      <c r="O174" s="141"/>
      <c r="S174" s="94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9"/>
      <c r="L175" s="140"/>
      <c r="N175" s="138"/>
      <c r="O175" s="141"/>
      <c r="S175" s="94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9"/>
      <c r="L176" s="140"/>
      <c r="N176" s="138"/>
      <c r="O176" s="141"/>
      <c r="S176" s="94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9"/>
      <c r="L177" s="140"/>
      <c r="N177" s="138"/>
      <c r="O177" s="141"/>
      <c r="S177" s="94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9"/>
      <c r="L178" s="140"/>
      <c r="N178" s="138"/>
      <c r="O178" s="141"/>
      <c r="S178" s="94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9"/>
      <c r="L179" s="140"/>
      <c r="N179" s="138"/>
      <c r="O179" s="141"/>
      <c r="S179" s="94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9"/>
      <c r="L180" s="140"/>
      <c r="N180" s="138"/>
      <c r="O180" s="141"/>
      <c r="S180" s="94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9"/>
      <c r="L181" s="140"/>
      <c r="N181" s="138"/>
      <c r="O181" s="141"/>
      <c r="S181" s="94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L182" s="140"/>
      <c r="N182" s="138"/>
      <c r="O182" s="141"/>
      <c r="S182" s="94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9"/>
      <c r="L183" s="140"/>
      <c r="N183" s="138"/>
      <c r="O183" s="141"/>
      <c r="S183" s="94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9"/>
      <c r="L184" s="140"/>
      <c r="N184" s="138"/>
      <c r="O184" s="141"/>
      <c r="S184" s="94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9"/>
      <c r="L185" s="140"/>
      <c r="N185" s="138"/>
      <c r="O185" s="141"/>
      <c r="S185" s="94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9"/>
      <c r="L186" s="140"/>
      <c r="N186" s="138"/>
      <c r="O186" s="141"/>
      <c r="S186" s="94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9"/>
      <c r="L187" s="140"/>
      <c r="N187" s="138"/>
      <c r="O187" s="141"/>
      <c r="S187" s="94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L188" s="140"/>
      <c r="N188" s="138"/>
      <c r="O188" s="141"/>
      <c r="S188" s="94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9"/>
      <c r="L189" s="140"/>
      <c r="N189" s="138"/>
      <c r="O189" s="141"/>
      <c r="S189" s="94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9"/>
      <c r="L190" s="140"/>
      <c r="N190" s="138"/>
      <c r="O190" s="141"/>
      <c r="S190" s="94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9"/>
      <c r="L191" s="140"/>
      <c r="N191" s="138"/>
      <c r="O191" s="141"/>
      <c r="S191" s="94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9"/>
      <c r="L192" s="140"/>
      <c r="N192" s="138"/>
      <c r="O192" s="141"/>
      <c r="S192" s="94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9"/>
      <c r="L193" s="140"/>
      <c r="N193" s="138"/>
      <c r="O193" s="141"/>
      <c r="S193" s="94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9"/>
      <c r="L194" s="140"/>
      <c r="N194" s="138"/>
      <c r="O194" s="141"/>
      <c r="S194" s="94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9"/>
      <c r="L195" s="140"/>
      <c r="N195" s="138"/>
      <c r="O195" s="141"/>
      <c r="S195" s="94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9"/>
      <c r="L196" s="140"/>
      <c r="N196" s="138"/>
      <c r="O196" s="141"/>
      <c r="S196" s="94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9"/>
      <c r="L197" s="140"/>
      <c r="N197" s="138"/>
      <c r="O197" s="141"/>
      <c r="S197" s="94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9"/>
      <c r="L198" s="140"/>
      <c r="N198" s="138"/>
      <c r="O198" s="141"/>
      <c r="S198" s="94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9"/>
      <c r="L199" s="140"/>
      <c r="N199" s="138"/>
      <c r="O199" s="141"/>
      <c r="S199" s="94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9"/>
      <c r="L200" s="140"/>
      <c r="N200" s="138"/>
      <c r="O200" s="141"/>
      <c r="S200" s="94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9"/>
      <c r="L201" s="140"/>
      <c r="N201" s="138"/>
      <c r="O201" s="141"/>
      <c r="S201" s="94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9"/>
      <c r="L202" s="140"/>
      <c r="N202" s="138"/>
      <c r="O202" s="141"/>
      <c r="S202" s="94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9"/>
      <c r="L203" s="140"/>
      <c r="N203" s="138"/>
      <c r="O203" s="141"/>
      <c r="S203" s="94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9"/>
      <c r="L204" s="140"/>
      <c r="N204" s="138"/>
      <c r="O204" s="141"/>
      <c r="S204" s="94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9"/>
      <c r="L205" s="140"/>
      <c r="N205" s="138"/>
      <c r="O205" s="141"/>
      <c r="S205" s="94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9"/>
      <c r="L206" s="140"/>
      <c r="N206" s="138"/>
      <c r="O206" s="141"/>
      <c r="S206" s="94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9"/>
      <c r="L207" s="140"/>
      <c r="N207" s="138"/>
      <c r="O207" s="141"/>
      <c r="S207" s="94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9"/>
      <c r="L208" s="140"/>
      <c r="N208" s="138"/>
      <c r="O208" s="141"/>
      <c r="S208" s="94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9"/>
      <c r="L209" s="140"/>
      <c r="N209" s="138"/>
      <c r="O209" s="141"/>
      <c r="S209" s="94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9"/>
      <c r="L210" s="140"/>
      <c r="N210" s="138"/>
      <c r="O210" s="141"/>
      <c r="S210" s="94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9"/>
      <c r="L211" s="140"/>
      <c r="N211" s="138"/>
      <c r="O211" s="141"/>
      <c r="S211" s="94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9"/>
      <c r="L212" s="140"/>
      <c r="N212" s="138"/>
      <c r="O212" s="141"/>
      <c r="S212" s="94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9"/>
      <c r="L213" s="140"/>
      <c r="N213" s="138"/>
      <c r="O213" s="141"/>
      <c r="S213" s="94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9"/>
      <c r="L214" s="140"/>
      <c r="N214" s="138"/>
      <c r="O214" s="141"/>
      <c r="S214" s="94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9"/>
      <c r="L215" s="140"/>
      <c r="N215" s="138"/>
      <c r="O215" s="141"/>
      <c r="S215" s="94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9"/>
      <c r="L216" s="140"/>
      <c r="N216" s="138"/>
      <c r="O216" s="141"/>
      <c r="S216" s="94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9"/>
      <c r="L217" s="140"/>
      <c r="N217" s="138"/>
      <c r="O217" s="141"/>
      <c r="S217" s="94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9"/>
      <c r="L218" s="140"/>
      <c r="N218" s="138"/>
      <c r="O218" s="141"/>
      <c r="S218" s="94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L219" s="140"/>
      <c r="N219" s="138"/>
      <c r="O219" s="141"/>
      <c r="S219" s="94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9"/>
      <c r="L220" s="140"/>
      <c r="N220" s="138"/>
      <c r="O220" s="141"/>
      <c r="S220" s="94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9"/>
      <c r="L221" s="140"/>
      <c r="N221" s="138"/>
      <c r="O221" s="141"/>
      <c r="S221" s="94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9"/>
      <c r="L222" s="140"/>
      <c r="N222" s="138"/>
      <c r="O222" s="141"/>
      <c r="S222" s="94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9"/>
      <c r="L223" s="140"/>
      <c r="N223" s="138"/>
      <c r="O223" s="141"/>
      <c r="S223" s="94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9"/>
      <c r="L224" s="140"/>
      <c r="N224" s="138"/>
      <c r="O224" s="141"/>
      <c r="S224" s="94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L225" s="140"/>
      <c r="N225" s="138"/>
      <c r="O225" s="141"/>
      <c r="S225" s="94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L226" s="140"/>
      <c r="N226" s="138"/>
      <c r="O226" s="141"/>
      <c r="S226" s="94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9"/>
      <c r="L227" s="140"/>
      <c r="N227" s="138"/>
      <c r="O227" s="141"/>
      <c r="S227" s="94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9"/>
      <c r="L228" s="140"/>
      <c r="N228" s="138"/>
      <c r="O228" s="141"/>
      <c r="S228" s="94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9"/>
      <c r="L229" s="140"/>
      <c r="N229" s="138"/>
      <c r="O229" s="141"/>
      <c r="S229" s="94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9"/>
      <c r="L230" s="140"/>
      <c r="N230" s="138"/>
      <c r="O230" s="141"/>
      <c r="S230" s="94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9"/>
      <c r="L231" s="140"/>
      <c r="N231" s="138"/>
      <c r="O231" s="141"/>
      <c r="S231" s="94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9"/>
      <c r="L232" s="140"/>
      <c r="N232" s="138"/>
      <c r="O232" s="141"/>
      <c r="S232" s="94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9"/>
      <c r="L233" s="140"/>
      <c r="N233" s="138"/>
      <c r="O233" s="141"/>
      <c r="S233" s="94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9"/>
      <c r="L234" s="140"/>
      <c r="N234" s="138"/>
      <c r="O234" s="141"/>
      <c r="S234" s="94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9"/>
      <c r="L235" s="140"/>
      <c r="N235" s="138"/>
      <c r="O235" s="141"/>
      <c r="S235" s="94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9"/>
      <c r="L236" s="140"/>
      <c r="N236" s="138"/>
      <c r="O236" s="141"/>
      <c r="S236" s="94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9"/>
      <c r="L237" s="140"/>
      <c r="N237" s="138"/>
      <c r="O237" s="141"/>
      <c r="S237" s="94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9"/>
      <c r="L238" s="140"/>
      <c r="N238" s="138"/>
      <c r="O238" s="141"/>
      <c r="S238" s="94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9"/>
      <c r="L239" s="140"/>
      <c r="N239" s="138"/>
      <c r="O239" s="141"/>
      <c r="S239" s="94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9"/>
      <c r="L240" s="140"/>
      <c r="N240" s="138"/>
      <c r="O240" s="141"/>
      <c r="S240" s="94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9"/>
      <c r="L241" s="140"/>
      <c r="N241" s="138"/>
      <c r="O241" s="141"/>
      <c r="S241" s="94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9"/>
      <c r="L242" s="140"/>
      <c r="N242" s="138"/>
      <c r="O242" s="141"/>
      <c r="S242" s="94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9"/>
      <c r="L243" s="140"/>
      <c r="N243" s="138"/>
      <c r="O243" s="141"/>
      <c r="S243" s="94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9"/>
      <c r="L244" s="140"/>
      <c r="N244" s="138"/>
      <c r="O244" s="141"/>
      <c r="S244" s="94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9"/>
      <c r="L245" s="140"/>
      <c r="N245" s="138"/>
      <c r="O245" s="141"/>
      <c r="S245" s="94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9"/>
      <c r="L246" s="140"/>
      <c r="N246" s="138"/>
      <c r="O246" s="141"/>
      <c r="S246" s="94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9"/>
      <c r="L247" s="140"/>
      <c r="N247" s="138"/>
      <c r="O247" s="141"/>
      <c r="S247" s="94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9"/>
      <c r="L248" s="140"/>
      <c r="N248" s="138"/>
      <c r="O248" s="141"/>
      <c r="S248" s="94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9"/>
      <c r="L249" s="140"/>
      <c r="N249" s="138"/>
      <c r="O249" s="141"/>
      <c r="S249" s="94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9"/>
      <c r="L250" s="140"/>
      <c r="N250" s="138"/>
      <c r="O250" s="141"/>
      <c r="S250" s="94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9"/>
      <c r="L251" s="140"/>
      <c r="N251" s="138"/>
      <c r="O251" s="141"/>
      <c r="S251" s="94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9"/>
      <c r="L252" s="140"/>
      <c r="N252" s="138"/>
      <c r="O252" s="141"/>
      <c r="S252" s="94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9"/>
      <c r="L253" s="140"/>
      <c r="N253" s="138"/>
      <c r="O253" s="141"/>
      <c r="S253" s="94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9"/>
      <c r="L254" s="140"/>
      <c r="N254" s="138"/>
      <c r="O254" s="141"/>
      <c r="S254" s="94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9"/>
      <c r="L255" s="140"/>
      <c r="N255" s="138"/>
      <c r="O255" s="141"/>
      <c r="S255" s="94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L256" s="140"/>
      <c r="N256" s="138"/>
      <c r="O256" s="141"/>
      <c r="S256" s="94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9"/>
      <c r="L257" s="140"/>
      <c r="N257" s="138"/>
      <c r="O257" s="141"/>
      <c r="S257" s="94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9"/>
      <c r="L258" s="140"/>
      <c r="N258" s="138"/>
      <c r="O258" s="141"/>
      <c r="S258" s="94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9"/>
      <c r="L259" s="140"/>
      <c r="N259" s="138"/>
      <c r="O259" s="141"/>
      <c r="S259" s="94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9"/>
      <c r="L260" s="140"/>
      <c r="N260" s="138"/>
      <c r="O260" s="141"/>
      <c r="S260" s="94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9"/>
      <c r="L261" s="140"/>
      <c r="N261" s="138"/>
      <c r="O261" s="141"/>
      <c r="S261" s="94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L262" s="140"/>
      <c r="N262" s="138"/>
      <c r="O262" s="141"/>
      <c r="S262" s="94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9"/>
      <c r="L263" s="140"/>
      <c r="N263" s="138"/>
      <c r="O263" s="141"/>
      <c r="S263" s="94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9"/>
      <c r="L264" s="140"/>
      <c r="N264" s="138"/>
      <c r="O264" s="141"/>
      <c r="S264" s="94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9"/>
      <c r="L265" s="140"/>
      <c r="N265" s="138"/>
      <c r="O265" s="141"/>
      <c r="S265" s="94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9"/>
      <c r="L266" s="140"/>
      <c r="N266" s="138"/>
      <c r="O266" s="141"/>
      <c r="S266" s="94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9"/>
      <c r="L267" s="140"/>
      <c r="N267" s="138"/>
      <c r="O267" s="141"/>
      <c r="S267" s="94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9"/>
      <c r="L268" s="140"/>
      <c r="N268" s="138"/>
      <c r="O268" s="141"/>
      <c r="S268" s="94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9"/>
      <c r="L269" s="140"/>
      <c r="N269" s="138"/>
      <c r="O269" s="141"/>
      <c r="S269" s="94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9"/>
      <c r="L270" s="140"/>
      <c r="N270" s="138"/>
      <c r="O270" s="141"/>
      <c r="S270" s="94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9"/>
      <c r="L271" s="140"/>
      <c r="N271" s="138"/>
      <c r="O271" s="141"/>
      <c r="S271" s="94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9"/>
      <c r="L272" s="140"/>
      <c r="N272" s="138"/>
      <c r="O272" s="141"/>
      <c r="S272" s="94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9"/>
      <c r="L273" s="140"/>
      <c r="N273" s="138"/>
      <c r="O273" s="141"/>
      <c r="S273" s="94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9"/>
      <c r="L274" s="140"/>
      <c r="N274" s="138"/>
      <c r="O274" s="141"/>
      <c r="S274" s="94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9"/>
      <c r="L275" s="140"/>
      <c r="N275" s="138"/>
      <c r="O275" s="141"/>
      <c r="S275" s="94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9"/>
      <c r="L276" s="140"/>
      <c r="N276" s="138"/>
      <c r="O276" s="141"/>
      <c r="S276" s="94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9"/>
      <c r="L277" s="140"/>
      <c r="N277" s="138"/>
      <c r="O277" s="141"/>
      <c r="S277" s="94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9"/>
      <c r="L278" s="140"/>
      <c r="N278" s="138"/>
      <c r="O278" s="141"/>
      <c r="S278" s="94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9"/>
      <c r="L279" s="140"/>
      <c r="N279" s="138"/>
      <c r="O279" s="141"/>
      <c r="S279" s="94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9"/>
      <c r="L280" s="140"/>
      <c r="N280" s="138"/>
      <c r="O280" s="141"/>
      <c r="S280" s="94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9"/>
      <c r="L281" s="140"/>
      <c r="N281" s="138"/>
      <c r="O281" s="141"/>
      <c r="S281" s="94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9"/>
      <c r="L282" s="140"/>
      <c r="N282" s="138"/>
      <c r="O282" s="141"/>
      <c r="S282" s="94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9"/>
      <c r="L283" s="140"/>
      <c r="N283" s="138"/>
      <c r="O283" s="141"/>
      <c r="S283" s="94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9"/>
      <c r="L284" s="140"/>
      <c r="N284" s="138"/>
      <c r="O284" s="141"/>
      <c r="S284" s="94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9"/>
      <c r="L285" s="140"/>
      <c r="N285" s="138"/>
      <c r="O285" s="141"/>
      <c r="S285" s="94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9"/>
      <c r="L286" s="140"/>
      <c r="N286" s="138"/>
      <c r="O286" s="141"/>
      <c r="S286" s="94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9"/>
      <c r="L287" s="140"/>
      <c r="N287" s="138"/>
      <c r="O287" s="141"/>
      <c r="S287" s="94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9"/>
      <c r="L288" s="140"/>
      <c r="N288" s="138"/>
      <c r="O288" s="141"/>
      <c r="S288" s="94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9"/>
      <c r="L289" s="140"/>
      <c r="N289" s="138"/>
      <c r="O289" s="141"/>
      <c r="S289" s="94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9"/>
      <c r="L290" s="140"/>
      <c r="N290" s="138"/>
      <c r="O290" s="141"/>
      <c r="S290" s="94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9"/>
      <c r="L291" s="140"/>
      <c r="N291" s="138"/>
      <c r="O291" s="141"/>
      <c r="S291" s="94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9"/>
      <c r="L292" s="140"/>
      <c r="N292" s="138"/>
      <c r="O292" s="141"/>
      <c r="S292" s="94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L293" s="140"/>
      <c r="N293" s="138"/>
      <c r="O293" s="141"/>
      <c r="S293" s="94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9"/>
      <c r="L294" s="140"/>
      <c r="N294" s="138"/>
      <c r="O294" s="141"/>
      <c r="S294" s="94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9"/>
      <c r="L295" s="140"/>
      <c r="N295" s="138"/>
      <c r="O295" s="141"/>
      <c r="S295" s="94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9"/>
      <c r="L296" s="140"/>
      <c r="N296" s="138"/>
      <c r="O296" s="141"/>
      <c r="S296" s="94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9"/>
      <c r="L297" s="140"/>
      <c r="N297" s="138"/>
      <c r="O297" s="141"/>
      <c r="S297" s="94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9"/>
      <c r="L298" s="140"/>
      <c r="N298" s="138"/>
      <c r="O298" s="141"/>
      <c r="S298" s="94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L299" s="140"/>
      <c r="N299" s="138"/>
      <c r="O299" s="141"/>
      <c r="S299" s="94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9"/>
      <c r="L300" s="140"/>
      <c r="N300" s="138"/>
      <c r="O300" s="141"/>
      <c r="S300" s="94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9"/>
      <c r="L301" s="140"/>
      <c r="N301" s="138"/>
      <c r="O301" s="141"/>
      <c r="S301" s="94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9"/>
      <c r="L302" s="140"/>
      <c r="N302" s="138"/>
      <c r="O302" s="141"/>
      <c r="S302" s="94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9"/>
      <c r="L303" s="140"/>
      <c r="N303" s="138"/>
      <c r="O303" s="141"/>
      <c r="S303" s="94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9"/>
      <c r="L304" s="140"/>
      <c r="N304" s="138"/>
      <c r="O304" s="141"/>
      <c r="S304" s="94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9"/>
      <c r="L305" s="140"/>
      <c r="N305" s="138"/>
      <c r="O305" s="141"/>
      <c r="S305" s="94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9"/>
      <c r="L306" s="140"/>
      <c r="N306" s="138"/>
      <c r="O306" s="141"/>
      <c r="S306" s="94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9"/>
      <c r="L307" s="140"/>
      <c r="N307" s="138"/>
      <c r="O307" s="141"/>
      <c r="S307" s="94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9"/>
      <c r="L308" s="140"/>
      <c r="N308" s="138"/>
      <c r="O308" s="141"/>
      <c r="S308" s="94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9"/>
      <c r="L309" s="140"/>
      <c r="N309" s="138"/>
      <c r="O309" s="141"/>
      <c r="S309" s="94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9"/>
      <c r="L310" s="140"/>
      <c r="N310" s="138"/>
      <c r="O310" s="141"/>
      <c r="S310" s="94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9"/>
      <c r="L311" s="140"/>
      <c r="N311" s="138"/>
      <c r="O311" s="141"/>
      <c r="S311" s="94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9"/>
      <c r="L312" s="140"/>
      <c r="N312" s="138"/>
      <c r="O312" s="141"/>
      <c r="S312" s="94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9"/>
      <c r="L313" s="140"/>
      <c r="N313" s="138"/>
      <c r="O313" s="141"/>
      <c r="S313" s="94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9"/>
      <c r="L314" s="140"/>
      <c r="N314" s="138"/>
      <c r="O314" s="141"/>
      <c r="S314" s="94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9"/>
      <c r="L315" s="140"/>
      <c r="N315" s="138"/>
      <c r="O315" s="141"/>
      <c r="S315" s="94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9"/>
      <c r="L316" s="140"/>
      <c r="N316" s="138"/>
      <c r="O316" s="141"/>
      <c r="S316" s="94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9"/>
      <c r="L317" s="140"/>
      <c r="N317" s="138"/>
      <c r="O317" s="141"/>
      <c r="S317" s="94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9"/>
      <c r="L318" s="140"/>
      <c r="N318" s="138"/>
      <c r="O318" s="141"/>
      <c r="S318" s="94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9"/>
      <c r="L319" s="140"/>
      <c r="N319" s="138"/>
      <c r="O319" s="141"/>
      <c r="S319" s="94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9"/>
      <c r="L320" s="140"/>
      <c r="N320" s="138"/>
      <c r="O320" s="141"/>
      <c r="S320" s="94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9"/>
      <c r="L321" s="140"/>
      <c r="N321" s="138"/>
      <c r="O321" s="141"/>
      <c r="S321" s="94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9"/>
      <c r="L322" s="140"/>
      <c r="N322" s="138"/>
      <c r="O322" s="141"/>
      <c r="S322" s="94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9"/>
      <c r="L323" s="140"/>
      <c r="N323" s="138"/>
      <c r="O323" s="141"/>
      <c r="S323" s="94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9"/>
      <c r="L324" s="140"/>
      <c r="N324" s="138"/>
      <c r="O324" s="141"/>
      <c r="S324" s="94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9"/>
      <c r="L325" s="140"/>
      <c r="N325" s="138"/>
      <c r="O325" s="141"/>
      <c r="S325" s="94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9"/>
      <c r="L326" s="140"/>
      <c r="N326" s="138"/>
      <c r="O326" s="141"/>
      <c r="S326" s="94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9"/>
      <c r="L327" s="140"/>
      <c r="N327" s="138"/>
      <c r="O327" s="141"/>
      <c r="S327" s="94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9"/>
      <c r="L328" s="140"/>
      <c r="N328" s="138"/>
      <c r="O328" s="141"/>
      <c r="S328" s="94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9"/>
      <c r="L329" s="140"/>
      <c r="N329" s="138"/>
      <c r="O329" s="141"/>
      <c r="S329" s="94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L330" s="140"/>
      <c r="N330" s="138"/>
      <c r="O330" s="141"/>
      <c r="S330" s="94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9"/>
      <c r="L331" s="140"/>
      <c r="N331" s="138"/>
      <c r="O331" s="141"/>
      <c r="S331" s="94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9"/>
      <c r="L332" s="140"/>
      <c r="N332" s="138"/>
      <c r="O332" s="141"/>
      <c r="S332" s="94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9"/>
      <c r="L333" s="140"/>
      <c r="N333" s="138"/>
      <c r="O333" s="141"/>
      <c r="S333" s="94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9"/>
      <c r="L334" s="140"/>
      <c r="N334" s="138"/>
      <c r="O334" s="141"/>
      <c r="S334" s="94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9"/>
      <c r="L335" s="140"/>
      <c r="N335" s="138"/>
      <c r="O335" s="141"/>
      <c r="S335" s="94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L336" s="140"/>
      <c r="N336" s="138"/>
      <c r="O336" s="141"/>
      <c r="S336" s="94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9"/>
      <c r="L337" s="140"/>
      <c r="N337" s="138"/>
      <c r="O337" s="141"/>
      <c r="S337" s="94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9"/>
      <c r="L338" s="140"/>
      <c r="N338" s="138"/>
      <c r="O338" s="141"/>
      <c r="S338" s="94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9"/>
      <c r="L339" s="140"/>
      <c r="N339" s="138"/>
      <c r="O339" s="141"/>
      <c r="S339" s="94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9"/>
      <c r="L340" s="140"/>
      <c r="N340" s="138"/>
      <c r="O340" s="141"/>
      <c r="S340" s="94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9"/>
      <c r="L341" s="140"/>
      <c r="N341" s="138"/>
      <c r="O341" s="141"/>
      <c r="S341" s="94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9"/>
      <c r="L342" s="140"/>
      <c r="N342" s="138"/>
      <c r="O342" s="141"/>
      <c r="S342" s="94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9"/>
      <c r="L343" s="140"/>
      <c r="N343" s="138"/>
      <c r="O343" s="141"/>
      <c r="S343" s="94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9"/>
      <c r="L344" s="140"/>
      <c r="N344" s="138"/>
      <c r="O344" s="141"/>
      <c r="S344" s="94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9"/>
      <c r="L345" s="140"/>
      <c r="N345" s="138"/>
      <c r="O345" s="141"/>
      <c r="S345" s="94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9"/>
      <c r="L346" s="140"/>
      <c r="N346" s="138"/>
      <c r="O346" s="141"/>
      <c r="S346" s="94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9"/>
      <c r="L347" s="140"/>
      <c r="N347" s="138"/>
      <c r="O347" s="141"/>
      <c r="S347" s="94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9"/>
      <c r="L348" s="140"/>
      <c r="N348" s="138"/>
      <c r="O348" s="141"/>
      <c r="S348" s="94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9"/>
      <c r="L349" s="140"/>
      <c r="N349" s="138"/>
      <c r="O349" s="141"/>
      <c r="S349" s="94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9"/>
      <c r="L350" s="140"/>
      <c r="N350" s="138"/>
      <c r="O350" s="141"/>
      <c r="S350" s="94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9"/>
      <c r="L351" s="140"/>
      <c r="N351" s="138"/>
      <c r="O351" s="141"/>
      <c r="S351" s="94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9"/>
      <c r="L352" s="140"/>
      <c r="N352" s="138"/>
      <c r="O352" s="141"/>
      <c r="S352" s="94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9"/>
      <c r="L353" s="140"/>
      <c r="N353" s="138"/>
      <c r="O353" s="141"/>
      <c r="S353" s="94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9"/>
      <c r="L354" s="140"/>
      <c r="N354" s="138"/>
      <c r="O354" s="141"/>
      <c r="S354" s="94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9"/>
      <c r="L355" s="140"/>
      <c r="N355" s="138"/>
      <c r="O355" s="141"/>
      <c r="S355" s="94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9"/>
      <c r="L356" s="140"/>
      <c r="N356" s="138"/>
      <c r="O356" s="141"/>
      <c r="S356" s="94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9"/>
      <c r="L357" s="140"/>
      <c r="N357" s="138"/>
      <c r="O357" s="141"/>
      <c r="S357" s="94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9"/>
      <c r="L358" s="140"/>
      <c r="N358" s="138"/>
      <c r="O358" s="141"/>
      <c r="S358" s="94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9"/>
      <c r="L359" s="140"/>
      <c r="N359" s="138"/>
      <c r="O359" s="141"/>
      <c r="S359" s="94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9"/>
      <c r="L360" s="140"/>
      <c r="N360" s="138"/>
      <c r="O360" s="141"/>
      <c r="S360" s="94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9"/>
      <c r="L361" s="140"/>
      <c r="N361" s="138"/>
      <c r="O361" s="141"/>
      <c r="S361" s="94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9"/>
      <c r="L362" s="140"/>
      <c r="N362" s="138"/>
      <c r="O362" s="141"/>
      <c r="S362" s="94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9"/>
      <c r="L363" s="140"/>
      <c r="N363" s="138"/>
      <c r="O363" s="141"/>
      <c r="S363" s="94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9"/>
      <c r="L364" s="140"/>
      <c r="N364" s="138"/>
      <c r="O364" s="141"/>
      <c r="S364" s="94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9"/>
      <c r="L365" s="140"/>
      <c r="N365" s="138"/>
      <c r="O365" s="141"/>
      <c r="S365" s="94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9"/>
      <c r="L366" s="140"/>
      <c r="N366" s="138"/>
      <c r="O366" s="141"/>
      <c r="S366" s="94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L367" s="140"/>
      <c r="N367" s="138"/>
      <c r="O367" s="141"/>
      <c r="S367" s="94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9"/>
      <c r="L368" s="140"/>
      <c r="N368" s="138"/>
      <c r="O368" s="141"/>
      <c r="S368" s="94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9"/>
      <c r="L369" s="140"/>
      <c r="N369" s="138"/>
      <c r="O369" s="141"/>
      <c r="S369" s="94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9"/>
      <c r="L370" s="140"/>
      <c r="N370" s="138"/>
      <c r="O370" s="141"/>
      <c r="S370" s="94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9"/>
      <c r="L371" s="140"/>
      <c r="N371" s="138"/>
      <c r="O371" s="141"/>
      <c r="S371" s="94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9"/>
      <c r="L372" s="140"/>
      <c r="N372" s="138"/>
      <c r="O372" s="141"/>
      <c r="S372" s="94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L373" s="140"/>
      <c r="N373" s="138"/>
      <c r="O373" s="141"/>
      <c r="S373" s="94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9"/>
      <c r="L374" s="140"/>
      <c r="N374" s="138"/>
      <c r="O374" s="141"/>
      <c r="S374" s="94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9"/>
      <c r="L375" s="140"/>
      <c r="N375" s="138"/>
      <c r="O375" s="141"/>
      <c r="S375" s="94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9"/>
      <c r="L376" s="140"/>
      <c r="N376" s="138"/>
      <c r="O376" s="141"/>
      <c r="S376" s="94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9"/>
      <c r="L377" s="140"/>
      <c r="N377" s="138"/>
      <c r="O377" s="141"/>
      <c r="S377" s="94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9"/>
      <c r="L378" s="140"/>
      <c r="N378" s="138"/>
      <c r="O378" s="141"/>
      <c r="S378" s="94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9"/>
      <c r="L379" s="140"/>
      <c r="N379" s="138"/>
      <c r="O379" s="141"/>
      <c r="S379" s="94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9"/>
      <c r="L380" s="140"/>
      <c r="N380" s="138"/>
      <c r="O380" s="141"/>
      <c r="S380" s="94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9"/>
      <c r="L381" s="140"/>
      <c r="N381" s="138"/>
      <c r="O381" s="141"/>
      <c r="S381" s="94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9"/>
      <c r="L382" s="140"/>
      <c r="N382" s="138"/>
      <c r="O382" s="141"/>
      <c r="S382" s="94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9"/>
      <c r="L383" s="140"/>
      <c r="N383" s="138"/>
      <c r="O383" s="141"/>
      <c r="S383" s="94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9"/>
      <c r="L384" s="140"/>
      <c r="N384" s="138"/>
      <c r="O384" s="141"/>
      <c r="S384" s="94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9"/>
      <c r="L385" s="140"/>
      <c r="N385" s="138"/>
      <c r="O385" s="141"/>
      <c r="S385" s="94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9"/>
      <c r="L386" s="140"/>
      <c r="N386" s="138"/>
      <c r="O386" s="141"/>
      <c r="S386" s="94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9"/>
      <c r="L387" s="140"/>
      <c r="N387" s="138"/>
      <c r="O387" s="141"/>
      <c r="S387" s="94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9"/>
      <c r="L388" s="140"/>
      <c r="N388" s="138"/>
      <c r="O388" s="141"/>
      <c r="S388" s="94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9"/>
      <c r="L389" s="140"/>
      <c r="N389" s="138"/>
      <c r="O389" s="141"/>
      <c r="S389" s="94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9"/>
      <c r="L390" s="140"/>
      <c r="N390" s="138"/>
      <c r="O390" s="141"/>
      <c r="S390" s="94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9"/>
      <c r="L391" s="140"/>
      <c r="N391" s="138"/>
      <c r="O391" s="141"/>
      <c r="S391" s="94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9"/>
      <c r="L392" s="140"/>
      <c r="N392" s="138"/>
      <c r="O392" s="141"/>
      <c r="S392" s="94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9"/>
      <c r="L393" s="140"/>
      <c r="N393" s="138"/>
      <c r="O393" s="141"/>
      <c r="S393" s="94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9"/>
      <c r="L394" s="140"/>
      <c r="N394" s="138"/>
      <c r="O394" s="141"/>
      <c r="S394" s="94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9"/>
      <c r="L395" s="140"/>
      <c r="N395" s="138"/>
      <c r="O395" s="141"/>
      <c r="S395" s="94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9"/>
      <c r="L396" s="140"/>
      <c r="N396" s="138"/>
      <c r="O396" s="141"/>
      <c r="S396" s="94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9"/>
      <c r="L397" s="140"/>
      <c r="N397" s="138"/>
      <c r="O397" s="141"/>
      <c r="S397" s="94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9"/>
      <c r="L398" s="140"/>
      <c r="N398" s="138"/>
      <c r="O398" s="141"/>
      <c r="S398" s="94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9"/>
      <c r="L399" s="140"/>
      <c r="N399" s="138"/>
      <c r="O399" s="141"/>
      <c r="S399" s="94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9"/>
      <c r="L400" s="140"/>
      <c r="N400" s="138"/>
      <c r="O400" s="141"/>
      <c r="S400" s="94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9"/>
      <c r="L401" s="140"/>
      <c r="N401" s="138"/>
      <c r="O401" s="141"/>
      <c r="S401" s="94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9"/>
      <c r="L402" s="140"/>
      <c r="N402" s="138"/>
      <c r="O402" s="141"/>
      <c r="S402" s="94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9"/>
      <c r="L403" s="140"/>
      <c r="N403" s="138"/>
      <c r="O403" s="141"/>
      <c r="S403" s="94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L404" s="140"/>
      <c r="N404" s="138"/>
      <c r="O404" s="141"/>
      <c r="S404" s="94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9"/>
      <c r="L405" s="140"/>
      <c r="N405" s="138"/>
      <c r="O405" s="141"/>
      <c r="S405" s="94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9"/>
      <c r="L406" s="140"/>
      <c r="N406" s="138"/>
      <c r="O406" s="141"/>
      <c r="S406" s="94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9"/>
      <c r="L407" s="140"/>
      <c r="N407" s="138"/>
      <c r="O407" s="141"/>
      <c r="S407" s="94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9"/>
      <c r="L408" s="140"/>
      <c r="N408" s="138"/>
      <c r="O408" s="141"/>
      <c r="S408" s="94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9"/>
      <c r="L409" s="140"/>
      <c r="N409" s="138"/>
      <c r="O409" s="141"/>
      <c r="S409" s="94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L410" s="140"/>
      <c r="N410" s="138"/>
      <c r="O410" s="141"/>
      <c r="S410" s="94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9"/>
      <c r="L411" s="140"/>
      <c r="N411" s="138"/>
      <c r="O411" s="141"/>
      <c r="S411" s="94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9"/>
      <c r="L412" s="140"/>
      <c r="N412" s="138"/>
      <c r="O412" s="141"/>
      <c r="S412" s="94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9"/>
      <c r="L413" s="140"/>
      <c r="N413" s="138"/>
      <c r="O413" s="141"/>
      <c r="S413" s="94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9"/>
      <c r="L414" s="140"/>
      <c r="N414" s="138"/>
      <c r="O414" s="141"/>
      <c r="S414" s="94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9"/>
      <c r="L415" s="140"/>
      <c r="N415" s="138"/>
      <c r="O415" s="141"/>
      <c r="S415" s="94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9"/>
      <c r="L416" s="140"/>
      <c r="N416" s="138"/>
      <c r="O416" s="141"/>
      <c r="S416" s="94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9"/>
      <c r="L417" s="140"/>
      <c r="N417" s="138"/>
      <c r="O417" s="141"/>
      <c r="S417" s="94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9"/>
      <c r="L418" s="140"/>
      <c r="N418" s="138"/>
      <c r="O418" s="141"/>
      <c r="S418" s="94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9"/>
      <c r="L419" s="140"/>
      <c r="N419" s="138"/>
      <c r="O419" s="141"/>
      <c r="S419" s="94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9"/>
      <c r="L420" s="140"/>
      <c r="N420" s="138"/>
      <c r="O420" s="141"/>
      <c r="S420" s="94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9"/>
      <c r="L421" s="140"/>
      <c r="N421" s="138"/>
      <c r="O421" s="141"/>
      <c r="S421" s="94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9"/>
      <c r="L422" s="140"/>
      <c r="N422" s="138"/>
      <c r="O422" s="141"/>
      <c r="S422" s="94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9"/>
      <c r="L423" s="140"/>
      <c r="N423" s="138"/>
      <c r="O423" s="141"/>
      <c r="S423" s="94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9"/>
      <c r="L424" s="140"/>
      <c r="N424" s="138"/>
      <c r="O424" s="141"/>
      <c r="S424" s="94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9"/>
      <c r="L425" s="140"/>
      <c r="N425" s="138"/>
      <c r="O425" s="141"/>
      <c r="S425" s="94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9"/>
      <c r="L426" s="140"/>
      <c r="N426" s="138"/>
      <c r="O426" s="141"/>
      <c r="S426" s="94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9"/>
      <c r="L427" s="140"/>
      <c r="N427" s="138"/>
      <c r="O427" s="141"/>
      <c r="S427" s="94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9"/>
      <c r="L428" s="140"/>
      <c r="N428" s="138"/>
      <c r="O428" s="141"/>
      <c r="S428" s="94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9"/>
      <c r="L429" s="140"/>
      <c r="N429" s="138"/>
      <c r="O429" s="141"/>
      <c r="S429" s="94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9"/>
      <c r="L430" s="140"/>
      <c r="N430" s="138"/>
      <c r="O430" s="141"/>
      <c r="S430" s="94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9"/>
      <c r="L431" s="140"/>
      <c r="N431" s="138"/>
      <c r="O431" s="141"/>
      <c r="S431" s="94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9"/>
      <c r="L432" s="140"/>
      <c r="N432" s="138"/>
      <c r="O432" s="141"/>
      <c r="S432" s="94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9"/>
      <c r="L433" s="140"/>
      <c r="N433" s="138"/>
      <c r="O433" s="141"/>
      <c r="S433" s="94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9"/>
      <c r="L434" s="140"/>
      <c r="N434" s="138"/>
      <c r="O434" s="141"/>
      <c r="S434" s="94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9"/>
      <c r="L435" s="140"/>
      <c r="N435" s="138"/>
      <c r="O435" s="141"/>
      <c r="S435" s="94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9"/>
      <c r="L436" s="140"/>
      <c r="N436" s="138"/>
      <c r="O436" s="141"/>
      <c r="S436" s="94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9"/>
      <c r="L437" s="140"/>
      <c r="N437" s="138"/>
      <c r="O437" s="141"/>
      <c r="S437" s="94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9"/>
      <c r="L438" s="140"/>
      <c r="N438" s="138"/>
      <c r="O438" s="141"/>
      <c r="S438" s="94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9"/>
      <c r="L439" s="140"/>
      <c r="N439" s="138"/>
      <c r="O439" s="141"/>
      <c r="S439" s="94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9"/>
      <c r="L440" s="140"/>
      <c r="N440" s="138"/>
      <c r="O440" s="141"/>
      <c r="S440" s="94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L441" s="140"/>
      <c r="N441" s="138"/>
      <c r="O441" s="141"/>
      <c r="S441" s="94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9"/>
      <c r="L442" s="140"/>
      <c r="N442" s="138"/>
      <c r="O442" s="141"/>
      <c r="S442" s="94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9"/>
      <c r="L443" s="140"/>
      <c r="N443" s="138"/>
      <c r="O443" s="141"/>
      <c r="S443" s="94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9"/>
      <c r="L444" s="140"/>
      <c r="N444" s="138"/>
      <c r="O444" s="141"/>
      <c r="S444" s="94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9"/>
      <c r="L445" s="140"/>
      <c r="N445" s="138"/>
      <c r="O445" s="141"/>
      <c r="S445" s="94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9"/>
      <c r="L446" s="140"/>
      <c r="N446" s="138"/>
      <c r="O446" s="141"/>
      <c r="S446" s="94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L447" s="140"/>
      <c r="N447" s="138"/>
      <c r="O447" s="141"/>
      <c r="S447" s="94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9"/>
      <c r="L448" s="140"/>
      <c r="N448" s="138"/>
      <c r="O448" s="141"/>
      <c r="S448" s="94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9"/>
      <c r="L449" s="140"/>
      <c r="N449" s="138"/>
      <c r="O449" s="141"/>
      <c r="S449" s="94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9"/>
      <c r="L450" s="140"/>
      <c r="N450" s="138"/>
      <c r="O450" s="141"/>
      <c r="S450" s="94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9"/>
      <c r="L451" s="140"/>
      <c r="N451" s="138"/>
      <c r="O451" s="141"/>
      <c r="S451" s="94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9"/>
      <c r="L452" s="140"/>
      <c r="N452" s="138"/>
      <c r="O452" s="141"/>
      <c r="S452" s="94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9"/>
      <c r="L453" s="140"/>
      <c r="N453" s="138"/>
      <c r="O453" s="141"/>
      <c r="S453" s="94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9"/>
      <c r="L454" s="140"/>
      <c r="N454" s="138"/>
      <c r="O454" s="141"/>
      <c r="S454" s="94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9"/>
      <c r="L455" s="140"/>
      <c r="N455" s="138"/>
      <c r="O455" s="141"/>
      <c r="S455" s="94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9"/>
      <c r="L456" s="140"/>
      <c r="N456" s="138"/>
      <c r="O456" s="141"/>
      <c r="S456" s="94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9"/>
      <c r="L457" s="140"/>
      <c r="N457" s="138"/>
      <c r="O457" s="141"/>
      <c r="S457" s="94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9"/>
      <c r="L458" s="140"/>
      <c r="N458" s="138"/>
      <c r="O458" s="141"/>
      <c r="S458" s="94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9"/>
      <c r="L459" s="140"/>
      <c r="N459" s="138"/>
      <c r="O459" s="141"/>
      <c r="S459" s="94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9"/>
      <c r="L460" s="140"/>
      <c r="N460" s="138"/>
      <c r="O460" s="141"/>
      <c r="S460" s="94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9"/>
      <c r="L461" s="140"/>
      <c r="N461" s="138"/>
      <c r="O461" s="141"/>
      <c r="S461" s="94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9"/>
      <c r="L462" s="140"/>
      <c r="N462" s="138"/>
      <c r="O462" s="141"/>
      <c r="S462" s="94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9"/>
      <c r="L463" s="140"/>
      <c r="N463" s="138"/>
      <c r="O463" s="141"/>
      <c r="S463" s="94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9"/>
      <c r="L464" s="140"/>
      <c r="N464" s="138"/>
      <c r="O464" s="141"/>
      <c r="S464" s="94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9"/>
      <c r="L465" s="140"/>
      <c r="N465" s="138"/>
      <c r="O465" s="141"/>
      <c r="S465" s="94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9"/>
      <c r="L466" s="140"/>
      <c r="N466" s="138"/>
      <c r="O466" s="141"/>
      <c r="S466" s="94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9"/>
      <c r="L467" s="140"/>
      <c r="N467" s="138"/>
      <c r="O467" s="141"/>
      <c r="S467" s="94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9"/>
      <c r="L468" s="140"/>
      <c r="N468" s="138"/>
      <c r="O468" s="141"/>
      <c r="S468" s="94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9"/>
      <c r="L469" s="140"/>
      <c r="N469" s="138"/>
      <c r="O469" s="141"/>
      <c r="S469" s="94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9"/>
      <c r="L470" s="140"/>
      <c r="N470" s="138"/>
      <c r="O470" s="141"/>
      <c r="S470" s="94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9"/>
      <c r="L471" s="140"/>
      <c r="N471" s="138"/>
      <c r="O471" s="141"/>
      <c r="S471" s="94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9"/>
      <c r="L472" s="140"/>
      <c r="N472" s="138"/>
      <c r="O472" s="141"/>
      <c r="S472" s="94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9"/>
      <c r="L473" s="140"/>
      <c r="N473" s="138"/>
      <c r="O473" s="141"/>
      <c r="S473" s="94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9"/>
      <c r="L474" s="140"/>
      <c r="N474" s="138"/>
      <c r="O474" s="141"/>
      <c r="S474" s="94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9"/>
      <c r="L475" s="140"/>
      <c r="N475" s="138"/>
      <c r="O475" s="141"/>
      <c r="S475" s="94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9"/>
      <c r="L476" s="140"/>
      <c r="N476" s="138"/>
      <c r="O476" s="141"/>
      <c r="S476" s="94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9"/>
      <c r="L477" s="140"/>
      <c r="N477" s="138"/>
      <c r="O477" s="141"/>
      <c r="S477" s="94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L478" s="140"/>
      <c r="N478" s="138"/>
      <c r="O478" s="141"/>
      <c r="S478" s="94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9"/>
      <c r="L479" s="140"/>
      <c r="N479" s="138"/>
      <c r="O479" s="141"/>
      <c r="S479" s="94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9"/>
      <c r="L480" s="140"/>
      <c r="N480" s="138"/>
      <c r="O480" s="141"/>
      <c r="S480" s="94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9"/>
      <c r="L481" s="140"/>
      <c r="N481" s="138"/>
      <c r="O481" s="141"/>
      <c r="S481" s="94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9"/>
      <c r="L482" s="140"/>
      <c r="N482" s="138"/>
      <c r="O482" s="141"/>
      <c r="S482" s="94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9"/>
      <c r="L483" s="140"/>
      <c r="N483" s="138"/>
      <c r="O483" s="141"/>
      <c r="S483" s="94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L484" s="140"/>
      <c r="N484" s="138"/>
      <c r="O484" s="141"/>
      <c r="S484" s="94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9"/>
      <c r="L485" s="140"/>
      <c r="N485" s="138"/>
      <c r="O485" s="141"/>
      <c r="S485" s="94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9"/>
      <c r="L486" s="140"/>
      <c r="N486" s="138"/>
      <c r="O486" s="141"/>
      <c r="S486" s="94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9"/>
      <c r="L487" s="140"/>
      <c r="N487" s="138"/>
      <c r="O487" s="141"/>
      <c r="S487" s="94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9"/>
      <c r="L488" s="140"/>
      <c r="N488" s="138"/>
      <c r="O488" s="141"/>
      <c r="S488" s="94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9"/>
      <c r="L489" s="140"/>
      <c r="N489" s="138"/>
      <c r="O489" s="141"/>
      <c r="S489" s="94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9"/>
      <c r="L490" s="140"/>
      <c r="N490" s="138"/>
      <c r="O490" s="141"/>
      <c r="S490" s="94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9"/>
      <c r="L491" s="140"/>
      <c r="N491" s="138"/>
      <c r="O491" s="141"/>
      <c r="S491" s="94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9"/>
      <c r="L492" s="140"/>
      <c r="N492" s="138"/>
      <c r="O492" s="141"/>
      <c r="S492" s="94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9"/>
      <c r="L493" s="140"/>
      <c r="N493" s="138"/>
      <c r="O493" s="141"/>
      <c r="S493" s="94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9"/>
      <c r="L494" s="140"/>
      <c r="N494" s="138"/>
      <c r="O494" s="141"/>
      <c r="S494" s="94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9"/>
      <c r="L495" s="140"/>
      <c r="N495" s="138"/>
      <c r="O495" s="141"/>
      <c r="S495" s="94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9"/>
      <c r="L496" s="140"/>
      <c r="N496" s="138"/>
      <c r="O496" s="141"/>
      <c r="S496" s="94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9"/>
      <c r="L497" s="140"/>
      <c r="N497" s="138"/>
      <c r="O497" s="141"/>
      <c r="S497" s="94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9"/>
      <c r="L498" s="140"/>
      <c r="N498" s="138"/>
      <c r="O498" s="141"/>
      <c r="S498" s="94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9"/>
      <c r="L499" s="140"/>
      <c r="N499" s="138"/>
      <c r="O499" s="141"/>
      <c r="S499" s="94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9"/>
      <c r="L500" s="140"/>
      <c r="N500" s="138"/>
      <c r="O500" s="141"/>
      <c r="S500" s="94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9"/>
      <c r="L501" s="140"/>
      <c r="N501" s="138"/>
      <c r="O501" s="141"/>
      <c r="S501" s="94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9"/>
      <c r="L502" s="140"/>
      <c r="N502" s="138"/>
      <c r="O502" s="141"/>
      <c r="S502" s="94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9"/>
      <c r="L503" s="140"/>
      <c r="N503" s="138"/>
      <c r="O503" s="141"/>
      <c r="S503" s="94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9"/>
      <c r="L504" s="140"/>
      <c r="N504" s="138"/>
      <c r="O504" s="141"/>
      <c r="S504" s="94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9"/>
      <c r="L505" s="140"/>
      <c r="N505" s="138"/>
      <c r="O505" s="141"/>
      <c r="S505" s="94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9"/>
      <c r="L506" s="140"/>
      <c r="N506" s="138"/>
      <c r="O506" s="141"/>
      <c r="S506" s="94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9"/>
      <c r="L507" s="140"/>
      <c r="N507" s="138"/>
      <c r="O507" s="141"/>
      <c r="S507" s="94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9"/>
      <c r="L508" s="140"/>
      <c r="N508" s="138"/>
      <c r="O508" s="141"/>
      <c r="S508" s="94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9"/>
      <c r="L509" s="140"/>
      <c r="N509" s="138"/>
      <c r="O509" s="141"/>
      <c r="S509" s="94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9"/>
      <c r="L510" s="140"/>
      <c r="N510" s="138"/>
      <c r="O510" s="141"/>
      <c r="S510" s="94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9"/>
      <c r="L511" s="140"/>
      <c r="N511" s="138"/>
      <c r="O511" s="141"/>
      <c r="S511" s="94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9"/>
      <c r="L512" s="140"/>
      <c r="N512" s="138"/>
      <c r="O512" s="141"/>
      <c r="S512" s="94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9"/>
      <c r="L513" s="140"/>
      <c r="N513" s="138"/>
      <c r="O513" s="141"/>
      <c r="S513" s="94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9"/>
      <c r="L514" s="140"/>
      <c r="N514" s="138"/>
      <c r="O514" s="141"/>
      <c r="S514" s="94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L515" s="140"/>
      <c r="N515" s="138"/>
      <c r="O515" s="141"/>
      <c r="S515" s="94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9"/>
      <c r="L516" s="140"/>
      <c r="N516" s="138"/>
      <c r="O516" s="141"/>
      <c r="S516" s="94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9"/>
      <c r="L517" s="140"/>
      <c r="N517" s="138"/>
      <c r="O517" s="141"/>
      <c r="S517" s="94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9"/>
      <c r="L518" s="140"/>
      <c r="N518" s="138"/>
      <c r="O518" s="141"/>
      <c r="S518" s="94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9"/>
      <c r="L519" s="140"/>
      <c r="N519" s="138"/>
      <c r="O519" s="141"/>
      <c r="S519" s="94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9"/>
      <c r="L520" s="140"/>
      <c r="N520" s="138"/>
      <c r="O520" s="141"/>
      <c r="S520" s="94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L521" s="140"/>
      <c r="N521" s="138"/>
      <c r="O521" s="141"/>
      <c r="S521" s="94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9"/>
      <c r="L522" s="140"/>
      <c r="N522" s="138"/>
      <c r="O522" s="141"/>
      <c r="S522" s="94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9"/>
      <c r="L523" s="140"/>
      <c r="N523" s="138"/>
      <c r="O523" s="141"/>
      <c r="S523" s="94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9"/>
      <c r="L524" s="140"/>
      <c r="N524" s="138"/>
      <c r="O524" s="141"/>
      <c r="S524" s="94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9"/>
      <c r="L525" s="140"/>
      <c r="N525" s="138"/>
      <c r="O525" s="141"/>
      <c r="S525" s="94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9"/>
      <c r="L526" s="140"/>
      <c r="N526" s="138"/>
      <c r="O526" s="141"/>
      <c r="S526" s="94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9"/>
      <c r="L527" s="140"/>
      <c r="N527" s="138"/>
      <c r="O527" s="141"/>
      <c r="S527" s="94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9"/>
      <c r="L528" s="140"/>
      <c r="N528" s="138"/>
      <c r="O528" s="141"/>
      <c r="S528" s="94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9"/>
      <c r="L529" s="140"/>
      <c r="N529" s="138"/>
      <c r="O529" s="141"/>
      <c r="S529" s="94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9"/>
      <c r="L530" s="140"/>
      <c r="N530" s="138"/>
      <c r="O530" s="141"/>
      <c r="S530" s="94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9"/>
      <c r="L531" s="140"/>
      <c r="N531" s="138"/>
      <c r="O531" s="141"/>
      <c r="S531" s="94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9"/>
      <c r="L532" s="140"/>
      <c r="N532" s="138"/>
      <c r="O532" s="141"/>
      <c r="S532" s="94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9"/>
      <c r="L533" s="140"/>
      <c r="N533" s="138"/>
      <c r="O533" s="141"/>
      <c r="S533" s="94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9"/>
      <c r="L534" s="140"/>
      <c r="N534" s="138"/>
      <c r="O534" s="141"/>
      <c r="S534" s="94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9"/>
      <c r="L535" s="140"/>
      <c r="N535" s="138"/>
      <c r="O535" s="141"/>
      <c r="S535" s="94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9"/>
      <c r="L536" s="140"/>
      <c r="N536" s="138"/>
      <c r="O536" s="141"/>
      <c r="S536" s="94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9"/>
      <c r="L537" s="140"/>
      <c r="N537" s="138"/>
      <c r="O537" s="141"/>
      <c r="S537" s="94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9"/>
      <c r="L538" s="140"/>
      <c r="N538" s="138"/>
      <c r="O538" s="141"/>
      <c r="S538" s="94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9"/>
      <c r="L539" s="140"/>
      <c r="N539" s="138"/>
      <c r="O539" s="141"/>
      <c r="S539" s="94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9"/>
      <c r="L540" s="140"/>
      <c r="N540" s="138"/>
      <c r="O540" s="141"/>
      <c r="S540" s="94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9"/>
      <c r="L541" s="140"/>
      <c r="N541" s="138"/>
      <c r="O541" s="141"/>
      <c r="S541" s="94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9"/>
      <c r="L542" s="140"/>
      <c r="N542" s="138"/>
      <c r="O542" s="141"/>
      <c r="S542" s="94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9"/>
      <c r="L543" s="140"/>
      <c r="N543" s="138"/>
      <c r="O543" s="141"/>
      <c r="S543" s="94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9"/>
      <c r="L544" s="140"/>
      <c r="N544" s="138"/>
      <c r="O544" s="141"/>
      <c r="S544" s="94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9"/>
      <c r="L545" s="140"/>
      <c r="N545" s="138"/>
      <c r="O545" s="141"/>
      <c r="S545" s="94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9"/>
      <c r="L546" s="140"/>
      <c r="N546" s="138"/>
      <c r="O546" s="141"/>
      <c r="S546" s="94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9"/>
      <c r="L547" s="140"/>
      <c r="N547" s="138"/>
      <c r="O547" s="141"/>
      <c r="S547" s="94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9"/>
      <c r="L548" s="140"/>
      <c r="N548" s="138"/>
      <c r="O548" s="141"/>
      <c r="S548" s="94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9"/>
      <c r="L549" s="140"/>
      <c r="N549" s="138"/>
      <c r="O549" s="141"/>
      <c r="S549" s="94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9"/>
      <c r="L550" s="140"/>
      <c r="N550" s="138"/>
      <c r="O550" s="141"/>
      <c r="S550" s="94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9"/>
      <c r="L551" s="140"/>
      <c r="N551" s="138"/>
      <c r="O551" s="141"/>
      <c r="S551" s="94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L552" s="140"/>
      <c r="N552" s="138"/>
      <c r="O552" s="141"/>
      <c r="S552" s="94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9"/>
      <c r="L553" s="140"/>
      <c r="N553" s="138"/>
      <c r="O553" s="141"/>
      <c r="S553" s="94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9"/>
      <c r="L554" s="140"/>
      <c r="N554" s="138"/>
      <c r="O554" s="141"/>
      <c r="S554" s="94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9"/>
      <c r="L555" s="140"/>
      <c r="N555" s="138"/>
      <c r="O555" s="141"/>
      <c r="S555" s="94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9"/>
      <c r="L556" s="140"/>
      <c r="N556" s="138"/>
      <c r="O556" s="141"/>
      <c r="S556" s="94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9"/>
      <c r="L557" s="140"/>
      <c r="N557" s="138"/>
      <c r="O557" s="141"/>
      <c r="S557" s="94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L558" s="140"/>
      <c r="N558" s="138"/>
      <c r="O558" s="141"/>
      <c r="S558" s="94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9"/>
      <c r="L559" s="140"/>
      <c r="N559" s="138"/>
      <c r="O559" s="141"/>
      <c r="S559" s="94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9"/>
      <c r="L560" s="140"/>
      <c r="N560" s="138"/>
      <c r="O560" s="141"/>
      <c r="S560" s="94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9"/>
      <c r="L561" s="140"/>
      <c r="N561" s="138"/>
      <c r="O561" s="141"/>
      <c r="S561" s="94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9"/>
      <c r="L562" s="140"/>
      <c r="N562" s="138"/>
      <c r="O562" s="141"/>
      <c r="S562" s="94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9"/>
      <c r="L563" s="140"/>
      <c r="N563" s="138"/>
      <c r="O563" s="141"/>
      <c r="S563" s="94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9"/>
      <c r="L564" s="140"/>
      <c r="N564" s="138"/>
      <c r="O564" s="141"/>
      <c r="S564" s="94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9"/>
      <c r="L565" s="140"/>
      <c r="N565" s="138"/>
      <c r="O565" s="141"/>
      <c r="S565" s="94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9"/>
      <c r="L566" s="140"/>
      <c r="N566" s="138"/>
      <c r="O566" s="141"/>
      <c r="S566" s="94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9"/>
      <c r="L567" s="140"/>
      <c r="N567" s="138"/>
      <c r="O567" s="141"/>
      <c r="S567" s="94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9"/>
      <c r="L568" s="140"/>
      <c r="N568" s="138"/>
      <c r="O568" s="141"/>
      <c r="S568" s="94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9"/>
      <c r="L569" s="140"/>
      <c r="N569" s="138"/>
      <c r="O569" s="141"/>
      <c r="S569" s="94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9"/>
      <c r="L570" s="140"/>
      <c r="N570" s="138"/>
      <c r="O570" s="141"/>
      <c r="S570" s="94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9"/>
      <c r="L571" s="140"/>
      <c r="N571" s="138"/>
      <c r="O571" s="141"/>
      <c r="S571" s="94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9"/>
      <c r="L572" s="140"/>
      <c r="N572" s="138"/>
      <c r="O572" s="141"/>
      <c r="S572" s="94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9"/>
      <c r="L573" s="140"/>
      <c r="N573" s="138"/>
      <c r="O573" s="141"/>
      <c r="S573" s="94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9"/>
      <c r="L574" s="140"/>
      <c r="N574" s="138"/>
      <c r="O574" s="141"/>
      <c r="S574" s="94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9"/>
      <c r="L575" s="140"/>
      <c r="N575" s="138"/>
      <c r="O575" s="141"/>
      <c r="S575" s="94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9"/>
      <c r="L576" s="140"/>
      <c r="N576" s="138"/>
      <c r="O576" s="141"/>
      <c r="S576" s="94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9"/>
      <c r="L577" s="140"/>
      <c r="N577" s="138"/>
      <c r="O577" s="141"/>
      <c r="S577" s="94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9"/>
      <c r="L578" s="140"/>
      <c r="N578" s="138"/>
      <c r="O578" s="141"/>
      <c r="S578" s="94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9"/>
      <c r="L579" s="140"/>
      <c r="N579" s="138"/>
      <c r="O579" s="141"/>
      <c r="S579" s="94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9"/>
      <c r="L580" s="140"/>
      <c r="N580" s="138"/>
      <c r="O580" s="141"/>
      <c r="S580" s="94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9"/>
      <c r="L581" s="140"/>
      <c r="N581" s="138"/>
      <c r="O581" s="141"/>
      <c r="S581" s="94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9"/>
      <c r="L582" s="140"/>
      <c r="N582" s="138"/>
      <c r="O582" s="141"/>
      <c r="S582" s="94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9"/>
      <c r="L583" s="140"/>
      <c r="N583" s="138"/>
      <c r="O583" s="141"/>
      <c r="S583" s="94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9"/>
      <c r="L584" s="140"/>
      <c r="N584" s="138"/>
      <c r="O584" s="141"/>
      <c r="S584" s="94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9"/>
      <c r="L585" s="140"/>
      <c r="N585" s="138"/>
      <c r="O585" s="141"/>
      <c r="S585" s="94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9"/>
      <c r="L586" s="140"/>
      <c r="N586" s="138"/>
      <c r="O586" s="141"/>
      <c r="S586" s="94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9"/>
      <c r="L587" s="140"/>
      <c r="N587" s="138"/>
      <c r="O587" s="141"/>
      <c r="S587" s="94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9"/>
      <c r="L588" s="140"/>
      <c r="N588" s="138"/>
      <c r="O588" s="141"/>
      <c r="S588" s="94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L589" s="140"/>
      <c r="N589" s="138"/>
      <c r="O589" s="141"/>
      <c r="S589" s="94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9"/>
      <c r="L590" s="140"/>
      <c r="N590" s="138"/>
      <c r="O590" s="141"/>
      <c r="S590" s="94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9"/>
      <c r="L591" s="140"/>
      <c r="N591" s="138"/>
      <c r="O591" s="141"/>
      <c r="S591" s="94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9"/>
      <c r="L592" s="140"/>
      <c r="N592" s="138"/>
      <c r="O592" s="141"/>
      <c r="S592" s="94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9"/>
      <c r="L593" s="140"/>
      <c r="N593" s="138"/>
      <c r="O593" s="141"/>
      <c r="S593" s="94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9"/>
      <c r="L594" s="140"/>
      <c r="N594" s="138"/>
      <c r="O594" s="141"/>
      <c r="S594" s="94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L595" s="140"/>
      <c r="N595" s="138"/>
      <c r="O595" s="141"/>
      <c r="S595" s="94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9"/>
      <c r="L596" s="140"/>
      <c r="N596" s="138"/>
      <c r="O596" s="141"/>
      <c r="S596" s="94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9"/>
      <c r="L597" s="140"/>
      <c r="N597" s="138"/>
      <c r="O597" s="141"/>
      <c r="S597" s="94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9"/>
      <c r="L598" s="140"/>
      <c r="N598" s="138"/>
      <c r="O598" s="141"/>
      <c r="S598" s="94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9"/>
      <c r="L599" s="140"/>
      <c r="N599" s="138"/>
      <c r="O599" s="141"/>
      <c r="S599" s="94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9"/>
      <c r="L600" s="140"/>
      <c r="N600" s="138"/>
      <c r="O600" s="141"/>
      <c r="S600" s="94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9"/>
      <c r="L601" s="140"/>
      <c r="N601" s="138"/>
      <c r="O601" s="141"/>
      <c r="S601" s="94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9"/>
      <c r="L602" s="140"/>
      <c r="N602" s="138"/>
      <c r="O602" s="141"/>
      <c r="S602" s="94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9"/>
      <c r="L603" s="140"/>
      <c r="N603" s="138"/>
      <c r="O603" s="141"/>
      <c r="S603" s="94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9"/>
      <c r="L604" s="140"/>
      <c r="N604" s="138"/>
      <c r="O604" s="141"/>
      <c r="S604" s="94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9"/>
      <c r="L605" s="140"/>
      <c r="N605" s="138"/>
      <c r="O605" s="141"/>
      <c r="S605" s="94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9"/>
      <c r="L606" s="140"/>
      <c r="N606" s="138"/>
      <c r="O606" s="141"/>
      <c r="S606" s="94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9"/>
      <c r="L607" s="140"/>
      <c r="N607" s="138"/>
      <c r="O607" s="141"/>
      <c r="S607" s="94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9"/>
      <c r="L608" s="140"/>
      <c r="N608" s="138"/>
      <c r="O608" s="141"/>
      <c r="S608" s="94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9"/>
      <c r="L609" s="140"/>
      <c r="N609" s="138"/>
      <c r="O609" s="141"/>
      <c r="S609" s="94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9"/>
      <c r="L610" s="140"/>
      <c r="N610" s="138"/>
      <c r="O610" s="141"/>
      <c r="S610" s="94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9"/>
      <c r="L611" s="140"/>
      <c r="N611" s="138"/>
      <c r="O611" s="141"/>
      <c r="S611" s="94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9"/>
      <c r="L612" s="140"/>
      <c r="N612" s="138"/>
      <c r="O612" s="141"/>
      <c r="S612" s="94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9"/>
      <c r="L613" s="140"/>
      <c r="N613" s="138"/>
      <c r="O613" s="141"/>
      <c r="S613" s="94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9"/>
      <c r="L614" s="140"/>
      <c r="N614" s="138"/>
      <c r="O614" s="141"/>
      <c r="S614" s="94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9"/>
      <c r="L615" s="140"/>
      <c r="N615" s="138"/>
      <c r="O615" s="141"/>
      <c r="S615" s="94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9"/>
      <c r="L616" s="140"/>
      <c r="N616" s="138"/>
      <c r="O616" s="141"/>
      <c r="S616" s="94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9"/>
      <c r="L617" s="140"/>
      <c r="N617" s="138"/>
      <c r="O617" s="141"/>
      <c r="S617" s="94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9"/>
      <c r="L618" s="140"/>
      <c r="N618" s="138"/>
      <c r="O618" s="141"/>
      <c r="S618" s="94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9"/>
      <c r="L619" s="140"/>
      <c r="N619" s="138"/>
      <c r="O619" s="141"/>
      <c r="S619" s="94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9"/>
      <c r="L620" s="140"/>
      <c r="N620" s="138"/>
      <c r="O620" s="141"/>
      <c r="S620" s="94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9"/>
      <c r="L621" s="140"/>
      <c r="N621" s="138"/>
      <c r="O621" s="141"/>
      <c r="S621" s="94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9"/>
      <c r="L622" s="140"/>
      <c r="N622" s="138"/>
      <c r="O622" s="141"/>
      <c r="S622" s="94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9"/>
      <c r="L623" s="140"/>
      <c r="N623" s="138"/>
      <c r="O623" s="141"/>
      <c r="S623" s="94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9"/>
      <c r="L624" s="140"/>
      <c r="N624" s="138"/>
      <c r="O624" s="141"/>
      <c r="S624" s="94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9"/>
      <c r="L625" s="140"/>
      <c r="N625" s="138"/>
      <c r="O625" s="141"/>
      <c r="S625" s="94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L626" s="140"/>
      <c r="N626" s="138"/>
      <c r="O626" s="141"/>
      <c r="S626" s="94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9"/>
      <c r="L627" s="140"/>
      <c r="N627" s="138"/>
      <c r="O627" s="141"/>
      <c r="S627" s="94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9"/>
      <c r="L628" s="140"/>
      <c r="N628" s="138"/>
      <c r="O628" s="141"/>
      <c r="S628" s="94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9"/>
      <c r="L629" s="140"/>
      <c r="N629" s="138"/>
      <c r="O629" s="141"/>
      <c r="S629" s="94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9"/>
      <c r="L630" s="140"/>
      <c r="N630" s="138"/>
      <c r="O630" s="141"/>
      <c r="S630" s="94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9"/>
      <c r="L631" s="140"/>
      <c r="N631" s="138"/>
      <c r="O631" s="141"/>
      <c r="S631" s="94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L632" s="140"/>
      <c r="N632" s="138"/>
      <c r="O632" s="141"/>
      <c r="S632" s="94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9"/>
      <c r="L633" s="140"/>
      <c r="N633" s="138"/>
      <c r="O633" s="141"/>
      <c r="S633" s="94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9"/>
      <c r="L634" s="140"/>
      <c r="N634" s="138"/>
      <c r="O634" s="141"/>
      <c r="S634" s="94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9"/>
      <c r="L635" s="140"/>
      <c r="N635" s="138"/>
      <c r="O635" s="141"/>
      <c r="S635" s="94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9"/>
      <c r="L636" s="140"/>
      <c r="N636" s="138"/>
      <c r="O636" s="141"/>
      <c r="S636" s="94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9"/>
      <c r="L637" s="140"/>
      <c r="N637" s="138"/>
      <c r="O637" s="141"/>
      <c r="S637" s="94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9"/>
      <c r="L638" s="140"/>
      <c r="N638" s="138"/>
      <c r="O638" s="141"/>
      <c r="S638" s="94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9"/>
      <c r="L639" s="140"/>
      <c r="N639" s="138"/>
      <c r="O639" s="141"/>
      <c r="S639" s="94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9"/>
      <c r="L640" s="140"/>
      <c r="N640" s="138"/>
      <c r="O640" s="141"/>
      <c r="S640" s="94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9"/>
      <c r="L641" s="140"/>
      <c r="N641" s="138"/>
      <c r="O641" s="141"/>
      <c r="S641" s="94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9"/>
      <c r="L642" s="140"/>
      <c r="N642" s="138"/>
      <c r="O642" s="141"/>
      <c r="S642" s="94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9"/>
      <c r="L643" s="140"/>
      <c r="N643" s="138"/>
      <c r="O643" s="141"/>
      <c r="S643" s="94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9"/>
      <c r="L644" s="140"/>
      <c r="N644" s="138"/>
      <c r="O644" s="141"/>
      <c r="S644" s="94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9"/>
      <c r="L645" s="140"/>
      <c r="N645" s="138"/>
      <c r="O645" s="141"/>
      <c r="S645" s="94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9"/>
      <c r="L646" s="140"/>
      <c r="N646" s="138"/>
      <c r="O646" s="141"/>
      <c r="S646" s="94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9"/>
      <c r="L647" s="140"/>
      <c r="N647" s="138"/>
      <c r="O647" s="141"/>
      <c r="S647" s="94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9"/>
      <c r="L648" s="140"/>
      <c r="N648" s="138"/>
      <c r="O648" s="141"/>
      <c r="S648" s="94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9"/>
      <c r="L649" s="140"/>
      <c r="N649" s="138"/>
      <c r="O649" s="141"/>
      <c r="S649" s="94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9"/>
      <c r="L650" s="140"/>
      <c r="N650" s="138"/>
      <c r="O650" s="141"/>
      <c r="S650" s="94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9"/>
      <c r="L651" s="140"/>
      <c r="N651" s="138"/>
      <c r="O651" s="141"/>
      <c r="S651" s="94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9"/>
      <c r="L652" s="140"/>
      <c r="N652" s="138"/>
      <c r="O652" s="141"/>
      <c r="S652" s="94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9"/>
      <c r="L653" s="140"/>
      <c r="N653" s="138"/>
      <c r="O653" s="141"/>
      <c r="S653" s="94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9"/>
      <c r="L654" s="140"/>
      <c r="N654" s="138"/>
      <c r="O654" s="141"/>
      <c r="S654" s="94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9"/>
      <c r="L655" s="140"/>
      <c r="N655" s="138"/>
      <c r="O655" s="141"/>
      <c r="S655" s="94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9"/>
      <c r="L656" s="140"/>
      <c r="N656" s="138"/>
      <c r="O656" s="141"/>
      <c r="S656" s="94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9"/>
      <c r="L657" s="140"/>
      <c r="N657" s="138"/>
      <c r="O657" s="141"/>
      <c r="S657" s="94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9"/>
      <c r="L658" s="140"/>
      <c r="N658" s="138"/>
      <c r="O658" s="141"/>
      <c r="S658" s="94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9"/>
      <c r="L659" s="140"/>
      <c r="N659" s="138"/>
      <c r="O659" s="141"/>
      <c r="S659" s="94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9"/>
      <c r="L660" s="140"/>
      <c r="N660" s="138"/>
      <c r="O660" s="141"/>
      <c r="S660" s="94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9"/>
      <c r="L661" s="140"/>
      <c r="N661" s="138"/>
      <c r="O661" s="141"/>
      <c r="S661" s="94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9"/>
      <c r="L662" s="140"/>
      <c r="N662" s="138"/>
      <c r="O662" s="141"/>
      <c r="S662" s="94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L663" s="140"/>
      <c r="N663" s="138"/>
      <c r="O663" s="141"/>
      <c r="S663" s="94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9"/>
      <c r="L664" s="140"/>
      <c r="N664" s="138"/>
      <c r="O664" s="141"/>
      <c r="S664" s="94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9"/>
      <c r="L665" s="140"/>
      <c r="N665" s="138"/>
      <c r="O665" s="141"/>
      <c r="S665" s="94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9"/>
      <c r="L666" s="140"/>
      <c r="N666" s="138"/>
      <c r="O666" s="141"/>
      <c r="S666" s="94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9"/>
      <c r="L667" s="140"/>
      <c r="N667" s="138"/>
      <c r="O667" s="141"/>
      <c r="S667" s="94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9"/>
      <c r="L668" s="140"/>
      <c r="N668" s="138"/>
      <c r="O668" s="141"/>
      <c r="S668" s="94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L669" s="140"/>
      <c r="N669" s="138"/>
      <c r="O669" s="141"/>
      <c r="S669" s="94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9"/>
      <c r="L670" s="140"/>
      <c r="N670" s="138"/>
      <c r="O670" s="141"/>
      <c r="S670" s="94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9"/>
      <c r="L671" s="140"/>
      <c r="N671" s="138"/>
      <c r="O671" s="141"/>
      <c r="S671" s="94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9"/>
      <c r="L672" s="140"/>
      <c r="N672" s="138"/>
      <c r="O672" s="141"/>
      <c r="S672" s="94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9"/>
      <c r="L673" s="140"/>
      <c r="N673" s="138"/>
      <c r="O673" s="141"/>
      <c r="S673" s="94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9"/>
      <c r="L674" s="140"/>
      <c r="N674" s="138"/>
      <c r="O674" s="141"/>
      <c r="S674" s="94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9"/>
      <c r="L675" s="140"/>
      <c r="N675" s="138"/>
      <c r="O675" s="141"/>
      <c r="S675" s="94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9"/>
      <c r="L676" s="140"/>
      <c r="N676" s="138"/>
      <c r="O676" s="141"/>
      <c r="S676" s="94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9"/>
      <c r="L677" s="140"/>
      <c r="N677" s="138"/>
      <c r="O677" s="141"/>
      <c r="S677" s="94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9"/>
      <c r="L678" s="140"/>
      <c r="N678" s="138"/>
      <c r="O678" s="141"/>
      <c r="S678" s="94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9"/>
      <c r="L679" s="140"/>
      <c r="N679" s="138"/>
      <c r="O679" s="141"/>
      <c r="S679" s="94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9"/>
      <c r="L680" s="140"/>
      <c r="N680" s="138"/>
      <c r="O680" s="141"/>
      <c r="S680" s="94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9"/>
      <c r="L681" s="140"/>
      <c r="N681" s="138"/>
      <c r="O681" s="141"/>
      <c r="S681" s="94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9"/>
      <c r="L682" s="140"/>
      <c r="N682" s="138"/>
      <c r="O682" s="141"/>
      <c r="S682" s="94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9"/>
      <c r="L683" s="140"/>
      <c r="N683" s="138"/>
      <c r="O683" s="141"/>
      <c r="S683" s="94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9"/>
      <c r="L684" s="140"/>
      <c r="N684" s="138"/>
      <c r="O684" s="141"/>
      <c r="S684" s="94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9"/>
      <c r="L685" s="140"/>
      <c r="N685" s="138"/>
      <c r="O685" s="141"/>
      <c r="S685" s="94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9"/>
      <c r="L686" s="140"/>
      <c r="N686" s="138"/>
      <c r="O686" s="141"/>
      <c r="S686" s="94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9"/>
      <c r="L687" s="140"/>
      <c r="N687" s="138"/>
      <c r="O687" s="141"/>
      <c r="S687" s="94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9"/>
      <c r="L688" s="140"/>
      <c r="N688" s="138"/>
      <c r="O688" s="141"/>
      <c r="S688" s="94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9"/>
      <c r="L689" s="140"/>
      <c r="N689" s="138"/>
      <c r="O689" s="141"/>
      <c r="S689" s="94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9"/>
      <c r="L690" s="140"/>
      <c r="N690" s="138"/>
      <c r="O690" s="141"/>
      <c r="S690" s="94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9"/>
      <c r="L691" s="140"/>
      <c r="N691" s="138"/>
      <c r="O691" s="141"/>
      <c r="S691" s="94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9"/>
      <c r="L692" s="140"/>
      <c r="N692" s="138"/>
      <c r="O692" s="141"/>
      <c r="S692" s="94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9"/>
      <c r="L693" s="140"/>
      <c r="N693" s="138"/>
      <c r="O693" s="141"/>
      <c r="S693" s="94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9"/>
      <c r="L694" s="140"/>
      <c r="N694" s="138"/>
      <c r="O694" s="141"/>
      <c r="S694" s="94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9"/>
      <c r="L695" s="140"/>
      <c r="N695" s="138"/>
      <c r="O695" s="141"/>
      <c r="S695" s="94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9"/>
      <c r="L696" s="140"/>
      <c r="N696" s="138"/>
      <c r="O696" s="141"/>
      <c r="S696" s="94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9"/>
      <c r="L697" s="140"/>
      <c r="N697" s="138"/>
      <c r="O697" s="141"/>
      <c r="S697" s="94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9"/>
      <c r="L698" s="140"/>
      <c r="N698" s="138"/>
      <c r="O698" s="141"/>
      <c r="S698" s="94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9"/>
      <c r="L699" s="140"/>
      <c r="N699" s="138"/>
      <c r="O699" s="141"/>
      <c r="S699" s="94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L700" s="140"/>
      <c r="N700" s="138"/>
      <c r="O700" s="141"/>
      <c r="S700" s="94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9"/>
      <c r="L701" s="140"/>
      <c r="N701" s="138"/>
      <c r="O701" s="141"/>
      <c r="S701" s="94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9"/>
      <c r="L702" s="140"/>
      <c r="N702" s="138"/>
      <c r="O702" s="141"/>
      <c r="S702" s="94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9"/>
      <c r="L703" s="140"/>
      <c r="N703" s="138"/>
      <c r="O703" s="141"/>
      <c r="S703" s="94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9"/>
      <c r="L704" s="140"/>
      <c r="N704" s="138"/>
      <c r="O704" s="141"/>
      <c r="S704" s="94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9"/>
      <c r="L705" s="140"/>
      <c r="N705" s="138"/>
      <c r="O705" s="141"/>
      <c r="S705" s="94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L706" s="140"/>
      <c r="N706" s="138"/>
      <c r="O706" s="141"/>
      <c r="S706" s="94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9"/>
      <c r="L707" s="140"/>
      <c r="N707" s="138"/>
      <c r="O707" s="141"/>
      <c r="S707" s="94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9"/>
      <c r="L708" s="140"/>
      <c r="N708" s="138"/>
      <c r="O708" s="141"/>
      <c r="S708" s="94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9"/>
      <c r="L709" s="140"/>
      <c r="N709" s="138"/>
      <c r="O709" s="141"/>
      <c r="S709" s="94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9"/>
      <c r="L710" s="140"/>
      <c r="N710" s="138"/>
      <c r="O710" s="141"/>
      <c r="S710" s="94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9"/>
      <c r="L711" s="140"/>
      <c r="N711" s="138"/>
      <c r="O711" s="141"/>
      <c r="S711" s="94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9"/>
      <c r="L712" s="140"/>
      <c r="N712" s="138"/>
      <c r="O712" s="141"/>
      <c r="S712" s="94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9"/>
      <c r="L713" s="140"/>
      <c r="N713" s="138"/>
      <c r="O713" s="141"/>
      <c r="S713" s="94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9"/>
      <c r="L714" s="140"/>
      <c r="N714" s="138"/>
      <c r="O714" s="141"/>
      <c r="S714" s="94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9"/>
      <c r="L715" s="140"/>
      <c r="N715" s="138"/>
      <c r="O715" s="141"/>
      <c r="S715" s="94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9"/>
      <c r="L716" s="140"/>
      <c r="N716" s="138"/>
      <c r="O716" s="141"/>
      <c r="S716" s="94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9"/>
      <c r="L717" s="140"/>
      <c r="N717" s="138"/>
      <c r="O717" s="141"/>
      <c r="S717" s="94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9"/>
      <c r="L718" s="140"/>
      <c r="N718" s="138"/>
      <c r="O718" s="141"/>
      <c r="S718" s="94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9"/>
      <c r="L719" s="140"/>
      <c r="N719" s="138"/>
      <c r="O719" s="141"/>
      <c r="S719" s="94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9"/>
      <c r="L720" s="140"/>
      <c r="N720" s="138"/>
      <c r="O720" s="141"/>
      <c r="S720" s="94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9"/>
      <c r="L721" s="140"/>
      <c r="N721" s="138"/>
      <c r="O721" s="141"/>
      <c r="S721" s="94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9"/>
      <c r="L722" s="140"/>
      <c r="N722" s="138"/>
      <c r="O722" s="141"/>
      <c r="S722" s="94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9"/>
      <c r="L723" s="140"/>
      <c r="N723" s="138"/>
      <c r="O723" s="141"/>
      <c r="S723" s="94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9"/>
      <c r="L724" s="140"/>
      <c r="N724" s="138"/>
      <c r="O724" s="141"/>
      <c r="S724" s="94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9"/>
      <c r="L725" s="140"/>
      <c r="N725" s="138"/>
      <c r="O725" s="141"/>
      <c r="S725" s="94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9"/>
      <c r="L726" s="140"/>
      <c r="N726" s="138"/>
      <c r="O726" s="141"/>
      <c r="S726" s="94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9"/>
      <c r="L727" s="140"/>
      <c r="N727" s="138"/>
      <c r="O727" s="141"/>
      <c r="S727" s="94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9"/>
      <c r="L728" s="140"/>
      <c r="N728" s="138"/>
      <c r="O728" s="141"/>
      <c r="S728" s="94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9"/>
      <c r="L729" s="140"/>
      <c r="N729" s="138"/>
      <c r="O729" s="141"/>
      <c r="S729" s="94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9"/>
      <c r="L730" s="140"/>
      <c r="N730" s="138"/>
      <c r="O730" s="141"/>
      <c r="S730" s="94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9"/>
      <c r="L731" s="140"/>
      <c r="N731" s="138"/>
      <c r="O731" s="141"/>
      <c r="S731" s="94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9"/>
      <c r="L732" s="140"/>
      <c r="N732" s="138"/>
      <c r="O732" s="141"/>
      <c r="S732" s="94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9"/>
      <c r="L733" s="140"/>
      <c r="N733" s="138"/>
      <c r="O733" s="141"/>
      <c r="S733" s="94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9"/>
      <c r="L734" s="140"/>
      <c r="N734" s="138"/>
      <c r="O734" s="141"/>
      <c r="S734" s="94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9"/>
      <c r="L735" s="140"/>
      <c r="N735" s="138"/>
      <c r="O735" s="141"/>
      <c r="S735" s="94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9"/>
      <c r="L736" s="140"/>
      <c r="N736" s="138"/>
      <c r="O736" s="141"/>
      <c r="S736" s="94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L737" s="140"/>
      <c r="N737" s="138"/>
      <c r="O737" s="141"/>
      <c r="S737" s="94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9"/>
      <c r="L738" s="140"/>
      <c r="N738" s="138"/>
      <c r="O738" s="141"/>
      <c r="S738" s="94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9"/>
      <c r="L739" s="140"/>
      <c r="N739" s="138"/>
      <c r="O739" s="141"/>
      <c r="S739" s="94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9"/>
      <c r="L740" s="140"/>
      <c r="N740" s="138"/>
      <c r="O740" s="141"/>
      <c r="S740" s="94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9"/>
      <c r="L741" s="140"/>
      <c r="N741" s="138"/>
      <c r="O741" s="141"/>
      <c r="S741" s="94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9"/>
      <c r="L742" s="140"/>
      <c r="N742" s="138"/>
      <c r="O742" s="141"/>
      <c r="S742" s="94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L743" s="140"/>
      <c r="N743" s="138"/>
      <c r="O743" s="141"/>
      <c r="S743" s="94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9"/>
      <c r="L744" s="140"/>
      <c r="N744" s="138"/>
      <c r="O744" s="141"/>
      <c r="S744" s="94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9"/>
      <c r="L745" s="140"/>
      <c r="N745" s="138"/>
      <c r="O745" s="141"/>
      <c r="S745" s="94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9"/>
      <c r="L746" s="140"/>
      <c r="N746" s="138"/>
      <c r="O746" s="141"/>
      <c r="S746" s="94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9"/>
      <c r="L747" s="140"/>
      <c r="N747" s="138"/>
      <c r="O747" s="141"/>
      <c r="S747" s="94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9"/>
      <c r="L748" s="140"/>
      <c r="N748" s="138"/>
      <c r="O748" s="141"/>
      <c r="S748" s="94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9"/>
      <c r="L749" s="140"/>
      <c r="N749" s="138"/>
      <c r="O749" s="141"/>
      <c r="S749" s="94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9"/>
      <c r="L750" s="140"/>
      <c r="N750" s="138"/>
      <c r="O750" s="141"/>
      <c r="S750" s="94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9"/>
      <c r="L751" s="140"/>
      <c r="N751" s="138"/>
      <c r="O751" s="141"/>
      <c r="S751" s="94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9"/>
      <c r="L752" s="140"/>
      <c r="N752" s="138"/>
      <c r="O752" s="141"/>
      <c r="S752" s="94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9"/>
      <c r="L753" s="140"/>
      <c r="N753" s="138"/>
      <c r="O753" s="141"/>
      <c r="S753" s="94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9"/>
      <c r="L754" s="140"/>
      <c r="N754" s="138"/>
      <c r="O754" s="141"/>
      <c r="S754" s="94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9"/>
      <c r="L755" s="140"/>
      <c r="N755" s="138"/>
      <c r="O755" s="141"/>
      <c r="S755" s="94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9"/>
      <c r="L756" s="140"/>
      <c r="N756" s="138"/>
      <c r="O756" s="141"/>
      <c r="S756" s="94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9"/>
      <c r="L757" s="140"/>
      <c r="N757" s="138"/>
      <c r="O757" s="141"/>
      <c r="S757" s="94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9"/>
      <c r="L758" s="140"/>
      <c r="N758" s="138"/>
      <c r="O758" s="141"/>
      <c r="S758" s="94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9"/>
      <c r="L759" s="140"/>
      <c r="N759" s="138"/>
      <c r="O759" s="141"/>
      <c r="S759" s="94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9"/>
      <c r="L760" s="140"/>
      <c r="N760" s="138"/>
      <c r="O760" s="141"/>
      <c r="S760" s="94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9"/>
      <c r="L761" s="140"/>
      <c r="N761" s="138"/>
      <c r="O761" s="141"/>
      <c r="S761" s="94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9"/>
      <c r="L762" s="140"/>
      <c r="N762" s="138"/>
      <c r="O762" s="141"/>
      <c r="S762" s="94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9"/>
      <c r="L763" s="140"/>
      <c r="N763" s="138"/>
      <c r="O763" s="141"/>
      <c r="S763" s="94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9"/>
      <c r="L764" s="140"/>
      <c r="N764" s="138"/>
      <c r="O764" s="141"/>
      <c r="S764" s="94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9"/>
      <c r="L765" s="140"/>
      <c r="N765" s="138"/>
      <c r="O765" s="141"/>
      <c r="S765" s="94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9"/>
      <c r="L766" s="140"/>
      <c r="N766" s="138"/>
      <c r="O766" s="141"/>
      <c r="S766" s="94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9"/>
      <c r="L767" s="140"/>
      <c r="N767" s="138"/>
      <c r="O767" s="141"/>
      <c r="S767" s="94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9"/>
      <c r="L768" s="140"/>
      <c r="N768" s="138"/>
      <c r="O768" s="141"/>
      <c r="S768" s="94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9"/>
      <c r="L769" s="140"/>
      <c r="N769" s="138"/>
      <c r="O769" s="141"/>
      <c r="S769" s="94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9"/>
      <c r="L770" s="140"/>
      <c r="N770" s="138"/>
      <c r="O770" s="141"/>
      <c r="S770" s="94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9"/>
      <c r="L771" s="140"/>
      <c r="N771" s="138"/>
      <c r="O771" s="141"/>
      <c r="S771" s="94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9"/>
      <c r="L772" s="140"/>
      <c r="N772" s="138"/>
      <c r="O772" s="141"/>
      <c r="S772" s="94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9"/>
      <c r="L773" s="140"/>
      <c r="N773" s="138"/>
      <c r="O773" s="141"/>
      <c r="S773" s="94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L774" s="140"/>
      <c r="N774" s="138"/>
      <c r="O774" s="141"/>
      <c r="S774" s="94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9"/>
      <c r="L775" s="140"/>
      <c r="N775" s="138"/>
      <c r="O775" s="141"/>
      <c r="S775" s="94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9"/>
      <c r="L776" s="140"/>
      <c r="N776" s="138"/>
      <c r="O776" s="141"/>
      <c r="S776" s="94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9"/>
      <c r="L777" s="140"/>
      <c r="N777" s="138"/>
      <c r="O777" s="141"/>
      <c r="S777" s="94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9"/>
      <c r="L778" s="140"/>
      <c r="N778" s="138"/>
      <c r="O778" s="141"/>
      <c r="S778" s="94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9"/>
      <c r="L779" s="140"/>
      <c r="N779" s="138"/>
      <c r="O779" s="141"/>
      <c r="S779" s="94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L780" s="140"/>
      <c r="N780" s="138"/>
      <c r="O780" s="141"/>
      <c r="S780" s="94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9"/>
      <c r="L781" s="140"/>
      <c r="N781" s="138"/>
      <c r="O781" s="141"/>
      <c r="S781" s="94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9"/>
      <c r="L782" s="140"/>
      <c r="N782" s="138"/>
      <c r="O782" s="141"/>
      <c r="S782" s="94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9"/>
      <c r="L783" s="140"/>
      <c r="N783" s="138"/>
      <c r="O783" s="141"/>
      <c r="S783" s="94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9"/>
      <c r="L784" s="140"/>
      <c r="N784" s="138"/>
      <c r="O784" s="141"/>
      <c r="S784" s="94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9"/>
      <c r="L785" s="140"/>
      <c r="N785" s="138"/>
      <c r="O785" s="141"/>
      <c r="S785" s="94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9"/>
      <c r="L786" s="140"/>
      <c r="N786" s="138"/>
      <c r="O786" s="141"/>
      <c r="S786" s="94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9"/>
      <c r="L787" s="140"/>
      <c r="N787" s="138"/>
      <c r="O787" s="141"/>
      <c r="S787" s="94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9"/>
      <c r="L788" s="140"/>
      <c r="N788" s="138"/>
      <c r="O788" s="141"/>
      <c r="S788" s="94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9"/>
      <c r="L789" s="140"/>
      <c r="N789" s="138"/>
      <c r="O789" s="141"/>
      <c r="S789" s="94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9"/>
      <c r="L790" s="140"/>
      <c r="N790" s="138"/>
      <c r="O790" s="141"/>
      <c r="S790" s="94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9"/>
      <c r="L791" s="140"/>
      <c r="N791" s="138"/>
      <c r="O791" s="141"/>
      <c r="S791" s="94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9"/>
      <c r="L792" s="140"/>
      <c r="N792" s="138"/>
      <c r="O792" s="141"/>
      <c r="S792" s="94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9"/>
      <c r="L793" s="140"/>
      <c r="N793" s="138"/>
      <c r="O793" s="141"/>
      <c r="S793" s="94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9"/>
      <c r="L794" s="140"/>
      <c r="N794" s="138"/>
      <c r="O794" s="141"/>
      <c r="S794" s="94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9"/>
      <c r="L795" s="140"/>
      <c r="N795" s="138"/>
      <c r="O795" s="141"/>
      <c r="S795" s="94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9"/>
      <c r="L796" s="140"/>
      <c r="N796" s="138"/>
      <c r="O796" s="141"/>
      <c r="S796" s="94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9"/>
      <c r="L797" s="140"/>
      <c r="N797" s="138"/>
      <c r="O797" s="141"/>
      <c r="S797" s="94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9"/>
      <c r="L798" s="140"/>
      <c r="N798" s="138"/>
      <c r="O798" s="141"/>
      <c r="S798" s="94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9"/>
      <c r="L799" s="140"/>
      <c r="N799" s="138"/>
      <c r="O799" s="141"/>
      <c r="S799" s="94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9"/>
      <c r="L800" s="140"/>
      <c r="N800" s="138"/>
      <c r="O800" s="141"/>
      <c r="S800" s="94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9"/>
      <c r="L801" s="140"/>
      <c r="N801" s="138"/>
      <c r="O801" s="141"/>
      <c r="S801" s="94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9"/>
      <c r="L802" s="140"/>
      <c r="N802" s="138"/>
      <c r="O802" s="141"/>
      <c r="S802" s="94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9"/>
      <c r="L803" s="140"/>
      <c r="N803" s="138"/>
      <c r="O803" s="141"/>
      <c r="S803" s="94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9"/>
      <c r="L804" s="140"/>
      <c r="N804" s="138"/>
      <c r="O804" s="141"/>
      <c r="S804" s="94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9"/>
      <c r="L805" s="140"/>
      <c r="N805" s="138"/>
      <c r="O805" s="141"/>
      <c r="S805" s="94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9"/>
      <c r="L806" s="140"/>
      <c r="N806" s="138"/>
      <c r="O806" s="141"/>
      <c r="S806" s="94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9"/>
      <c r="L807" s="140"/>
      <c r="N807" s="138"/>
      <c r="O807" s="141"/>
      <c r="S807" s="94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9"/>
      <c r="L808" s="140"/>
      <c r="N808" s="138"/>
      <c r="O808" s="141"/>
      <c r="S808" s="94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9"/>
      <c r="L809" s="140"/>
      <c r="N809" s="138"/>
      <c r="O809" s="141"/>
      <c r="S809" s="94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9"/>
      <c r="L810" s="140"/>
      <c r="N810" s="138"/>
      <c r="O810" s="141"/>
      <c r="S810" s="94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L811" s="140"/>
      <c r="N811" s="138"/>
      <c r="O811" s="141"/>
      <c r="S811" s="94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9"/>
      <c r="L812" s="140"/>
      <c r="N812" s="138"/>
      <c r="O812" s="141"/>
      <c r="S812" s="94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9"/>
      <c r="L813" s="140"/>
      <c r="N813" s="138"/>
      <c r="O813" s="141"/>
      <c r="S813" s="94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9"/>
      <c r="L814" s="140"/>
      <c r="N814" s="138"/>
      <c r="O814" s="141"/>
      <c r="S814" s="94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9"/>
      <c r="L815" s="140"/>
      <c r="N815" s="138"/>
      <c r="O815" s="141"/>
      <c r="S815" s="94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9"/>
      <c r="L816" s="140"/>
      <c r="N816" s="138"/>
      <c r="O816" s="141"/>
      <c r="S816" s="94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L817" s="140"/>
      <c r="N817" s="138"/>
      <c r="O817" s="141"/>
      <c r="S817" s="94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9"/>
      <c r="L818" s="140"/>
      <c r="N818" s="138"/>
      <c r="O818" s="141"/>
      <c r="S818" s="94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9"/>
      <c r="L819" s="140"/>
      <c r="N819" s="138"/>
      <c r="O819" s="141"/>
      <c r="S819" s="94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9"/>
      <c r="L820" s="140"/>
      <c r="N820" s="138"/>
      <c r="O820" s="141"/>
      <c r="S820" s="94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9"/>
      <c r="L821" s="140"/>
      <c r="N821" s="138"/>
      <c r="O821" s="141"/>
      <c r="S821" s="94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9"/>
      <c r="L822" s="140"/>
      <c r="N822" s="138"/>
      <c r="O822" s="141"/>
      <c r="S822" s="94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9"/>
      <c r="L823" s="140"/>
      <c r="N823" s="138"/>
      <c r="O823" s="141"/>
      <c r="S823" s="94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9"/>
      <c r="L824" s="140"/>
      <c r="N824" s="138"/>
      <c r="O824" s="141"/>
      <c r="S824" s="94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9"/>
      <c r="L825" s="140"/>
      <c r="N825" s="138"/>
      <c r="O825" s="141"/>
      <c r="S825" s="94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9"/>
      <c r="L826" s="140"/>
      <c r="N826" s="138"/>
      <c r="O826" s="141"/>
      <c r="S826" s="94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9"/>
      <c r="L827" s="140"/>
      <c r="N827" s="138"/>
      <c r="O827" s="141"/>
      <c r="S827" s="94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9"/>
      <c r="L828" s="140"/>
      <c r="N828" s="138"/>
      <c r="O828" s="141"/>
      <c r="S828" s="94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9"/>
      <c r="L829" s="140"/>
      <c r="N829" s="138"/>
      <c r="O829" s="141"/>
      <c r="S829" s="94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9"/>
      <c r="L830" s="140"/>
      <c r="N830" s="138"/>
      <c r="O830" s="141"/>
      <c r="S830" s="94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9"/>
      <c r="L831" s="140"/>
      <c r="N831" s="138"/>
      <c r="O831" s="141"/>
      <c r="S831" s="94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9"/>
      <c r="L832" s="140"/>
      <c r="N832" s="138"/>
      <c r="O832" s="141"/>
      <c r="S832" s="94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9"/>
      <c r="L833" s="140"/>
      <c r="N833" s="138"/>
      <c r="O833" s="141"/>
      <c r="S833" s="94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9"/>
      <c r="L834" s="140"/>
      <c r="N834" s="138"/>
      <c r="O834" s="141"/>
      <c r="S834" s="94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9"/>
      <c r="L835" s="140"/>
      <c r="N835" s="138"/>
      <c r="O835" s="141"/>
      <c r="S835" s="94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9"/>
      <c r="L836" s="140"/>
      <c r="N836" s="138"/>
      <c r="O836" s="141"/>
      <c r="S836" s="94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9"/>
      <c r="L837" s="140"/>
      <c r="N837" s="138"/>
      <c r="O837" s="141"/>
      <c r="S837" s="94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9"/>
      <c r="L838" s="140"/>
      <c r="N838" s="138"/>
      <c r="O838" s="141"/>
      <c r="S838" s="94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9"/>
      <c r="L839" s="140"/>
      <c r="N839" s="138"/>
      <c r="O839" s="141"/>
      <c r="S839" s="94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9"/>
      <c r="L840" s="140"/>
      <c r="N840" s="138"/>
      <c r="O840" s="141"/>
      <c r="S840" s="94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9"/>
      <c r="L841" s="140"/>
      <c r="N841" s="138"/>
      <c r="O841" s="141"/>
      <c r="S841" s="94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9"/>
      <c r="L842" s="140"/>
      <c r="N842" s="138"/>
      <c r="O842" s="141"/>
      <c r="S842" s="94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9"/>
      <c r="L843" s="140"/>
      <c r="N843" s="138"/>
      <c r="O843" s="141"/>
      <c r="S843" s="94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9"/>
      <c r="L844" s="140"/>
      <c r="N844" s="138"/>
      <c r="O844" s="141"/>
      <c r="S844" s="94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9"/>
      <c r="L845" s="140"/>
      <c r="N845" s="138"/>
      <c r="O845" s="141"/>
      <c r="S845" s="94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9"/>
      <c r="L846" s="140"/>
      <c r="N846" s="138"/>
      <c r="O846" s="141"/>
      <c r="S846" s="94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9"/>
      <c r="L847" s="140"/>
      <c r="N847" s="138"/>
      <c r="O847" s="141"/>
      <c r="S847" s="94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9"/>
      <c r="L848" s="140"/>
      <c r="N848" s="138"/>
      <c r="O848" s="141"/>
      <c r="S848" s="94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9"/>
      <c r="L849" s="140"/>
      <c r="N849" s="138"/>
      <c r="O849" s="141"/>
      <c r="S849" s="94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9"/>
      <c r="L850" s="140"/>
      <c r="N850" s="138"/>
      <c r="O850" s="141"/>
      <c r="S850" s="94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9"/>
      <c r="L851" s="140"/>
      <c r="N851" s="138"/>
      <c r="O851" s="141"/>
      <c r="S851" s="94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9"/>
      <c r="L852" s="140"/>
      <c r="N852" s="138"/>
      <c r="O852" s="141"/>
      <c r="S852" s="94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9"/>
      <c r="L853" s="140"/>
      <c r="N853" s="138"/>
      <c r="O853" s="141"/>
      <c r="S853" s="94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9"/>
      <c r="L854" s="140"/>
      <c r="N854" s="138"/>
      <c r="O854" s="141"/>
      <c r="S854" s="94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9"/>
      <c r="L855" s="140"/>
      <c r="N855" s="138"/>
      <c r="O855" s="141"/>
      <c r="S855" s="94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9"/>
      <c r="L856" s="140"/>
      <c r="N856" s="138"/>
      <c r="O856" s="141"/>
      <c r="S856" s="94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9"/>
      <c r="L857" s="140"/>
      <c r="N857" s="138"/>
      <c r="O857" s="141"/>
      <c r="S857" s="94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9"/>
      <c r="L858" s="140"/>
      <c r="N858" s="138"/>
      <c r="O858" s="141"/>
      <c r="S858" s="94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9"/>
      <c r="L859" s="140"/>
      <c r="N859" s="138"/>
      <c r="O859" s="141"/>
      <c r="S859" s="94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9"/>
      <c r="L860" s="140"/>
      <c r="N860" s="138"/>
      <c r="O860" s="141"/>
      <c r="S860" s="94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9"/>
      <c r="L861" s="140"/>
      <c r="N861" s="138"/>
      <c r="O861" s="141"/>
      <c r="S861" s="94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9"/>
      <c r="L862" s="140"/>
      <c r="N862" s="138"/>
      <c r="O862" s="141"/>
      <c r="S862" s="94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9"/>
      <c r="L863" s="140"/>
      <c r="N863" s="138"/>
      <c r="O863" s="141"/>
      <c r="S863" s="94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9"/>
      <c r="L864" s="140"/>
      <c r="N864" s="138"/>
      <c r="O864" s="141"/>
      <c r="S864" s="94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9"/>
      <c r="L865" s="140"/>
      <c r="N865" s="138"/>
      <c r="O865" s="141"/>
      <c r="S865" s="94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9"/>
      <c r="L866" s="140"/>
      <c r="N866" s="138"/>
      <c r="O866" s="141"/>
      <c r="S866" s="94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9"/>
      <c r="L867" s="140"/>
      <c r="N867" s="138"/>
      <c r="O867" s="141"/>
      <c r="S867" s="94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9"/>
      <c r="L868" s="140"/>
      <c r="N868" s="138"/>
      <c r="O868" s="141"/>
      <c r="S868" s="94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9"/>
      <c r="L869" s="140"/>
      <c r="N869" s="138"/>
      <c r="O869" s="141"/>
      <c r="S869" s="94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9"/>
      <c r="L870" s="140"/>
      <c r="N870" s="138"/>
      <c r="O870" s="141"/>
      <c r="S870" s="94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9"/>
      <c r="L871" s="140"/>
      <c r="N871" s="138"/>
      <c r="O871" s="141"/>
      <c r="S871" s="94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9"/>
      <c r="L872" s="140"/>
      <c r="N872" s="138"/>
      <c r="O872" s="141"/>
      <c r="S872" s="94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9"/>
      <c r="L873" s="140"/>
      <c r="N873" s="138"/>
      <c r="O873" s="141"/>
      <c r="S873" s="94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9"/>
      <c r="L874" s="140"/>
      <c r="N874" s="138"/>
      <c r="O874" s="141"/>
      <c r="S874" s="94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9"/>
      <c r="L875" s="140"/>
      <c r="N875" s="138"/>
      <c r="O875" s="141"/>
      <c r="S875" s="94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9"/>
      <c r="L876" s="140"/>
      <c r="N876" s="138"/>
      <c r="O876" s="141"/>
      <c r="S876" s="94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9"/>
      <c r="L877" s="140"/>
      <c r="N877" s="138"/>
      <c r="O877" s="141"/>
      <c r="S877" s="94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9"/>
      <c r="L878" s="140"/>
      <c r="N878" s="138"/>
      <c r="O878" s="141"/>
      <c r="S878" s="94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9"/>
      <c r="L879" s="140"/>
      <c r="N879" s="138"/>
      <c r="O879" s="141"/>
      <c r="S879" s="94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9"/>
      <c r="L880" s="140"/>
      <c r="N880" s="138"/>
      <c r="O880" s="141"/>
      <c r="S880" s="94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9"/>
      <c r="L881" s="140"/>
      <c r="N881" s="138"/>
      <c r="O881" s="141"/>
      <c r="S881" s="94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9"/>
      <c r="L882" s="140"/>
      <c r="N882" s="138"/>
      <c r="O882" s="141"/>
      <c r="S882" s="94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9"/>
      <c r="L883" s="140"/>
      <c r="N883" s="138"/>
      <c r="O883" s="141"/>
      <c r="S883" s="94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9"/>
      <c r="L884" s="140"/>
      <c r="N884" s="138"/>
      <c r="O884" s="141"/>
      <c r="S884" s="94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9"/>
      <c r="L885" s="140"/>
      <c r="N885" s="138"/>
      <c r="O885" s="141"/>
      <c r="S885" s="94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9"/>
      <c r="L886" s="140"/>
      <c r="N886" s="138"/>
      <c r="O886" s="141"/>
      <c r="S886" s="94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9"/>
      <c r="L887" s="140"/>
      <c r="N887" s="138"/>
      <c r="O887" s="141"/>
      <c r="S887" s="94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9"/>
      <c r="L888" s="140"/>
      <c r="N888" s="138"/>
      <c r="O888" s="141"/>
      <c r="S888" s="94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9"/>
      <c r="L889" s="140"/>
      <c r="N889" s="138"/>
      <c r="O889" s="141"/>
      <c r="S889" s="94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9"/>
      <c r="L890" s="140"/>
      <c r="N890" s="138"/>
      <c r="O890" s="141"/>
      <c r="S890" s="94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9"/>
      <c r="L891" s="140"/>
      <c r="N891" s="138"/>
      <c r="O891" s="141"/>
      <c r="S891" s="94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9"/>
      <c r="L892" s="140"/>
      <c r="N892" s="138"/>
      <c r="O892" s="141"/>
      <c r="S892" s="94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9"/>
      <c r="L893" s="140"/>
      <c r="N893" s="138"/>
      <c r="O893" s="141"/>
      <c r="S893" s="94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9"/>
      <c r="L894" s="140"/>
      <c r="N894" s="138"/>
      <c r="O894" s="141"/>
      <c r="S894" s="94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9"/>
      <c r="L895" s="140"/>
      <c r="N895" s="138"/>
      <c r="O895" s="141"/>
      <c r="S895" s="94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9"/>
      <c r="L896" s="140"/>
      <c r="N896" s="138"/>
      <c r="O896" s="141"/>
      <c r="S896" s="94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9"/>
      <c r="L897" s="140"/>
      <c r="N897" s="138"/>
      <c r="O897" s="141"/>
      <c r="S897" s="94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9"/>
      <c r="L898" s="140"/>
      <c r="N898" s="138"/>
      <c r="O898" s="141"/>
      <c r="S898" s="94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9"/>
      <c r="L899" s="140"/>
      <c r="N899" s="138"/>
      <c r="O899" s="141"/>
      <c r="S899" s="94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9"/>
      <c r="L900" s="140"/>
      <c r="N900" s="138"/>
      <c r="O900" s="141"/>
      <c r="S900" s="94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9"/>
      <c r="L901" s="140"/>
      <c r="N901" s="138"/>
      <c r="O901" s="141"/>
      <c r="S901" s="94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9"/>
      <c r="L902" s="140"/>
      <c r="N902" s="138"/>
      <c r="O902" s="141"/>
      <c r="S902" s="94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9"/>
      <c r="L903" s="140"/>
      <c r="N903" s="138"/>
      <c r="O903" s="141"/>
      <c r="S903" s="94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9"/>
      <c r="L904" s="140"/>
      <c r="N904" s="138"/>
      <c r="O904" s="141"/>
      <c r="S904" s="94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9"/>
      <c r="L905" s="140"/>
      <c r="N905" s="138"/>
      <c r="O905" s="141"/>
      <c r="S905" s="94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9"/>
      <c r="L906" s="140"/>
      <c r="N906" s="138"/>
      <c r="O906" s="141"/>
      <c r="S906" s="94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9"/>
      <c r="L907" s="140"/>
      <c r="N907" s="138"/>
      <c r="O907" s="141"/>
      <c r="S907" s="94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9"/>
      <c r="L908" s="140"/>
      <c r="N908" s="138"/>
      <c r="O908" s="141"/>
      <c r="S908" s="94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9"/>
      <c r="L909" s="140"/>
      <c r="N909" s="138"/>
      <c r="O909" s="141"/>
      <c r="S909" s="94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9"/>
      <c r="L910" s="140"/>
      <c r="N910" s="138"/>
      <c r="O910" s="141"/>
      <c r="S910" s="94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9"/>
      <c r="L911" s="140"/>
      <c r="N911" s="138"/>
      <c r="O911" s="141"/>
      <c r="S911" s="94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9"/>
      <c r="L912" s="140"/>
      <c r="N912" s="138"/>
      <c r="O912" s="141"/>
      <c r="S912" s="94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9"/>
      <c r="L913" s="140"/>
      <c r="N913" s="138"/>
      <c r="O913" s="141"/>
      <c r="S913" s="94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9"/>
      <c r="L914" s="140"/>
      <c r="N914" s="138"/>
      <c r="O914" s="141"/>
      <c r="S914" s="94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9"/>
      <c r="L915" s="140"/>
      <c r="N915" s="138"/>
      <c r="O915" s="141"/>
      <c r="S915" s="94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9"/>
      <c r="L916" s="140"/>
      <c r="N916" s="138"/>
      <c r="O916" s="141"/>
      <c r="S916" s="94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9"/>
      <c r="L917" s="140"/>
      <c r="N917" s="138"/>
      <c r="O917" s="141"/>
      <c r="S917" s="94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9"/>
      <c r="L918" s="140"/>
      <c r="N918" s="138"/>
      <c r="O918" s="141"/>
      <c r="S918" s="94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9"/>
      <c r="L919" s="140"/>
      <c r="N919" s="138"/>
      <c r="O919" s="141"/>
      <c r="S919" s="94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9"/>
      <c r="L920" s="140"/>
      <c r="N920" s="138"/>
      <c r="O920" s="141"/>
      <c r="S920" s="94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9"/>
      <c r="L921" s="140"/>
      <c r="N921" s="138"/>
      <c r="O921" s="141"/>
      <c r="S921" s="94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9"/>
      <c r="L922" s="140"/>
      <c r="N922" s="138"/>
      <c r="O922" s="141"/>
      <c r="S922" s="94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9"/>
      <c r="L923" s="140"/>
      <c r="N923" s="138"/>
      <c r="O923" s="141"/>
      <c r="S923" s="94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9"/>
      <c r="L924" s="140"/>
      <c r="N924" s="138"/>
      <c r="O924" s="141"/>
      <c r="S924" s="94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9"/>
      <c r="L925" s="140"/>
      <c r="N925" s="138"/>
      <c r="O925" s="141"/>
      <c r="S925" s="94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9"/>
      <c r="L926" s="140"/>
      <c r="N926" s="138"/>
      <c r="O926" s="141"/>
      <c r="S926" s="94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9"/>
      <c r="L927" s="140"/>
      <c r="N927" s="138"/>
      <c r="O927" s="141"/>
      <c r="S927" s="94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9"/>
      <c r="L928" s="140"/>
      <c r="N928" s="138"/>
      <c r="O928" s="141"/>
      <c r="S928" s="94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9"/>
      <c r="L929" s="140"/>
      <c r="N929" s="138"/>
      <c r="O929" s="141"/>
      <c r="S929" s="94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9"/>
      <c r="L930" s="140"/>
      <c r="N930" s="138"/>
      <c r="O930" s="141"/>
      <c r="S930" s="94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9"/>
      <c r="L931" s="140"/>
      <c r="N931" s="138"/>
      <c r="O931" s="141"/>
      <c r="S931" s="94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9"/>
      <c r="L932" s="140"/>
      <c r="N932" s="138"/>
      <c r="O932" s="141"/>
      <c r="S932" s="94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9"/>
      <c r="L933" s="140"/>
      <c r="N933" s="138"/>
      <c r="O933" s="141"/>
      <c r="S933" s="94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9"/>
      <c r="L934" s="140"/>
      <c r="N934" s="138"/>
      <c r="O934" s="141"/>
      <c r="S934" s="94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9"/>
      <c r="L935" s="140"/>
      <c r="N935" s="138"/>
      <c r="O935" s="141"/>
      <c r="S935" s="94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9"/>
      <c r="L936" s="140"/>
      <c r="N936" s="138"/>
      <c r="O936" s="141"/>
      <c r="S936" s="94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9"/>
      <c r="L937" s="140"/>
      <c r="N937" s="138"/>
      <c r="O937" s="141"/>
      <c r="S937" s="94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9"/>
      <c r="L938" s="140"/>
      <c r="N938" s="138"/>
      <c r="O938" s="141"/>
      <c r="S938" s="94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9"/>
      <c r="L939" s="140"/>
      <c r="N939" s="138"/>
      <c r="O939" s="141"/>
      <c r="S939" s="94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9"/>
      <c r="L940" s="140"/>
      <c r="N940" s="138"/>
      <c r="O940" s="141"/>
      <c r="S940" s="94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9"/>
      <c r="L941" s="140"/>
      <c r="N941" s="138"/>
      <c r="O941" s="141"/>
      <c r="S941" s="94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9"/>
      <c r="L942" s="140"/>
      <c r="N942" s="138"/>
      <c r="O942" s="141"/>
      <c r="S942" s="94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9"/>
      <c r="L943" s="140"/>
      <c r="N943" s="138"/>
      <c r="O943" s="141"/>
      <c r="S943" s="94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9"/>
      <c r="L944" s="140"/>
      <c r="N944" s="138"/>
      <c r="O944" s="141"/>
      <c r="S944" s="94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9"/>
      <c r="L945" s="140"/>
      <c r="N945" s="138"/>
      <c r="O945" s="141"/>
      <c r="S945" s="94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9"/>
      <c r="L946" s="140"/>
      <c r="N946" s="138"/>
      <c r="O946" s="141"/>
      <c r="S946" s="94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9"/>
      <c r="L947" s="140"/>
      <c r="N947" s="138"/>
      <c r="O947" s="141"/>
      <c r="S947" s="94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9"/>
      <c r="L948" s="140"/>
      <c r="N948" s="138"/>
      <c r="O948" s="141"/>
      <c r="S948" s="94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9"/>
      <c r="L949" s="140"/>
      <c r="N949" s="138"/>
      <c r="O949" s="141"/>
      <c r="S949" s="94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9"/>
      <c r="L950" s="140"/>
      <c r="N950" s="138"/>
      <c r="O950" s="141"/>
      <c r="S950" s="94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9"/>
      <c r="L951" s="140"/>
      <c r="N951" s="138"/>
      <c r="O951" s="141"/>
      <c r="S951" s="94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9"/>
      <c r="L952" s="140"/>
      <c r="N952" s="138"/>
      <c r="O952" s="141"/>
      <c r="S952" s="94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9"/>
      <c r="L953" s="140"/>
      <c r="N953" s="138"/>
      <c r="O953" s="141"/>
      <c r="S953" s="94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9"/>
      <c r="L954" s="140"/>
      <c r="N954" s="138"/>
      <c r="O954" s="141"/>
      <c r="S954" s="94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9"/>
      <c r="L955" s="140"/>
      <c r="N955" s="138"/>
      <c r="O955" s="141"/>
      <c r="S955" s="94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9"/>
      <c r="L956" s="140"/>
      <c r="N956" s="138"/>
      <c r="O956" s="141"/>
      <c r="S956" s="94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9"/>
      <c r="L957" s="140"/>
      <c r="N957" s="138"/>
      <c r="O957" s="141"/>
      <c r="S957" s="94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9"/>
      <c r="L958" s="140"/>
      <c r="N958" s="138"/>
      <c r="O958" s="141"/>
      <c r="S958" s="94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9"/>
      <c r="L959" s="140"/>
      <c r="N959" s="138"/>
      <c r="O959" s="141"/>
      <c r="S959" s="94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9"/>
      <c r="L960" s="140"/>
      <c r="N960" s="138"/>
      <c r="O960" s="141"/>
      <c r="S960" s="94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9"/>
      <c r="L961" s="140"/>
      <c r="N961" s="138"/>
      <c r="O961" s="141"/>
      <c r="S961" s="94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9"/>
      <c r="L962" s="140"/>
      <c r="N962" s="138"/>
      <c r="O962" s="141"/>
      <c r="S962" s="94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9"/>
      <c r="L963" s="140"/>
      <c r="N963" s="138"/>
      <c r="O963" s="141"/>
      <c r="S963" s="94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9"/>
      <c r="L964" s="140"/>
      <c r="N964" s="138"/>
      <c r="O964" s="141"/>
      <c r="S964" s="94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9"/>
      <c r="L965" s="140"/>
      <c r="N965" s="138"/>
      <c r="O965" s="141"/>
      <c r="S965" s="94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9"/>
      <c r="L966" s="140"/>
      <c r="N966" s="138"/>
      <c r="O966" s="141"/>
      <c r="S966" s="94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9"/>
      <c r="L967" s="140"/>
      <c r="N967" s="138"/>
      <c r="O967" s="141"/>
      <c r="S967" s="94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9"/>
      <c r="L968" s="140"/>
      <c r="N968" s="138"/>
      <c r="O968" s="141"/>
      <c r="S968" s="94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9"/>
      <c r="L969" s="140"/>
      <c r="N969" s="138"/>
      <c r="O969" s="141"/>
      <c r="S969" s="94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9"/>
      <c r="L970" s="140"/>
      <c r="N970" s="138"/>
      <c r="O970" s="141"/>
      <c r="S970" s="94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9"/>
      <c r="L971" s="140"/>
      <c r="N971" s="138"/>
      <c r="O971" s="141"/>
      <c r="S971" s="94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9"/>
      <c r="L972" s="140"/>
      <c r="N972" s="138"/>
      <c r="O972" s="141"/>
      <c r="S972" s="94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9"/>
      <c r="L973" s="140"/>
      <c r="N973" s="138"/>
      <c r="O973" s="141"/>
      <c r="S973" s="94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9"/>
      <c r="L974" s="140"/>
      <c r="N974" s="138"/>
      <c r="O974" s="141"/>
      <c r="S974" s="94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9"/>
      <c r="L975" s="140"/>
      <c r="N975" s="138"/>
      <c r="O975" s="141"/>
      <c r="S975" s="94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9"/>
      <c r="L976" s="140"/>
      <c r="N976" s="138"/>
      <c r="O976" s="141"/>
      <c r="S976" s="94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9"/>
      <c r="L977" s="140"/>
      <c r="N977" s="138"/>
      <c r="O977" s="141"/>
      <c r="S977" s="94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9"/>
      <c r="L978" s="140"/>
      <c r="N978" s="138"/>
      <c r="O978" s="141"/>
      <c r="S978" s="94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9"/>
      <c r="L979" s="140"/>
      <c r="N979" s="138"/>
      <c r="O979" s="141"/>
      <c r="S979" s="94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9"/>
      <c r="L980" s="140"/>
      <c r="N980" s="138"/>
      <c r="O980" s="141"/>
      <c r="S980" s="94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9"/>
      <c r="L981" s="140"/>
      <c r="N981" s="138"/>
      <c r="O981" s="141"/>
      <c r="S981" s="94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9"/>
      <c r="L982" s="140"/>
      <c r="N982" s="138"/>
      <c r="O982" s="141"/>
      <c r="S982" s="94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9"/>
      <c r="L983" s="140"/>
      <c r="N983" s="138"/>
      <c r="O983" s="141"/>
      <c r="S983" s="94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9"/>
      <c r="L984" s="140"/>
      <c r="N984" s="138"/>
      <c r="O984" s="141"/>
      <c r="S984" s="94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9"/>
      <c r="L985" s="140"/>
      <c r="N985" s="138"/>
      <c r="O985" s="141"/>
      <c r="S985" s="94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9"/>
      <c r="L986" s="140"/>
      <c r="N986" s="138"/>
      <c r="O986" s="141"/>
      <c r="S986" s="94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9"/>
      <c r="L987" s="140"/>
      <c r="N987" s="138"/>
      <c r="O987" s="141"/>
      <c r="S987" s="94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9"/>
      <c r="L988" s="140"/>
      <c r="N988" s="138"/>
      <c r="O988" s="141"/>
      <c r="S988" s="94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9"/>
      <c r="L989" s="140"/>
      <c r="N989" s="138"/>
      <c r="O989" s="141"/>
      <c r="S989" s="94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9"/>
      <c r="L990" s="140"/>
      <c r="N990" s="138"/>
      <c r="O990" s="141"/>
      <c r="S990" s="94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9"/>
      <c r="L991" s="140"/>
      <c r="N991" s="138"/>
      <c r="O991" s="141"/>
      <c r="S991" s="94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9"/>
      <c r="L992" s="140"/>
      <c r="N992" s="138"/>
      <c r="O992" s="141"/>
      <c r="S992" s="94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9"/>
      <c r="L993" s="140"/>
      <c r="N993" s="138"/>
      <c r="O993" s="141"/>
      <c r="S993" s="94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9"/>
      <c r="L994" s="140"/>
      <c r="N994" s="138"/>
      <c r="O994" s="141"/>
      <c r="S994" s="94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9"/>
      <c r="L995" s="140"/>
      <c r="N995" s="138"/>
      <c r="O995" s="141"/>
      <c r="S995" s="94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9"/>
      <c r="L996" s="140"/>
      <c r="N996" s="138"/>
      <c r="O996" s="141"/>
      <c r="S996" s="94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9"/>
      <c r="L997" s="140"/>
      <c r="N997" s="138"/>
      <c r="O997" s="141"/>
      <c r="S997" s="94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9"/>
      <c r="L998" s="140"/>
      <c r="N998" s="138"/>
      <c r="O998" s="141"/>
      <c r="S998" s="94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9"/>
      <c r="L999" s="140"/>
      <c r="N999" s="138"/>
      <c r="O999" s="141"/>
      <c r="S999" s="94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9"/>
      <c r="L1000" s="140"/>
      <c r="N1000" s="138"/>
      <c r="O1000" s="141"/>
      <c r="S1000" s="94"/>
    </row>
    <row r="100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9"/>
      <c r="L1001" s="140"/>
      <c r="N1001" s="138"/>
      <c r="O1001" s="141"/>
      <c r="S1001" s="94"/>
    </row>
  </sheetData>
  <mergeCells count="9">
    <mergeCell ref="R54:S54"/>
    <mergeCell ref="R70:S70"/>
    <mergeCell ref="B1:D1"/>
    <mergeCell ref="E1:G1"/>
    <mergeCell ref="H1:J1"/>
    <mergeCell ref="K1:M1"/>
    <mergeCell ref="N1:P1"/>
    <mergeCell ref="R5:S5"/>
    <mergeCell ref="R6:S6"/>
  </mergeCells>
  <conditionalFormatting sqref="D3:D103">
    <cfRule type="cellIs" dxfId="6" priority="1" operator="lessThan">
      <formula>C3:C102</formula>
    </cfRule>
  </conditionalFormatting>
  <conditionalFormatting sqref="D3:D103">
    <cfRule type="cellIs" dxfId="4" priority="2" operator="greaterThan">
      <formula>C3:C102</formula>
    </cfRule>
  </conditionalFormatting>
  <conditionalFormatting sqref="G3:G103">
    <cfRule type="cellIs" dxfId="4" priority="3" operator="greaterThan">
      <formula>0</formula>
    </cfRule>
  </conditionalFormatting>
  <conditionalFormatting sqref="G3:G103">
    <cfRule type="cellIs" dxfId="6" priority="4" operator="lessThan">
      <formula>0</formula>
    </cfRule>
  </conditionalFormatting>
  <conditionalFormatting sqref="J3:J104">
    <cfRule type="cellIs" dxfId="5" priority="5" operator="lessThan">
      <formula>I3:I103</formula>
    </cfRule>
  </conditionalFormatting>
  <conditionalFormatting sqref="J3:J104">
    <cfRule type="cellIs" dxfId="4" priority="6" operator="greaterThan">
      <formula>I3:I103</formula>
    </cfRule>
  </conditionalFormatting>
  <conditionalFormatting sqref="M2:M1001">
    <cfRule type="cellIs" dxfId="4" priority="7" operator="greaterThan">
      <formula>0%</formula>
    </cfRule>
  </conditionalFormatting>
  <conditionalFormatting sqref="M2:M1001">
    <cfRule type="cellIs" dxfId="6" priority="8" operator="lessThan">
      <formula>0%</formula>
    </cfRule>
  </conditionalFormatting>
  <conditionalFormatting sqref="P2:P1001">
    <cfRule type="cellIs" dxfId="4" priority="9" operator="greaterThan">
      <formula>0</formula>
    </cfRule>
  </conditionalFormatting>
  <conditionalFormatting sqref="P2:P1001">
    <cfRule type="cellIs" dxfId="6" priority="10" operator="lessThan">
      <formula>0</formula>
    </cfRule>
  </conditionalFormatting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2"/>
  <cols>
    <col customWidth="1" min="1" max="1" width="11.13"/>
    <col customWidth="1" min="2" max="2" width="9.25"/>
    <col customWidth="1" min="3" max="3" width="4.75"/>
    <col customWidth="1" min="4" max="4" width="5.13"/>
    <col customWidth="1" min="5" max="5" width="9.25"/>
    <col customWidth="1" min="6" max="6" width="4.75"/>
    <col customWidth="1" min="7" max="7" width="4.25"/>
    <col customWidth="1" min="8" max="8" width="11.13"/>
    <col customWidth="1" min="9" max="9" width="11.88"/>
    <col customWidth="1" min="10" max="10" width="11.13"/>
    <col customWidth="1" min="11" max="11" width="12.0"/>
    <col customWidth="1" min="12" max="12" width="4.75"/>
    <col customWidth="1" min="13" max="13" width="4.88"/>
    <col customWidth="1" min="14" max="14" width="11.0"/>
    <col customWidth="1" min="15" max="15" width="6.38"/>
    <col customWidth="1" min="16" max="16" width="8.75"/>
    <col customWidth="1" min="18" max="18" width="16.25"/>
  </cols>
  <sheetData>
    <row r="1">
      <c r="A1" s="337"/>
      <c r="B1" s="337" t="s">
        <v>1</v>
      </c>
      <c r="E1" s="337" t="s">
        <v>2</v>
      </c>
      <c r="H1" s="337" t="s">
        <v>3</v>
      </c>
      <c r="K1" s="337" t="s">
        <v>4</v>
      </c>
      <c r="N1" s="337" t="s">
        <v>5</v>
      </c>
      <c r="Q1" s="90"/>
      <c r="R1" s="90"/>
      <c r="S1" s="91"/>
      <c r="T1" s="90"/>
      <c r="U1" s="90"/>
      <c r="V1" s="90"/>
      <c r="W1" s="90"/>
      <c r="X1" s="90"/>
      <c r="Y1" s="90"/>
      <c r="Z1" s="90"/>
      <c r="AA1" s="90"/>
      <c r="AB1" s="90"/>
    </row>
    <row r="2">
      <c r="A2" s="337"/>
      <c r="B2" s="337" t="s">
        <v>7</v>
      </c>
      <c r="C2" s="337" t="s">
        <v>8</v>
      </c>
      <c r="D2" s="337" t="s">
        <v>9</v>
      </c>
      <c r="E2" s="337" t="s">
        <v>7</v>
      </c>
      <c r="F2" s="337" t="s">
        <v>8</v>
      </c>
      <c r="G2" s="337" t="s">
        <v>9</v>
      </c>
      <c r="H2" s="337" t="s">
        <v>7</v>
      </c>
      <c r="I2" s="337" t="s">
        <v>8</v>
      </c>
      <c r="J2" s="337" t="s">
        <v>9</v>
      </c>
      <c r="K2" s="337" t="s">
        <v>7</v>
      </c>
      <c r="L2" s="338" t="s">
        <v>8</v>
      </c>
      <c r="M2" s="337" t="s">
        <v>9</v>
      </c>
      <c r="N2" s="337" t="s">
        <v>7</v>
      </c>
      <c r="O2" s="339" t="s">
        <v>8</v>
      </c>
      <c r="P2" s="337" t="s">
        <v>9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340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2"/>
      <c r="P3" s="341"/>
      <c r="S3" s="94"/>
    </row>
    <row r="4">
      <c r="A4" s="340" t="s">
        <v>12</v>
      </c>
      <c r="B4" s="343">
        <f t="shared" ref="B4:G4" si="1">B5+B37+B69</f>
        <v>1189</v>
      </c>
      <c r="C4" s="343">
        <f t="shared" si="1"/>
        <v>4120</v>
      </c>
      <c r="D4" s="343">
        <f t="shared" si="1"/>
        <v>-2869</v>
      </c>
      <c r="E4" s="343">
        <f t="shared" si="1"/>
        <v>831</v>
      </c>
      <c r="F4" s="343">
        <f t="shared" si="1"/>
        <v>930</v>
      </c>
      <c r="G4" s="343">
        <f t="shared" si="1"/>
        <v>-117</v>
      </c>
      <c r="H4" s="344">
        <f>H5+H37+H69+H101</f>
        <v>291954.92</v>
      </c>
      <c r="I4" s="357">
        <f t="shared" ref="I4:K4" si="2">I5+I37+I69</f>
        <v>354999.94</v>
      </c>
      <c r="J4" s="344">
        <f t="shared" si="2"/>
        <v>-96749.71</v>
      </c>
      <c r="K4" s="345">
        <f t="shared" si="2"/>
        <v>1.226649211</v>
      </c>
      <c r="L4" s="346">
        <v>0.4</v>
      </c>
      <c r="M4" s="345">
        <f>K4*L4</f>
        <v>0.4906596845</v>
      </c>
      <c r="N4" s="344">
        <f>H4/E4</f>
        <v>351.329627</v>
      </c>
      <c r="O4" s="347">
        <v>250.0</v>
      </c>
      <c r="P4" s="344">
        <f t="shared" ref="P4:P96" si="5">N4-O4</f>
        <v>101.329627</v>
      </c>
      <c r="S4" s="94"/>
    </row>
    <row r="5" outlineLevel="1" collapsed="1">
      <c r="A5" s="100" t="s">
        <v>59</v>
      </c>
      <c r="B5" s="100">
        <f t="shared" ref="B5:G5" si="3">SUM(B6:B35)</f>
        <v>523</v>
      </c>
      <c r="C5" s="100">
        <f t="shared" si="3"/>
        <v>880</v>
      </c>
      <c r="D5" s="100">
        <f t="shared" si="3"/>
        <v>-384</v>
      </c>
      <c r="E5" s="100">
        <f t="shared" si="3"/>
        <v>318</v>
      </c>
      <c r="F5" s="100">
        <f t="shared" si="3"/>
        <v>264</v>
      </c>
      <c r="G5" s="100">
        <f t="shared" si="3"/>
        <v>43</v>
      </c>
      <c r="H5" s="102">
        <f t="shared" ref="H5:I5" si="4">SUM(H6:H36)</f>
        <v>95467.6</v>
      </c>
      <c r="I5" s="101">
        <f t="shared" si="4"/>
        <v>150000.02</v>
      </c>
      <c r="J5" s="102">
        <f>SUM(J6:J35)</f>
        <v>-57368.11</v>
      </c>
      <c r="K5" s="103">
        <f t="shared" ref="K5:K132" si="6">IFERROR(E5/B5,"")</f>
        <v>0.6080305927</v>
      </c>
      <c r="L5" s="103">
        <v>0.3</v>
      </c>
      <c r="M5" s="103">
        <f t="shared" ref="M5:M11" si="7">L5-K5</f>
        <v>-0.3080305927</v>
      </c>
      <c r="N5" s="102">
        <f t="shared" ref="N5:N132" si="8">IFERROR(H5/E5,"")</f>
        <v>300.2125786</v>
      </c>
      <c r="O5" s="104">
        <v>250.0</v>
      </c>
      <c r="P5" s="102">
        <f t="shared" si="5"/>
        <v>50.21257862</v>
      </c>
      <c r="R5" s="113" t="s">
        <v>60</v>
      </c>
    </row>
    <row r="6" hidden="1" outlineLevel="2">
      <c r="A6" s="105">
        <v>45931.0</v>
      </c>
      <c r="B6" s="106">
        <v>19.0</v>
      </c>
      <c r="C6" s="107">
        <v>80.0</v>
      </c>
      <c r="D6" s="107">
        <f t="shared" ref="D6:D11" si="9">B6-C6</f>
        <v>-61</v>
      </c>
      <c r="E6" s="106">
        <v>11.0</v>
      </c>
      <c r="F6" s="107">
        <f t="shared" ref="F6:F11" si="10">C6*30%</f>
        <v>24</v>
      </c>
      <c r="G6" s="107">
        <f t="shared" ref="G6:G11" si="11">E6-F6</f>
        <v>-13</v>
      </c>
      <c r="H6" s="108">
        <v>2413.76</v>
      </c>
      <c r="I6" s="109">
        <v>6521.74</v>
      </c>
      <c r="J6" s="109">
        <f t="shared" ref="J6:J8" si="12">H6-I6</f>
        <v>-4107.98</v>
      </c>
      <c r="K6" s="111">
        <f t="shared" si="6"/>
        <v>0.5789473684</v>
      </c>
      <c r="L6" s="111">
        <v>0.3</v>
      </c>
      <c r="M6" s="111">
        <f t="shared" si="7"/>
        <v>-0.2789473684</v>
      </c>
      <c r="N6" s="109">
        <f t="shared" si="8"/>
        <v>219.4327273</v>
      </c>
      <c r="O6" s="112">
        <v>250.0</v>
      </c>
      <c r="P6" s="109">
        <f t="shared" si="5"/>
        <v>-30.56727273</v>
      </c>
      <c r="R6" s="115" t="s">
        <v>136</v>
      </c>
    </row>
    <row r="7" hidden="1" outlineLevel="2">
      <c r="A7" s="105">
        <v>45932.0</v>
      </c>
      <c r="B7" s="106">
        <v>30.0</v>
      </c>
      <c r="C7" s="107">
        <v>80.0</v>
      </c>
      <c r="D7" s="107">
        <f t="shared" si="9"/>
        <v>-50</v>
      </c>
      <c r="E7" s="106">
        <v>18.0</v>
      </c>
      <c r="F7" s="107">
        <f t="shared" si="10"/>
        <v>24</v>
      </c>
      <c r="G7" s="107">
        <f t="shared" si="11"/>
        <v>-6</v>
      </c>
      <c r="H7" s="108">
        <v>3653.58</v>
      </c>
      <c r="I7" s="109">
        <v>6521.74</v>
      </c>
      <c r="J7" s="109">
        <f t="shared" si="12"/>
        <v>-2868.16</v>
      </c>
      <c r="K7" s="111">
        <f t="shared" si="6"/>
        <v>0.6</v>
      </c>
      <c r="L7" s="111">
        <v>0.3</v>
      </c>
      <c r="M7" s="111">
        <f t="shared" si="7"/>
        <v>-0.3</v>
      </c>
      <c r="N7" s="109">
        <f t="shared" si="8"/>
        <v>202.9766667</v>
      </c>
      <c r="O7" s="112">
        <v>250.0</v>
      </c>
      <c r="P7" s="109">
        <f t="shared" si="5"/>
        <v>-47.02333333</v>
      </c>
      <c r="R7" s="113" t="s">
        <v>8</v>
      </c>
      <c r="S7" s="116">
        <v>150000.0</v>
      </c>
    </row>
    <row r="8" hidden="1" outlineLevel="2">
      <c r="A8" s="105">
        <v>45933.0</v>
      </c>
      <c r="B8" s="106">
        <v>14.0</v>
      </c>
      <c r="C8" s="107">
        <v>80.0</v>
      </c>
      <c r="D8" s="107">
        <f t="shared" si="9"/>
        <v>-66</v>
      </c>
      <c r="E8" s="106">
        <v>10.0</v>
      </c>
      <c r="F8" s="107">
        <f t="shared" si="10"/>
        <v>24</v>
      </c>
      <c r="G8" s="107">
        <f t="shared" si="11"/>
        <v>-14</v>
      </c>
      <c r="H8" s="108">
        <v>2142.5</v>
      </c>
      <c r="I8" s="109">
        <v>6521.74</v>
      </c>
      <c r="J8" s="109">
        <f t="shared" si="12"/>
        <v>-4379.24</v>
      </c>
      <c r="K8" s="111">
        <f t="shared" si="6"/>
        <v>0.7142857143</v>
      </c>
      <c r="L8" s="111">
        <v>0.3</v>
      </c>
      <c r="M8" s="111">
        <f t="shared" si="7"/>
        <v>-0.4142857143</v>
      </c>
      <c r="N8" s="109">
        <f t="shared" si="8"/>
        <v>214.25</v>
      </c>
      <c r="O8" s="112">
        <v>250.0</v>
      </c>
      <c r="P8" s="109">
        <f t="shared" si="5"/>
        <v>-35.75</v>
      </c>
      <c r="R8" s="113" t="s">
        <v>45</v>
      </c>
      <c r="S8" s="117">
        <f>S7/30</f>
        <v>5000</v>
      </c>
    </row>
    <row r="9" hidden="1" outlineLevel="2">
      <c r="A9" s="105">
        <v>45934.0</v>
      </c>
      <c r="B9" s="106">
        <v>33.0</v>
      </c>
      <c r="C9" s="107">
        <v>80.0</v>
      </c>
      <c r="D9" s="107">
        <f t="shared" si="9"/>
        <v>-47</v>
      </c>
      <c r="E9" s="106">
        <v>5.0</v>
      </c>
      <c r="F9" s="107">
        <f t="shared" si="10"/>
        <v>24</v>
      </c>
      <c r="G9" s="107">
        <f t="shared" si="11"/>
        <v>-19</v>
      </c>
      <c r="H9" s="108">
        <v>861.07</v>
      </c>
      <c r="I9" s="109"/>
      <c r="J9" s="109"/>
      <c r="K9" s="111">
        <f t="shared" si="6"/>
        <v>0.1515151515</v>
      </c>
      <c r="L9" s="111">
        <v>0.3</v>
      </c>
      <c r="M9" s="111">
        <f t="shared" si="7"/>
        <v>0.1484848485</v>
      </c>
      <c r="N9" s="109">
        <f t="shared" si="8"/>
        <v>172.214</v>
      </c>
      <c r="O9" s="112">
        <v>250.0</v>
      </c>
      <c r="P9" s="109">
        <f t="shared" si="5"/>
        <v>-77.786</v>
      </c>
      <c r="R9" s="113" t="s">
        <v>46</v>
      </c>
      <c r="S9" s="117">
        <f>S7/23</f>
        <v>6521.73913</v>
      </c>
    </row>
    <row r="10" hidden="1" outlineLevel="2">
      <c r="A10" s="105">
        <v>45935.0</v>
      </c>
      <c r="B10" s="106"/>
      <c r="C10" s="107">
        <v>80.0</v>
      </c>
      <c r="D10" s="107">
        <f t="shared" si="9"/>
        <v>-80</v>
      </c>
      <c r="E10" s="106"/>
      <c r="F10" s="107">
        <f t="shared" si="10"/>
        <v>24</v>
      </c>
      <c r="G10" s="107">
        <f t="shared" si="11"/>
        <v>-24</v>
      </c>
      <c r="H10" s="108"/>
      <c r="I10" s="109"/>
      <c r="J10" s="109"/>
      <c r="K10" s="111" t="str">
        <f t="shared" si="6"/>
        <v/>
      </c>
      <c r="L10" s="111">
        <v>0.3</v>
      </c>
      <c r="M10" s="111">
        <f t="shared" si="7"/>
        <v>0.3</v>
      </c>
      <c r="N10" s="109" t="str">
        <f t="shared" si="8"/>
        <v/>
      </c>
      <c r="O10" s="112">
        <v>250.0</v>
      </c>
      <c r="P10" s="109">
        <f t="shared" si="5"/>
        <v>-250</v>
      </c>
      <c r="R10" s="113" t="s">
        <v>7</v>
      </c>
      <c r="S10" s="117">
        <f>H5</f>
        <v>95467.6</v>
      </c>
    </row>
    <row r="11" hidden="1" outlineLevel="2">
      <c r="A11" s="105">
        <v>45936.0</v>
      </c>
      <c r="B11" s="106">
        <v>12.0</v>
      </c>
      <c r="C11" s="107">
        <v>80.0</v>
      </c>
      <c r="D11" s="107">
        <f t="shared" si="9"/>
        <v>-68</v>
      </c>
      <c r="E11" s="106">
        <v>23.0</v>
      </c>
      <c r="F11" s="107">
        <f t="shared" si="10"/>
        <v>24</v>
      </c>
      <c r="G11" s="107">
        <f t="shared" si="11"/>
        <v>-1</v>
      </c>
      <c r="H11" s="108">
        <v>6515.95</v>
      </c>
      <c r="I11" s="109">
        <v>6521.74</v>
      </c>
      <c r="J11" s="109">
        <f t="shared" ref="J11:J15" si="13">H11-I11</f>
        <v>-5.79</v>
      </c>
      <c r="K11" s="111">
        <f t="shared" si="6"/>
        <v>1.916666667</v>
      </c>
      <c r="L11" s="111">
        <v>0.3</v>
      </c>
      <c r="M11" s="111">
        <f t="shared" si="7"/>
        <v>-1.616666667</v>
      </c>
      <c r="N11" s="109">
        <f t="shared" si="8"/>
        <v>283.3021739</v>
      </c>
      <c r="O11" s="112">
        <v>250.0</v>
      </c>
      <c r="P11" s="109">
        <f t="shared" si="5"/>
        <v>33.30217391</v>
      </c>
      <c r="R11" s="113" t="s">
        <v>47</v>
      </c>
      <c r="S11" s="119">
        <f>S10/S7</f>
        <v>0.6364506667</v>
      </c>
    </row>
    <row r="12" hidden="1" outlineLevel="2">
      <c r="A12" s="105">
        <v>45937.0</v>
      </c>
      <c r="B12" s="106">
        <v>27.0</v>
      </c>
      <c r="C12" s="107"/>
      <c r="D12" s="107"/>
      <c r="E12" s="106">
        <v>11.0</v>
      </c>
      <c r="F12" s="107"/>
      <c r="G12" s="107"/>
      <c r="H12" s="108">
        <v>3365.34</v>
      </c>
      <c r="I12" s="109">
        <v>6521.74</v>
      </c>
      <c r="J12" s="109">
        <f t="shared" si="13"/>
        <v>-3156.4</v>
      </c>
      <c r="K12" s="111">
        <f t="shared" si="6"/>
        <v>0.4074074074</v>
      </c>
      <c r="L12" s="111"/>
      <c r="M12" s="114"/>
      <c r="N12" s="109">
        <f t="shared" si="8"/>
        <v>305.94</v>
      </c>
      <c r="O12" s="112"/>
      <c r="P12" s="109">
        <f t="shared" si="5"/>
        <v>305.94</v>
      </c>
      <c r="R12" s="113" t="s">
        <v>48</v>
      </c>
      <c r="S12" s="120">
        <v>1.0</v>
      </c>
    </row>
    <row r="13" hidden="1" outlineLevel="2">
      <c r="A13" s="105">
        <v>45938.0</v>
      </c>
      <c r="B13" s="106">
        <v>28.0</v>
      </c>
      <c r="C13" s="107">
        <v>80.0</v>
      </c>
      <c r="D13" s="107">
        <f t="shared" ref="D13:D36" si="14">B13-C13</f>
        <v>-52</v>
      </c>
      <c r="E13" s="106">
        <v>20.0</v>
      </c>
      <c r="F13" s="107">
        <f t="shared" ref="F13:F36" si="15">C13*30%</f>
        <v>24</v>
      </c>
      <c r="G13" s="107">
        <f t="shared" ref="G13:G36" si="16">E13-F13</f>
        <v>-4</v>
      </c>
      <c r="H13" s="108">
        <v>4629.88</v>
      </c>
      <c r="I13" s="109">
        <v>6521.74</v>
      </c>
      <c r="J13" s="109">
        <f t="shared" si="13"/>
        <v>-1891.86</v>
      </c>
      <c r="K13" s="111">
        <f t="shared" si="6"/>
        <v>0.7142857143</v>
      </c>
      <c r="L13" s="111">
        <v>0.3</v>
      </c>
      <c r="M13" s="111">
        <f t="shared" ref="M13:M75" si="17">L13-K13</f>
        <v>-0.4142857143</v>
      </c>
      <c r="N13" s="109">
        <f t="shared" si="8"/>
        <v>231.494</v>
      </c>
      <c r="O13" s="112">
        <v>250.0</v>
      </c>
      <c r="P13" s="109">
        <f t="shared" si="5"/>
        <v>-18.506</v>
      </c>
      <c r="R13" s="113" t="s">
        <v>49</v>
      </c>
      <c r="S13" s="121">
        <f>(S7-S10)/S12</f>
        <v>54532.4</v>
      </c>
    </row>
    <row r="14" hidden="1" outlineLevel="2">
      <c r="A14" s="105">
        <v>45939.0</v>
      </c>
      <c r="B14" s="106">
        <v>93.0</v>
      </c>
      <c r="C14" s="107">
        <v>80.0</v>
      </c>
      <c r="D14" s="107">
        <f t="shared" si="14"/>
        <v>13</v>
      </c>
      <c r="E14" s="106">
        <v>13.0</v>
      </c>
      <c r="F14" s="107">
        <f t="shared" si="15"/>
        <v>24</v>
      </c>
      <c r="G14" s="107">
        <f t="shared" si="16"/>
        <v>-11</v>
      </c>
      <c r="H14" s="108">
        <v>9181.8</v>
      </c>
      <c r="I14" s="109">
        <v>6521.74</v>
      </c>
      <c r="J14" s="109">
        <f t="shared" si="13"/>
        <v>2660.06</v>
      </c>
      <c r="K14" s="111">
        <f t="shared" si="6"/>
        <v>0.1397849462</v>
      </c>
      <c r="L14" s="111">
        <v>0.3</v>
      </c>
      <c r="M14" s="111">
        <f t="shared" si="17"/>
        <v>0.1602150538</v>
      </c>
      <c r="N14" s="109">
        <f t="shared" si="8"/>
        <v>706.2923077</v>
      </c>
      <c r="O14" s="112">
        <v>250.0</v>
      </c>
      <c r="P14" s="109">
        <f t="shared" si="5"/>
        <v>456.2923077</v>
      </c>
      <c r="R14" s="113" t="s">
        <v>50</v>
      </c>
      <c r="S14" s="122">
        <f>N5</f>
        <v>300.2125786</v>
      </c>
    </row>
    <row r="15" hidden="1" outlineLevel="2">
      <c r="A15" s="105">
        <v>45940.0</v>
      </c>
      <c r="B15" s="106">
        <v>20.0</v>
      </c>
      <c r="C15" s="107">
        <v>80.0</v>
      </c>
      <c r="D15" s="107">
        <f t="shared" si="14"/>
        <v>-60</v>
      </c>
      <c r="E15" s="106">
        <v>11.0</v>
      </c>
      <c r="F15" s="107">
        <f t="shared" si="15"/>
        <v>24</v>
      </c>
      <c r="G15" s="107">
        <f t="shared" si="16"/>
        <v>-13</v>
      </c>
      <c r="H15" s="108">
        <v>2248.11</v>
      </c>
      <c r="I15" s="109">
        <v>6521.74</v>
      </c>
      <c r="J15" s="109">
        <f t="shared" si="13"/>
        <v>-4273.63</v>
      </c>
      <c r="K15" s="111">
        <f t="shared" si="6"/>
        <v>0.55</v>
      </c>
      <c r="L15" s="111">
        <v>0.3</v>
      </c>
      <c r="M15" s="111">
        <f t="shared" si="17"/>
        <v>-0.25</v>
      </c>
      <c r="N15" s="109">
        <f t="shared" si="8"/>
        <v>204.3736364</v>
      </c>
      <c r="O15" s="112">
        <v>250.0</v>
      </c>
      <c r="P15" s="109">
        <f t="shared" si="5"/>
        <v>-45.62636364</v>
      </c>
      <c r="R15" s="113" t="s">
        <v>51</v>
      </c>
      <c r="S15" s="128">
        <f>B5</f>
        <v>523</v>
      </c>
    </row>
    <row r="16" hidden="1" outlineLevel="2">
      <c r="A16" s="105">
        <v>45941.0</v>
      </c>
      <c r="B16" s="106">
        <v>3.0</v>
      </c>
      <c r="C16" s="123">
        <v>80.0</v>
      </c>
      <c r="D16" s="123">
        <f t="shared" si="14"/>
        <v>-77</v>
      </c>
      <c r="E16" s="106">
        <v>8.0</v>
      </c>
      <c r="F16" s="123">
        <f t="shared" si="15"/>
        <v>24</v>
      </c>
      <c r="G16" s="123">
        <f t="shared" si="16"/>
        <v>-16</v>
      </c>
      <c r="H16" s="108">
        <v>1842.85</v>
      </c>
      <c r="I16" s="109"/>
      <c r="J16" s="124"/>
      <c r="K16" s="125">
        <f t="shared" si="6"/>
        <v>2.666666667</v>
      </c>
      <c r="L16" s="125">
        <v>0.3</v>
      </c>
      <c r="M16" s="125">
        <f t="shared" si="17"/>
        <v>-2.366666667</v>
      </c>
      <c r="N16" s="124">
        <f t="shared" si="8"/>
        <v>230.35625</v>
      </c>
      <c r="O16" s="126">
        <v>250.0</v>
      </c>
      <c r="P16" s="124">
        <f t="shared" si="5"/>
        <v>-19.64375</v>
      </c>
      <c r="R16" s="113" t="s">
        <v>52</v>
      </c>
      <c r="S16" s="128">
        <f>E5</f>
        <v>318</v>
      </c>
    </row>
    <row r="17" hidden="1" outlineLevel="2">
      <c r="A17" s="105">
        <v>45942.0</v>
      </c>
      <c r="B17" s="106">
        <v>0.0</v>
      </c>
      <c r="C17" s="123">
        <v>80.0</v>
      </c>
      <c r="D17" s="123">
        <f t="shared" si="14"/>
        <v>-80</v>
      </c>
      <c r="E17" s="106">
        <v>0.0</v>
      </c>
      <c r="F17" s="123">
        <f t="shared" si="15"/>
        <v>24</v>
      </c>
      <c r="G17" s="123">
        <f t="shared" si="16"/>
        <v>-24</v>
      </c>
      <c r="H17" s="108"/>
      <c r="I17" s="109"/>
      <c r="J17" s="124"/>
      <c r="K17" s="125" t="str">
        <f t="shared" si="6"/>
        <v/>
      </c>
      <c r="L17" s="125">
        <v>0.3</v>
      </c>
      <c r="M17" s="125">
        <f t="shared" si="17"/>
        <v>0.3</v>
      </c>
      <c r="N17" s="124" t="str">
        <f t="shared" si="8"/>
        <v/>
      </c>
      <c r="O17" s="126">
        <v>250.0</v>
      </c>
      <c r="P17" s="124">
        <f t="shared" si="5"/>
        <v>-250</v>
      </c>
      <c r="R17" s="113" t="s">
        <v>4</v>
      </c>
      <c r="S17" s="119">
        <f>E5/B5</f>
        <v>0.6080305927</v>
      </c>
    </row>
    <row r="18" hidden="1" outlineLevel="2">
      <c r="A18" s="105">
        <v>45943.0</v>
      </c>
      <c r="B18" s="106">
        <v>25.0</v>
      </c>
      <c r="C18" s="332"/>
      <c r="D18" s="123">
        <f t="shared" si="14"/>
        <v>25</v>
      </c>
      <c r="E18" s="106">
        <v>17.0</v>
      </c>
      <c r="F18" s="123">
        <f t="shared" si="15"/>
        <v>0</v>
      </c>
      <c r="G18" s="123">
        <f t="shared" si="16"/>
        <v>17</v>
      </c>
      <c r="H18" s="108">
        <v>4242.97</v>
      </c>
      <c r="I18" s="109">
        <v>6521.74</v>
      </c>
      <c r="J18" s="124">
        <f t="shared" ref="J18:J22" si="18">H18-I18</f>
        <v>-2278.77</v>
      </c>
      <c r="K18" s="125">
        <f t="shared" si="6"/>
        <v>0.68</v>
      </c>
      <c r="L18" s="125">
        <v>0.3</v>
      </c>
      <c r="M18" s="125">
        <f t="shared" si="17"/>
        <v>-0.38</v>
      </c>
      <c r="N18" s="124">
        <f t="shared" si="8"/>
        <v>249.5864706</v>
      </c>
      <c r="O18" s="126">
        <v>250.0</v>
      </c>
      <c r="P18" s="124">
        <f t="shared" si="5"/>
        <v>-0.4135294118</v>
      </c>
      <c r="S18" s="94"/>
    </row>
    <row r="19" hidden="1" outlineLevel="2">
      <c r="A19" s="105">
        <v>45944.0</v>
      </c>
      <c r="B19" s="106">
        <v>19.0</v>
      </c>
      <c r="C19" s="332"/>
      <c r="D19" s="123">
        <f t="shared" si="14"/>
        <v>19</v>
      </c>
      <c r="E19" s="106">
        <v>15.0</v>
      </c>
      <c r="F19" s="123">
        <f t="shared" si="15"/>
        <v>0</v>
      </c>
      <c r="G19" s="123">
        <f t="shared" si="16"/>
        <v>15</v>
      </c>
      <c r="H19" s="108">
        <v>3852.06</v>
      </c>
      <c r="I19" s="109">
        <v>6521.74</v>
      </c>
      <c r="J19" s="124">
        <f t="shared" si="18"/>
        <v>-2669.68</v>
      </c>
      <c r="K19" s="125">
        <f t="shared" si="6"/>
        <v>0.7894736842</v>
      </c>
      <c r="L19" s="125">
        <v>0.3</v>
      </c>
      <c r="M19" s="125">
        <f t="shared" si="17"/>
        <v>-0.4894736842</v>
      </c>
      <c r="N19" s="124">
        <f t="shared" si="8"/>
        <v>256.804</v>
      </c>
      <c r="O19" s="126">
        <v>250.0</v>
      </c>
      <c r="P19" s="124">
        <f t="shared" si="5"/>
        <v>6.804</v>
      </c>
      <c r="S19" s="94"/>
    </row>
    <row r="20" hidden="1" outlineLevel="2">
      <c r="A20" s="105">
        <v>45945.0</v>
      </c>
      <c r="B20" s="106">
        <v>24.0</v>
      </c>
      <c r="C20" s="332"/>
      <c r="D20" s="123">
        <f t="shared" si="14"/>
        <v>24</v>
      </c>
      <c r="E20" s="106">
        <v>12.0</v>
      </c>
      <c r="F20" s="123">
        <f t="shared" si="15"/>
        <v>0</v>
      </c>
      <c r="G20" s="123">
        <f t="shared" si="16"/>
        <v>12</v>
      </c>
      <c r="H20" s="108">
        <v>4101.57</v>
      </c>
      <c r="I20" s="109">
        <v>6521.74</v>
      </c>
      <c r="J20" s="124">
        <f t="shared" si="18"/>
        <v>-2420.17</v>
      </c>
      <c r="K20" s="125">
        <f t="shared" si="6"/>
        <v>0.5</v>
      </c>
      <c r="L20" s="125">
        <v>0.3</v>
      </c>
      <c r="M20" s="125">
        <f t="shared" si="17"/>
        <v>-0.2</v>
      </c>
      <c r="N20" s="124">
        <f t="shared" si="8"/>
        <v>341.7975</v>
      </c>
      <c r="O20" s="126">
        <v>250.0</v>
      </c>
      <c r="P20" s="124">
        <f t="shared" si="5"/>
        <v>91.7975</v>
      </c>
      <c r="S20" s="94"/>
    </row>
    <row r="21" hidden="1" outlineLevel="2">
      <c r="A21" s="105">
        <v>45946.0</v>
      </c>
      <c r="B21" s="106">
        <v>11.0</v>
      </c>
      <c r="C21" s="332"/>
      <c r="D21" s="123">
        <f t="shared" si="14"/>
        <v>11</v>
      </c>
      <c r="E21" s="106">
        <v>13.0</v>
      </c>
      <c r="F21" s="123">
        <f t="shared" si="15"/>
        <v>0</v>
      </c>
      <c r="G21" s="123">
        <f t="shared" si="16"/>
        <v>13</v>
      </c>
      <c r="H21" s="108">
        <v>2507.68</v>
      </c>
      <c r="I21" s="109">
        <v>6521.74</v>
      </c>
      <c r="J21" s="124">
        <f t="shared" si="18"/>
        <v>-4014.06</v>
      </c>
      <c r="K21" s="125">
        <f t="shared" si="6"/>
        <v>1.181818182</v>
      </c>
      <c r="L21" s="125">
        <v>0.3</v>
      </c>
      <c r="M21" s="125">
        <f t="shared" si="17"/>
        <v>-0.8818181818</v>
      </c>
      <c r="N21" s="124">
        <f t="shared" si="8"/>
        <v>192.8984615</v>
      </c>
      <c r="O21" s="126">
        <v>250.0</v>
      </c>
      <c r="P21" s="124">
        <f t="shared" si="5"/>
        <v>-57.10153846</v>
      </c>
      <c r="S21" s="94"/>
    </row>
    <row r="22" hidden="1" outlineLevel="2">
      <c r="A22" s="105">
        <v>45947.0</v>
      </c>
      <c r="B22" s="106">
        <v>7.0</v>
      </c>
      <c r="C22" s="332"/>
      <c r="D22" s="123">
        <f t="shared" si="14"/>
        <v>7</v>
      </c>
      <c r="E22" s="106">
        <v>5.0</v>
      </c>
      <c r="F22" s="123">
        <f t="shared" si="15"/>
        <v>0</v>
      </c>
      <c r="G22" s="123">
        <f t="shared" si="16"/>
        <v>5</v>
      </c>
      <c r="H22" s="108">
        <v>1107.53</v>
      </c>
      <c r="I22" s="109">
        <v>6521.74</v>
      </c>
      <c r="J22" s="124">
        <f t="shared" si="18"/>
        <v>-5414.21</v>
      </c>
      <c r="K22" s="125">
        <f t="shared" si="6"/>
        <v>0.7142857143</v>
      </c>
      <c r="L22" s="125">
        <v>0.3</v>
      </c>
      <c r="M22" s="125">
        <f t="shared" si="17"/>
        <v>-0.4142857143</v>
      </c>
      <c r="N22" s="124">
        <f t="shared" si="8"/>
        <v>221.506</v>
      </c>
      <c r="O22" s="126">
        <v>250.0</v>
      </c>
      <c r="P22" s="124">
        <f t="shared" si="5"/>
        <v>-28.494</v>
      </c>
      <c r="S22" s="94"/>
    </row>
    <row r="23" hidden="1" outlineLevel="2">
      <c r="A23" s="105">
        <v>45948.0</v>
      </c>
      <c r="B23" s="106">
        <v>3.0</v>
      </c>
      <c r="C23" s="332"/>
      <c r="D23" s="123">
        <f t="shared" si="14"/>
        <v>3</v>
      </c>
      <c r="E23" s="106">
        <v>7.0</v>
      </c>
      <c r="F23" s="123">
        <f t="shared" si="15"/>
        <v>0</v>
      </c>
      <c r="G23" s="123">
        <f t="shared" si="16"/>
        <v>7</v>
      </c>
      <c r="H23" s="108">
        <v>1807.01</v>
      </c>
      <c r="I23" s="109"/>
      <c r="J23" s="124"/>
      <c r="K23" s="125">
        <f t="shared" si="6"/>
        <v>2.333333333</v>
      </c>
      <c r="L23" s="125">
        <v>0.3</v>
      </c>
      <c r="M23" s="125">
        <f t="shared" si="17"/>
        <v>-2.033333333</v>
      </c>
      <c r="N23" s="124">
        <f t="shared" si="8"/>
        <v>258.1442857</v>
      </c>
      <c r="O23" s="126">
        <v>250.0</v>
      </c>
      <c r="P23" s="124">
        <f t="shared" si="5"/>
        <v>8.144285714</v>
      </c>
      <c r="S23" s="94"/>
    </row>
    <row r="24" hidden="1" outlineLevel="2">
      <c r="A24" s="105">
        <v>45949.0</v>
      </c>
      <c r="B24" s="106">
        <v>0.0</v>
      </c>
      <c r="C24" s="332"/>
      <c r="D24" s="123">
        <f t="shared" si="14"/>
        <v>0</v>
      </c>
      <c r="E24" s="106">
        <v>0.0</v>
      </c>
      <c r="F24" s="123">
        <f t="shared" si="15"/>
        <v>0</v>
      </c>
      <c r="G24" s="123">
        <f t="shared" si="16"/>
        <v>0</v>
      </c>
      <c r="H24" s="108"/>
      <c r="I24" s="109"/>
      <c r="J24" s="124"/>
      <c r="K24" s="125" t="str">
        <f t="shared" si="6"/>
        <v/>
      </c>
      <c r="L24" s="125">
        <v>0.3</v>
      </c>
      <c r="M24" s="125">
        <f t="shared" si="17"/>
        <v>0.3</v>
      </c>
      <c r="N24" s="124" t="str">
        <f t="shared" si="8"/>
        <v/>
      </c>
      <c r="O24" s="126">
        <v>250.0</v>
      </c>
      <c r="P24" s="124">
        <f t="shared" si="5"/>
        <v>-250</v>
      </c>
      <c r="S24" s="94"/>
    </row>
    <row r="25" hidden="1" outlineLevel="2">
      <c r="A25" s="105">
        <v>45950.0</v>
      </c>
      <c r="B25" s="106">
        <v>14.0</v>
      </c>
      <c r="C25" s="332"/>
      <c r="D25" s="123">
        <f t="shared" si="14"/>
        <v>14</v>
      </c>
      <c r="E25" s="106">
        <v>11.0</v>
      </c>
      <c r="F25" s="123">
        <f t="shared" si="15"/>
        <v>0</v>
      </c>
      <c r="G25" s="123">
        <f t="shared" si="16"/>
        <v>11</v>
      </c>
      <c r="H25" s="108">
        <v>5807.6</v>
      </c>
      <c r="I25" s="109">
        <v>6521.74</v>
      </c>
      <c r="J25" s="124">
        <f t="shared" ref="J25:J29" si="19">H25-I25</f>
        <v>-714.14</v>
      </c>
      <c r="K25" s="125">
        <f t="shared" si="6"/>
        <v>0.7857142857</v>
      </c>
      <c r="L25" s="125">
        <v>0.3</v>
      </c>
      <c r="M25" s="125">
        <f t="shared" si="17"/>
        <v>-0.4857142857</v>
      </c>
      <c r="N25" s="124">
        <f t="shared" si="8"/>
        <v>527.9636364</v>
      </c>
      <c r="O25" s="126">
        <v>250.0</v>
      </c>
      <c r="P25" s="124">
        <f t="shared" si="5"/>
        <v>277.9636364</v>
      </c>
      <c r="S25" s="94"/>
    </row>
    <row r="26" hidden="1" outlineLevel="2">
      <c r="A26" s="105">
        <v>45951.0</v>
      </c>
      <c r="B26" s="106">
        <v>18.0</v>
      </c>
      <c r="C26" s="332"/>
      <c r="D26" s="123">
        <f t="shared" si="14"/>
        <v>18</v>
      </c>
      <c r="E26" s="106">
        <v>20.0</v>
      </c>
      <c r="F26" s="123">
        <f t="shared" si="15"/>
        <v>0</v>
      </c>
      <c r="G26" s="123">
        <f t="shared" si="16"/>
        <v>20</v>
      </c>
      <c r="H26" s="108">
        <v>5595.81</v>
      </c>
      <c r="I26" s="109">
        <v>6521.74</v>
      </c>
      <c r="J26" s="124">
        <f t="shared" si="19"/>
        <v>-925.93</v>
      </c>
      <c r="K26" s="125">
        <f t="shared" si="6"/>
        <v>1.111111111</v>
      </c>
      <c r="L26" s="125">
        <v>0.3</v>
      </c>
      <c r="M26" s="125">
        <f t="shared" si="17"/>
        <v>-0.8111111111</v>
      </c>
      <c r="N26" s="124">
        <f t="shared" si="8"/>
        <v>279.7905</v>
      </c>
      <c r="O26" s="126">
        <v>250.0</v>
      </c>
      <c r="P26" s="124">
        <f t="shared" si="5"/>
        <v>29.7905</v>
      </c>
      <c r="S26" s="94"/>
    </row>
    <row r="27" hidden="1" outlineLevel="2">
      <c r="A27" s="105">
        <v>45952.0</v>
      </c>
      <c r="B27" s="106">
        <v>22.0</v>
      </c>
      <c r="C27" s="332"/>
      <c r="D27" s="123">
        <f t="shared" si="14"/>
        <v>22</v>
      </c>
      <c r="E27" s="106">
        <v>9.0</v>
      </c>
      <c r="F27" s="123">
        <f t="shared" si="15"/>
        <v>0</v>
      </c>
      <c r="G27" s="123">
        <f t="shared" si="16"/>
        <v>9</v>
      </c>
      <c r="H27" s="108">
        <v>3004.73</v>
      </c>
      <c r="I27" s="109">
        <v>6521.74</v>
      </c>
      <c r="J27" s="124">
        <f t="shared" si="19"/>
        <v>-3517.01</v>
      </c>
      <c r="K27" s="125">
        <f t="shared" si="6"/>
        <v>0.4090909091</v>
      </c>
      <c r="L27" s="125">
        <v>0.3</v>
      </c>
      <c r="M27" s="125">
        <f t="shared" si="17"/>
        <v>-0.1090909091</v>
      </c>
      <c r="N27" s="124">
        <f t="shared" si="8"/>
        <v>333.8588889</v>
      </c>
      <c r="O27" s="126">
        <v>250.0</v>
      </c>
      <c r="P27" s="124">
        <f t="shared" si="5"/>
        <v>83.85888889</v>
      </c>
      <c r="S27" s="94"/>
    </row>
    <row r="28" hidden="1" outlineLevel="2">
      <c r="A28" s="105">
        <v>45953.0</v>
      </c>
      <c r="B28" s="106">
        <v>13.0</v>
      </c>
      <c r="C28" s="332"/>
      <c r="D28" s="123">
        <f t="shared" si="14"/>
        <v>13</v>
      </c>
      <c r="E28" s="106">
        <v>12.0</v>
      </c>
      <c r="F28" s="123">
        <f t="shared" si="15"/>
        <v>0</v>
      </c>
      <c r="G28" s="123">
        <f t="shared" si="16"/>
        <v>12</v>
      </c>
      <c r="H28" s="108">
        <v>2391.4</v>
      </c>
      <c r="I28" s="109">
        <v>6521.74</v>
      </c>
      <c r="J28" s="124">
        <f t="shared" si="19"/>
        <v>-4130.34</v>
      </c>
      <c r="K28" s="125">
        <f t="shared" si="6"/>
        <v>0.9230769231</v>
      </c>
      <c r="L28" s="125">
        <v>0.3</v>
      </c>
      <c r="M28" s="125">
        <f t="shared" si="17"/>
        <v>-0.6230769231</v>
      </c>
      <c r="N28" s="124">
        <f t="shared" si="8"/>
        <v>199.2833333</v>
      </c>
      <c r="O28" s="126">
        <v>250.0</v>
      </c>
      <c r="P28" s="124">
        <f t="shared" si="5"/>
        <v>-50.71666667</v>
      </c>
      <c r="S28" s="94"/>
    </row>
    <row r="29" hidden="1" outlineLevel="2">
      <c r="A29" s="105">
        <v>45954.0</v>
      </c>
      <c r="B29" s="106">
        <v>5.0</v>
      </c>
      <c r="C29" s="332"/>
      <c r="D29" s="123">
        <f t="shared" si="14"/>
        <v>5</v>
      </c>
      <c r="E29" s="106">
        <v>3.0</v>
      </c>
      <c r="F29" s="123">
        <f t="shared" si="15"/>
        <v>0</v>
      </c>
      <c r="G29" s="123">
        <f t="shared" si="16"/>
        <v>3</v>
      </c>
      <c r="H29" s="108">
        <v>1198.27</v>
      </c>
      <c r="I29" s="109">
        <v>6521.74</v>
      </c>
      <c r="J29" s="124">
        <f t="shared" si="19"/>
        <v>-5323.47</v>
      </c>
      <c r="K29" s="125">
        <f t="shared" si="6"/>
        <v>0.6</v>
      </c>
      <c r="L29" s="125">
        <v>0.3</v>
      </c>
      <c r="M29" s="125">
        <f t="shared" si="17"/>
        <v>-0.3</v>
      </c>
      <c r="N29" s="124">
        <f t="shared" si="8"/>
        <v>399.4233333</v>
      </c>
      <c r="O29" s="126">
        <v>250.0</v>
      </c>
      <c r="P29" s="124">
        <f t="shared" si="5"/>
        <v>149.4233333</v>
      </c>
      <c r="S29" s="94"/>
    </row>
    <row r="30" hidden="1" outlineLevel="2">
      <c r="A30" s="105">
        <v>45955.0</v>
      </c>
      <c r="B30" s="106">
        <v>2.0</v>
      </c>
      <c r="C30" s="332"/>
      <c r="D30" s="123">
        <f t="shared" si="14"/>
        <v>2</v>
      </c>
      <c r="E30" s="106">
        <v>4.0</v>
      </c>
      <c r="F30" s="123">
        <f t="shared" si="15"/>
        <v>0</v>
      </c>
      <c r="G30" s="123">
        <f t="shared" si="16"/>
        <v>4</v>
      </c>
      <c r="H30" s="108">
        <v>783.4</v>
      </c>
      <c r="I30" s="109"/>
      <c r="J30" s="124"/>
      <c r="K30" s="125">
        <f t="shared" si="6"/>
        <v>2</v>
      </c>
      <c r="L30" s="125">
        <v>0.3</v>
      </c>
      <c r="M30" s="125">
        <f t="shared" si="17"/>
        <v>-1.7</v>
      </c>
      <c r="N30" s="124">
        <f t="shared" si="8"/>
        <v>195.85</v>
      </c>
      <c r="O30" s="126">
        <v>250.0</v>
      </c>
      <c r="P30" s="124">
        <f t="shared" si="5"/>
        <v>-54.15</v>
      </c>
      <c r="S30" s="94"/>
    </row>
    <row r="31" hidden="1" outlineLevel="2">
      <c r="A31" s="105">
        <v>45956.0</v>
      </c>
      <c r="B31" s="106">
        <v>0.0</v>
      </c>
      <c r="C31" s="332"/>
      <c r="D31" s="123">
        <f t="shared" si="14"/>
        <v>0</v>
      </c>
      <c r="E31" s="106">
        <v>0.0</v>
      </c>
      <c r="F31" s="123">
        <f t="shared" si="15"/>
        <v>0</v>
      </c>
      <c r="G31" s="123">
        <f t="shared" si="16"/>
        <v>0</v>
      </c>
      <c r="H31" s="108"/>
      <c r="I31" s="109"/>
      <c r="J31" s="124"/>
      <c r="K31" s="125" t="str">
        <f t="shared" si="6"/>
        <v/>
      </c>
      <c r="L31" s="125">
        <v>0.3</v>
      </c>
      <c r="M31" s="125">
        <f t="shared" si="17"/>
        <v>0.3</v>
      </c>
      <c r="N31" s="124" t="str">
        <f t="shared" si="8"/>
        <v/>
      </c>
      <c r="O31" s="126">
        <v>250.0</v>
      </c>
      <c r="P31" s="124">
        <f t="shared" si="5"/>
        <v>-250</v>
      </c>
      <c r="S31" s="94"/>
    </row>
    <row r="32" hidden="1" outlineLevel="2">
      <c r="A32" s="105">
        <v>45957.0</v>
      </c>
      <c r="B32" s="106">
        <v>22.0</v>
      </c>
      <c r="C32" s="332"/>
      <c r="D32" s="123">
        <f t="shared" si="14"/>
        <v>22</v>
      </c>
      <c r="E32" s="106">
        <v>23.0</v>
      </c>
      <c r="F32" s="123">
        <f t="shared" si="15"/>
        <v>0</v>
      </c>
      <c r="G32" s="123">
        <f t="shared" si="16"/>
        <v>23</v>
      </c>
      <c r="H32" s="108">
        <v>4432.3</v>
      </c>
      <c r="I32" s="109">
        <v>6521.74</v>
      </c>
      <c r="J32" s="124">
        <f t="shared" ref="J32:J36" si="20">H32-I32</f>
        <v>-2089.44</v>
      </c>
      <c r="K32" s="125">
        <f t="shared" si="6"/>
        <v>1.045454545</v>
      </c>
      <c r="L32" s="125">
        <v>0.3</v>
      </c>
      <c r="M32" s="125">
        <f t="shared" si="17"/>
        <v>-0.7454545455</v>
      </c>
      <c r="N32" s="124">
        <f t="shared" si="8"/>
        <v>192.7086957</v>
      </c>
      <c r="O32" s="126">
        <v>250.0</v>
      </c>
      <c r="P32" s="124">
        <f t="shared" si="5"/>
        <v>-57.29130435</v>
      </c>
      <c r="S32" s="94"/>
    </row>
    <row r="33" hidden="1" outlineLevel="2">
      <c r="A33" s="105">
        <v>45958.0</v>
      </c>
      <c r="B33" s="106">
        <v>12.0</v>
      </c>
      <c r="C33" s="332"/>
      <c r="D33" s="123">
        <f t="shared" si="14"/>
        <v>12</v>
      </c>
      <c r="E33" s="106">
        <v>11.0</v>
      </c>
      <c r="F33" s="123">
        <f t="shared" si="15"/>
        <v>0</v>
      </c>
      <c r="G33" s="123">
        <f t="shared" si="16"/>
        <v>11</v>
      </c>
      <c r="H33" s="108">
        <v>4386.2</v>
      </c>
      <c r="I33" s="109">
        <v>6521.74</v>
      </c>
      <c r="J33" s="124">
        <f t="shared" si="20"/>
        <v>-2135.54</v>
      </c>
      <c r="K33" s="125">
        <f t="shared" si="6"/>
        <v>0.9166666667</v>
      </c>
      <c r="L33" s="125">
        <v>0.3</v>
      </c>
      <c r="M33" s="125">
        <f t="shared" si="17"/>
        <v>-0.6166666667</v>
      </c>
      <c r="N33" s="124">
        <f t="shared" si="8"/>
        <v>398.7454545</v>
      </c>
      <c r="O33" s="126">
        <v>250.0</v>
      </c>
      <c r="P33" s="124">
        <f t="shared" si="5"/>
        <v>148.7454545</v>
      </c>
      <c r="S33" s="94"/>
    </row>
    <row r="34" hidden="1" outlineLevel="2">
      <c r="A34" s="105">
        <v>45959.0</v>
      </c>
      <c r="B34" s="106">
        <v>14.0</v>
      </c>
      <c r="C34" s="332"/>
      <c r="D34" s="123">
        <f t="shared" si="14"/>
        <v>14</v>
      </c>
      <c r="E34" s="106">
        <v>12.0</v>
      </c>
      <c r="F34" s="123">
        <f t="shared" si="15"/>
        <v>0</v>
      </c>
      <c r="G34" s="123">
        <f t="shared" si="16"/>
        <v>12</v>
      </c>
      <c r="H34" s="108">
        <v>4564.45</v>
      </c>
      <c r="I34" s="109">
        <v>6521.74</v>
      </c>
      <c r="J34" s="124">
        <f t="shared" si="20"/>
        <v>-1957.29</v>
      </c>
      <c r="K34" s="125">
        <f t="shared" si="6"/>
        <v>0.8571428571</v>
      </c>
      <c r="L34" s="125">
        <v>0.3</v>
      </c>
      <c r="M34" s="125">
        <f t="shared" si="17"/>
        <v>-0.5571428571</v>
      </c>
      <c r="N34" s="124">
        <f t="shared" si="8"/>
        <v>380.3708333</v>
      </c>
      <c r="O34" s="126">
        <v>250.0</v>
      </c>
      <c r="P34" s="124">
        <f t="shared" si="5"/>
        <v>130.3708333</v>
      </c>
      <c r="S34" s="94"/>
    </row>
    <row r="35" hidden="1" outlineLevel="2">
      <c r="A35" s="105">
        <v>45960.0</v>
      </c>
      <c r="B35" s="106">
        <v>33.0</v>
      </c>
      <c r="C35" s="332"/>
      <c r="D35" s="123">
        <f t="shared" si="14"/>
        <v>33</v>
      </c>
      <c r="E35" s="106">
        <v>14.0</v>
      </c>
      <c r="F35" s="123">
        <f t="shared" si="15"/>
        <v>0</v>
      </c>
      <c r="G35" s="123">
        <f t="shared" si="16"/>
        <v>14</v>
      </c>
      <c r="H35" s="108">
        <v>4766.68</v>
      </c>
      <c r="I35" s="109">
        <v>6521.74</v>
      </c>
      <c r="J35" s="124">
        <f t="shared" si="20"/>
        <v>-1755.06</v>
      </c>
      <c r="K35" s="125">
        <f t="shared" si="6"/>
        <v>0.4242424242</v>
      </c>
      <c r="L35" s="125">
        <v>0.3</v>
      </c>
      <c r="M35" s="125">
        <f t="shared" si="17"/>
        <v>-0.1242424242</v>
      </c>
      <c r="N35" s="124">
        <f t="shared" si="8"/>
        <v>340.4771429</v>
      </c>
      <c r="O35" s="126">
        <v>250.0</v>
      </c>
      <c r="P35" s="124">
        <f t="shared" si="5"/>
        <v>90.47714286</v>
      </c>
      <c r="S35" s="94"/>
    </row>
    <row r="36" hidden="1" outlineLevel="2">
      <c r="A36" s="105">
        <v>45961.0</v>
      </c>
      <c r="B36" s="106">
        <v>16.0</v>
      </c>
      <c r="C36" s="332"/>
      <c r="D36" s="123">
        <f t="shared" si="14"/>
        <v>16</v>
      </c>
      <c r="E36" s="106">
        <v>18.0</v>
      </c>
      <c r="F36" s="123">
        <f t="shared" si="15"/>
        <v>0</v>
      </c>
      <c r="G36" s="123">
        <f t="shared" si="16"/>
        <v>18</v>
      </c>
      <c r="H36" s="108">
        <v>4063.1</v>
      </c>
      <c r="I36" s="109">
        <v>6521.74</v>
      </c>
      <c r="J36" s="124">
        <f t="shared" si="20"/>
        <v>-2458.64</v>
      </c>
      <c r="K36" s="125">
        <f t="shared" si="6"/>
        <v>1.125</v>
      </c>
      <c r="L36" s="125">
        <v>0.3</v>
      </c>
      <c r="M36" s="125">
        <f t="shared" si="17"/>
        <v>-0.825</v>
      </c>
      <c r="N36" s="124">
        <f t="shared" si="8"/>
        <v>225.7277778</v>
      </c>
      <c r="O36" s="126">
        <v>250.0</v>
      </c>
      <c r="P36" s="124">
        <f t="shared" si="5"/>
        <v>-24.27222222</v>
      </c>
    </row>
    <row r="37" outlineLevel="1" collapsed="1">
      <c r="A37" s="100" t="s">
        <v>61</v>
      </c>
      <c r="B37" s="100">
        <f t="shared" ref="B37:G37" si="21">SUM(B38:B67)</f>
        <v>666</v>
      </c>
      <c r="C37" s="100">
        <f t="shared" si="21"/>
        <v>3000</v>
      </c>
      <c r="D37" s="100">
        <f t="shared" si="21"/>
        <v>-2265</v>
      </c>
      <c r="E37" s="100">
        <f t="shared" si="21"/>
        <v>412</v>
      </c>
      <c r="F37" s="100">
        <f t="shared" si="21"/>
        <v>600</v>
      </c>
      <c r="G37" s="100">
        <f t="shared" si="21"/>
        <v>-181</v>
      </c>
      <c r="H37" s="102">
        <f t="shared" ref="H37:I37" si="22">SUM(H38:H68)</f>
        <v>136383.86</v>
      </c>
      <c r="I37" s="102">
        <f t="shared" si="22"/>
        <v>150000.02</v>
      </c>
      <c r="J37" s="102">
        <f>SUM(J38:J67)</f>
        <v>-21475.4</v>
      </c>
      <c r="K37" s="103">
        <f t="shared" si="6"/>
        <v>0.6186186186</v>
      </c>
      <c r="L37" s="103">
        <v>0.3</v>
      </c>
      <c r="M37" s="103">
        <f t="shared" si="17"/>
        <v>-0.3186186186</v>
      </c>
      <c r="N37" s="102">
        <f t="shared" si="8"/>
        <v>331.0287864</v>
      </c>
      <c r="O37" s="104">
        <f>O38</f>
        <v>250</v>
      </c>
      <c r="P37" s="102">
        <f t="shared" si="5"/>
        <v>81.02878641</v>
      </c>
      <c r="Q37" s="90"/>
      <c r="R37" s="267" t="s">
        <v>62</v>
      </c>
      <c r="T37" s="90"/>
      <c r="U37" s="90"/>
      <c r="V37" s="90"/>
      <c r="W37" s="90"/>
      <c r="X37" s="90"/>
      <c r="Y37" s="90"/>
      <c r="Z37" s="90"/>
      <c r="AA37" s="90"/>
      <c r="AB37" s="90"/>
    </row>
    <row r="38" hidden="1" outlineLevel="2">
      <c r="A38" s="132">
        <v>45931.0</v>
      </c>
      <c r="B38" s="329">
        <v>28.0</v>
      </c>
      <c r="C38" s="123">
        <v>100.0</v>
      </c>
      <c r="D38" s="123">
        <f t="shared" ref="D38:D43" si="23">B38-C38</f>
        <v>-72</v>
      </c>
      <c r="E38" s="329">
        <v>25.0</v>
      </c>
      <c r="F38" s="123">
        <f t="shared" ref="F38:F68" si="24">C38*20%</f>
        <v>20</v>
      </c>
      <c r="G38" s="123">
        <f t="shared" ref="G38:G43" si="25">E38-F38</f>
        <v>5</v>
      </c>
      <c r="H38" s="330">
        <v>6938.75</v>
      </c>
      <c r="I38" s="124">
        <v>6521.74</v>
      </c>
      <c r="J38" s="358">
        <f t="shared" ref="J38:J40" si="26">H38-I38</f>
        <v>417.01</v>
      </c>
      <c r="K38" s="125">
        <f t="shared" si="6"/>
        <v>0.8928571429</v>
      </c>
      <c r="L38" s="125">
        <v>0.3</v>
      </c>
      <c r="M38" s="125">
        <f t="shared" si="17"/>
        <v>-0.5928571429</v>
      </c>
      <c r="N38" s="124">
        <f t="shared" si="8"/>
        <v>277.55</v>
      </c>
      <c r="O38" s="126">
        <v>250.0</v>
      </c>
      <c r="P38" s="124">
        <f t="shared" si="5"/>
        <v>27.55</v>
      </c>
      <c r="R38" s="115" t="s">
        <v>12</v>
      </c>
    </row>
    <row r="39" hidden="1" outlineLevel="2">
      <c r="A39" s="132">
        <v>45932.0</v>
      </c>
      <c r="B39" s="329">
        <v>19.0</v>
      </c>
      <c r="C39" s="123">
        <v>100.0</v>
      </c>
      <c r="D39" s="123">
        <f t="shared" si="23"/>
        <v>-81</v>
      </c>
      <c r="E39" s="329">
        <v>15.0</v>
      </c>
      <c r="F39" s="123">
        <f t="shared" si="24"/>
        <v>20</v>
      </c>
      <c r="G39" s="123">
        <f t="shared" si="25"/>
        <v>-5</v>
      </c>
      <c r="H39" s="330">
        <v>5235.87</v>
      </c>
      <c r="I39" s="124">
        <v>6521.74</v>
      </c>
      <c r="J39" s="124">
        <f t="shared" si="26"/>
        <v>-1285.87</v>
      </c>
      <c r="K39" s="125">
        <f t="shared" si="6"/>
        <v>0.7894736842</v>
      </c>
      <c r="L39" s="125">
        <v>0.3</v>
      </c>
      <c r="M39" s="125">
        <f t="shared" si="17"/>
        <v>-0.4894736842</v>
      </c>
      <c r="N39" s="124">
        <f t="shared" si="8"/>
        <v>349.058</v>
      </c>
      <c r="O39" s="126">
        <v>250.0</v>
      </c>
      <c r="P39" s="124">
        <f t="shared" si="5"/>
        <v>99.058</v>
      </c>
      <c r="R39" s="113" t="s">
        <v>8</v>
      </c>
      <c r="S39" s="116">
        <v>150000.0</v>
      </c>
    </row>
    <row r="40" hidden="1" outlineLevel="2">
      <c r="A40" s="132">
        <v>45933.0</v>
      </c>
      <c r="B40" s="329">
        <v>22.0</v>
      </c>
      <c r="C40" s="123">
        <v>100.0</v>
      </c>
      <c r="D40" s="123">
        <f t="shared" si="23"/>
        <v>-78</v>
      </c>
      <c r="E40" s="329">
        <v>16.0</v>
      </c>
      <c r="F40" s="123">
        <f t="shared" si="24"/>
        <v>20</v>
      </c>
      <c r="G40" s="123">
        <f t="shared" si="25"/>
        <v>-4</v>
      </c>
      <c r="H40" s="330">
        <v>5282.65</v>
      </c>
      <c r="I40" s="124">
        <v>6521.74</v>
      </c>
      <c r="J40" s="124">
        <f t="shared" si="26"/>
        <v>-1239.09</v>
      </c>
      <c r="K40" s="125">
        <f t="shared" si="6"/>
        <v>0.7272727273</v>
      </c>
      <c r="L40" s="125">
        <v>0.3</v>
      </c>
      <c r="M40" s="125">
        <f t="shared" si="17"/>
        <v>-0.4272727273</v>
      </c>
      <c r="N40" s="124">
        <f t="shared" si="8"/>
        <v>330.165625</v>
      </c>
      <c r="O40" s="126">
        <v>250.0</v>
      </c>
      <c r="P40" s="124">
        <f t="shared" si="5"/>
        <v>80.165625</v>
      </c>
      <c r="R40" s="113" t="s">
        <v>45</v>
      </c>
      <c r="S40" s="117">
        <f>S39/30</f>
        <v>5000</v>
      </c>
    </row>
    <row r="41" hidden="1" outlineLevel="2">
      <c r="A41" s="132">
        <v>45934.0</v>
      </c>
      <c r="B41" s="329">
        <v>32.0</v>
      </c>
      <c r="C41" s="123">
        <v>100.0</v>
      </c>
      <c r="D41" s="123">
        <f t="shared" si="23"/>
        <v>-68</v>
      </c>
      <c r="E41" s="329">
        <v>7.0</v>
      </c>
      <c r="F41" s="123">
        <f t="shared" si="24"/>
        <v>20</v>
      </c>
      <c r="G41" s="123">
        <f t="shared" si="25"/>
        <v>-13</v>
      </c>
      <c r="H41" s="330">
        <v>1288.96</v>
      </c>
      <c r="I41" s="124"/>
      <c r="J41" s="124"/>
      <c r="K41" s="125">
        <f t="shared" si="6"/>
        <v>0.21875</v>
      </c>
      <c r="L41" s="125">
        <v>0.3</v>
      </c>
      <c r="M41" s="125">
        <f t="shared" si="17"/>
        <v>0.08125</v>
      </c>
      <c r="N41" s="124">
        <f t="shared" si="8"/>
        <v>184.1371429</v>
      </c>
      <c r="O41" s="126">
        <v>250.0</v>
      </c>
      <c r="P41" s="124">
        <f t="shared" si="5"/>
        <v>-65.86285714</v>
      </c>
      <c r="R41" s="113" t="s">
        <v>46</v>
      </c>
      <c r="S41" s="117">
        <f>S39/23</f>
        <v>6521.73913</v>
      </c>
    </row>
    <row r="42" hidden="1" outlineLevel="2">
      <c r="A42" s="132">
        <v>45935.0</v>
      </c>
      <c r="B42" s="329">
        <v>31.0</v>
      </c>
      <c r="C42" s="123">
        <v>100.0</v>
      </c>
      <c r="D42" s="123">
        <f t="shared" si="23"/>
        <v>-69</v>
      </c>
      <c r="E42" s="329">
        <v>0.0</v>
      </c>
      <c r="F42" s="123">
        <f t="shared" si="24"/>
        <v>20</v>
      </c>
      <c r="G42" s="123">
        <f t="shared" si="25"/>
        <v>-20</v>
      </c>
      <c r="H42" s="330"/>
      <c r="I42" s="124"/>
      <c r="J42" s="124"/>
      <c r="K42" s="125">
        <f t="shared" si="6"/>
        <v>0</v>
      </c>
      <c r="L42" s="125">
        <v>0.3</v>
      </c>
      <c r="M42" s="125">
        <f t="shared" si="17"/>
        <v>0.3</v>
      </c>
      <c r="N42" s="124" t="str">
        <f t="shared" si="8"/>
        <v/>
      </c>
      <c r="O42" s="126">
        <v>250.0</v>
      </c>
      <c r="P42" s="124">
        <f t="shared" si="5"/>
        <v>-250</v>
      </c>
      <c r="R42" s="113" t="s">
        <v>7</v>
      </c>
      <c r="S42" s="117">
        <f>H37</f>
        <v>136383.86</v>
      </c>
    </row>
    <row r="43" hidden="1" outlineLevel="2">
      <c r="A43" s="132">
        <v>45936.0</v>
      </c>
      <c r="B43" s="329">
        <v>21.0</v>
      </c>
      <c r="C43" s="123">
        <v>100.0</v>
      </c>
      <c r="D43" s="123">
        <f t="shared" si="23"/>
        <v>-79</v>
      </c>
      <c r="E43" s="329">
        <v>24.0</v>
      </c>
      <c r="F43" s="123">
        <f t="shared" si="24"/>
        <v>20</v>
      </c>
      <c r="G43" s="123">
        <f t="shared" si="25"/>
        <v>4</v>
      </c>
      <c r="H43" s="330">
        <v>8389.09</v>
      </c>
      <c r="I43" s="124">
        <v>6521.74</v>
      </c>
      <c r="J43" s="358">
        <f t="shared" ref="J43:J47" si="27">H43-I43</f>
        <v>1867.35</v>
      </c>
      <c r="K43" s="125">
        <f t="shared" si="6"/>
        <v>1.142857143</v>
      </c>
      <c r="L43" s="125">
        <v>0.3</v>
      </c>
      <c r="M43" s="125">
        <f t="shared" si="17"/>
        <v>-0.8428571429</v>
      </c>
      <c r="N43" s="124">
        <f t="shared" si="8"/>
        <v>349.5454167</v>
      </c>
      <c r="O43" s="126">
        <v>250.0</v>
      </c>
      <c r="P43" s="124">
        <f t="shared" si="5"/>
        <v>99.54541667</v>
      </c>
      <c r="R43" s="113" t="s">
        <v>47</v>
      </c>
      <c r="S43" s="119">
        <f>S42/S39</f>
        <v>0.9092257333</v>
      </c>
    </row>
    <row r="44" hidden="1" outlineLevel="2">
      <c r="A44" s="132">
        <v>45937.0</v>
      </c>
      <c r="B44" s="329">
        <v>31.0</v>
      </c>
      <c r="C44" s="123">
        <v>100.0</v>
      </c>
      <c r="D44" s="123"/>
      <c r="E44" s="329">
        <v>13.0</v>
      </c>
      <c r="F44" s="123">
        <f t="shared" si="24"/>
        <v>20</v>
      </c>
      <c r="G44" s="123"/>
      <c r="H44" s="330">
        <v>5340.83</v>
      </c>
      <c r="I44" s="124">
        <v>6521.74</v>
      </c>
      <c r="J44" s="124">
        <f t="shared" si="27"/>
        <v>-1180.91</v>
      </c>
      <c r="K44" s="125">
        <f t="shared" si="6"/>
        <v>0.4193548387</v>
      </c>
      <c r="L44" s="125">
        <v>0.3</v>
      </c>
      <c r="M44" s="125">
        <f t="shared" si="17"/>
        <v>-0.1193548387</v>
      </c>
      <c r="N44" s="124">
        <f t="shared" si="8"/>
        <v>410.8330769</v>
      </c>
      <c r="O44" s="126">
        <v>250.0</v>
      </c>
      <c r="P44" s="124">
        <f t="shared" si="5"/>
        <v>160.8330769</v>
      </c>
      <c r="R44" s="113" t="s">
        <v>48</v>
      </c>
      <c r="S44" s="120">
        <v>1.0</v>
      </c>
    </row>
    <row r="45" hidden="1" outlineLevel="2">
      <c r="A45" s="132">
        <v>45938.0</v>
      </c>
      <c r="B45" s="329">
        <v>23.0</v>
      </c>
      <c r="C45" s="123">
        <v>100.0</v>
      </c>
      <c r="D45" s="123">
        <f t="shared" ref="D45:D68" si="28">B45-C45</f>
        <v>-77</v>
      </c>
      <c r="E45" s="329">
        <v>28.0</v>
      </c>
      <c r="F45" s="123">
        <f t="shared" si="24"/>
        <v>20</v>
      </c>
      <c r="G45" s="123">
        <f t="shared" ref="G45:G68" si="29">E45-F45</f>
        <v>8</v>
      </c>
      <c r="H45" s="330">
        <v>9296.66</v>
      </c>
      <c r="I45" s="124">
        <v>6521.74</v>
      </c>
      <c r="J45" s="358">
        <f t="shared" si="27"/>
        <v>2774.92</v>
      </c>
      <c r="K45" s="125">
        <f t="shared" si="6"/>
        <v>1.217391304</v>
      </c>
      <c r="L45" s="125">
        <v>0.3</v>
      </c>
      <c r="M45" s="125">
        <f t="shared" si="17"/>
        <v>-0.9173913043</v>
      </c>
      <c r="N45" s="124">
        <f t="shared" si="8"/>
        <v>332.0235714</v>
      </c>
      <c r="O45" s="126">
        <v>250.0</v>
      </c>
      <c r="P45" s="124">
        <f t="shared" si="5"/>
        <v>82.02357143</v>
      </c>
      <c r="R45" s="113" t="s">
        <v>49</v>
      </c>
      <c r="S45" s="121">
        <f>(S39-S42)/S44</f>
        <v>13616.14</v>
      </c>
    </row>
    <row r="46" hidden="1" outlineLevel="2">
      <c r="A46" s="132">
        <v>45939.0</v>
      </c>
      <c r="B46" s="329">
        <v>27.0</v>
      </c>
      <c r="C46" s="123">
        <v>100.0</v>
      </c>
      <c r="D46" s="123">
        <f t="shared" si="28"/>
        <v>-73</v>
      </c>
      <c r="E46" s="329">
        <v>18.0</v>
      </c>
      <c r="F46" s="123">
        <f t="shared" si="24"/>
        <v>20</v>
      </c>
      <c r="G46" s="123">
        <f t="shared" si="29"/>
        <v>-2</v>
      </c>
      <c r="H46" s="330">
        <v>5944.61</v>
      </c>
      <c r="I46" s="124">
        <v>6521.74</v>
      </c>
      <c r="J46" s="124">
        <f t="shared" si="27"/>
        <v>-577.13</v>
      </c>
      <c r="K46" s="125">
        <f t="shared" si="6"/>
        <v>0.6666666667</v>
      </c>
      <c r="L46" s="125">
        <v>0.3</v>
      </c>
      <c r="M46" s="125">
        <f t="shared" si="17"/>
        <v>-0.3666666667</v>
      </c>
      <c r="N46" s="124">
        <f t="shared" si="8"/>
        <v>330.2561111</v>
      </c>
      <c r="O46" s="126">
        <v>250.0</v>
      </c>
      <c r="P46" s="124">
        <f t="shared" si="5"/>
        <v>80.25611111</v>
      </c>
      <c r="R46" s="113" t="s">
        <v>50</v>
      </c>
      <c r="S46" s="122">
        <f>N37</f>
        <v>331.0287864</v>
      </c>
    </row>
    <row r="47" hidden="1" outlineLevel="2">
      <c r="A47" s="132">
        <v>45940.0</v>
      </c>
      <c r="B47" s="329">
        <v>32.0</v>
      </c>
      <c r="C47" s="123">
        <v>100.0</v>
      </c>
      <c r="D47" s="123">
        <f t="shared" si="28"/>
        <v>-68</v>
      </c>
      <c r="E47" s="329">
        <v>13.0</v>
      </c>
      <c r="F47" s="123">
        <f t="shared" si="24"/>
        <v>20</v>
      </c>
      <c r="G47" s="123">
        <f t="shared" si="29"/>
        <v>-7</v>
      </c>
      <c r="H47" s="330">
        <v>4298.35</v>
      </c>
      <c r="I47" s="124">
        <v>6521.74</v>
      </c>
      <c r="J47" s="124">
        <f t="shared" si="27"/>
        <v>-2223.39</v>
      </c>
      <c r="K47" s="125">
        <f t="shared" si="6"/>
        <v>0.40625</v>
      </c>
      <c r="L47" s="125">
        <v>0.3</v>
      </c>
      <c r="M47" s="125">
        <f t="shared" si="17"/>
        <v>-0.10625</v>
      </c>
      <c r="N47" s="124">
        <f t="shared" si="8"/>
        <v>330.6423077</v>
      </c>
      <c r="O47" s="126">
        <v>250.0</v>
      </c>
      <c r="P47" s="124">
        <f t="shared" si="5"/>
        <v>80.64230769</v>
      </c>
      <c r="R47" s="113" t="s">
        <v>51</v>
      </c>
      <c r="S47" s="128">
        <f>B37</f>
        <v>666</v>
      </c>
    </row>
    <row r="48" hidden="1" outlineLevel="2">
      <c r="A48" s="132">
        <v>45941.0</v>
      </c>
      <c r="B48" s="329">
        <v>47.0</v>
      </c>
      <c r="C48" s="123">
        <v>100.0</v>
      </c>
      <c r="D48" s="123">
        <f t="shared" si="28"/>
        <v>-53</v>
      </c>
      <c r="E48" s="329">
        <v>2.0</v>
      </c>
      <c r="F48" s="123">
        <f t="shared" si="24"/>
        <v>20</v>
      </c>
      <c r="G48" s="123">
        <f t="shared" si="29"/>
        <v>-18</v>
      </c>
      <c r="H48" s="330">
        <v>825.0</v>
      </c>
      <c r="I48" s="124"/>
      <c r="J48" s="124"/>
      <c r="K48" s="125">
        <f t="shared" si="6"/>
        <v>0.04255319149</v>
      </c>
      <c r="L48" s="125">
        <v>0.3</v>
      </c>
      <c r="M48" s="125">
        <f t="shared" si="17"/>
        <v>0.2574468085</v>
      </c>
      <c r="N48" s="124">
        <f t="shared" si="8"/>
        <v>412.5</v>
      </c>
      <c r="O48" s="126">
        <v>250.0</v>
      </c>
      <c r="P48" s="124">
        <f t="shared" si="5"/>
        <v>162.5</v>
      </c>
      <c r="R48" s="113" t="s">
        <v>52</v>
      </c>
      <c r="S48" s="128">
        <f>E37</f>
        <v>412</v>
      </c>
    </row>
    <row r="49" hidden="1" outlineLevel="2">
      <c r="A49" s="132">
        <v>45942.0</v>
      </c>
      <c r="B49" s="329">
        <v>0.0</v>
      </c>
      <c r="C49" s="123">
        <v>100.0</v>
      </c>
      <c r="D49" s="123">
        <f t="shared" si="28"/>
        <v>-100</v>
      </c>
      <c r="E49" s="329">
        <v>0.0</v>
      </c>
      <c r="F49" s="123">
        <f t="shared" si="24"/>
        <v>20</v>
      </c>
      <c r="G49" s="123">
        <f t="shared" si="29"/>
        <v>-20</v>
      </c>
      <c r="H49" s="330"/>
      <c r="I49" s="124"/>
      <c r="J49" s="124"/>
      <c r="K49" s="125" t="str">
        <f t="shared" si="6"/>
        <v/>
      </c>
      <c r="L49" s="125">
        <v>0.3</v>
      </c>
      <c r="M49" s="125">
        <f t="shared" si="17"/>
        <v>0.3</v>
      </c>
      <c r="N49" s="124" t="str">
        <f t="shared" si="8"/>
        <v/>
      </c>
      <c r="O49" s="126">
        <v>250.0</v>
      </c>
      <c r="P49" s="124">
        <f t="shared" si="5"/>
        <v>-250</v>
      </c>
      <c r="R49" s="113" t="s">
        <v>4</v>
      </c>
      <c r="S49" s="119">
        <f>E37/B37</f>
        <v>0.6186186186</v>
      </c>
    </row>
    <row r="50" hidden="1" outlineLevel="2">
      <c r="A50" s="132">
        <v>45943.0</v>
      </c>
      <c r="B50" s="329">
        <v>77.0</v>
      </c>
      <c r="C50" s="123">
        <v>100.0</v>
      </c>
      <c r="D50" s="123">
        <f t="shared" si="28"/>
        <v>-23</v>
      </c>
      <c r="E50" s="329">
        <v>21.0</v>
      </c>
      <c r="F50" s="123">
        <f t="shared" si="24"/>
        <v>20</v>
      </c>
      <c r="G50" s="123">
        <f t="shared" si="29"/>
        <v>1</v>
      </c>
      <c r="H50" s="330">
        <v>5586.94</v>
      </c>
      <c r="I50" s="124">
        <v>6521.74</v>
      </c>
      <c r="J50" s="124">
        <f t="shared" ref="J50:J54" si="30">H50-I50</f>
        <v>-934.8</v>
      </c>
      <c r="K50" s="125">
        <f t="shared" si="6"/>
        <v>0.2727272727</v>
      </c>
      <c r="L50" s="125">
        <v>0.3</v>
      </c>
      <c r="M50" s="125">
        <f t="shared" si="17"/>
        <v>0.02727272727</v>
      </c>
      <c r="N50" s="124">
        <f t="shared" si="8"/>
        <v>266.0447619</v>
      </c>
      <c r="O50" s="126">
        <v>250.0</v>
      </c>
      <c r="P50" s="124">
        <f t="shared" si="5"/>
        <v>16.0447619</v>
      </c>
      <c r="S50" s="94"/>
    </row>
    <row r="51" hidden="1" outlineLevel="2">
      <c r="A51" s="132">
        <v>45944.0</v>
      </c>
      <c r="B51" s="329">
        <v>16.0</v>
      </c>
      <c r="C51" s="123">
        <v>100.0</v>
      </c>
      <c r="D51" s="123">
        <f t="shared" si="28"/>
        <v>-84</v>
      </c>
      <c r="E51" s="329">
        <v>17.0</v>
      </c>
      <c r="F51" s="123">
        <f t="shared" si="24"/>
        <v>20</v>
      </c>
      <c r="G51" s="123">
        <f t="shared" si="29"/>
        <v>-3</v>
      </c>
      <c r="H51" s="330">
        <v>4780.51</v>
      </c>
      <c r="I51" s="124">
        <v>6521.74</v>
      </c>
      <c r="J51" s="124">
        <f t="shared" si="30"/>
        <v>-1741.23</v>
      </c>
      <c r="K51" s="125">
        <f t="shared" si="6"/>
        <v>1.0625</v>
      </c>
      <c r="L51" s="125">
        <v>0.3</v>
      </c>
      <c r="M51" s="125">
        <f t="shared" si="17"/>
        <v>-0.7625</v>
      </c>
      <c r="N51" s="124">
        <f t="shared" si="8"/>
        <v>281.2064706</v>
      </c>
      <c r="O51" s="126">
        <v>250.0</v>
      </c>
      <c r="P51" s="124">
        <f t="shared" si="5"/>
        <v>31.20647059</v>
      </c>
      <c r="S51" s="94"/>
    </row>
    <row r="52" hidden="1" outlineLevel="2">
      <c r="A52" s="132">
        <v>45945.0</v>
      </c>
      <c r="B52" s="329">
        <v>18.0</v>
      </c>
      <c r="C52" s="123">
        <v>100.0</v>
      </c>
      <c r="D52" s="123">
        <f t="shared" si="28"/>
        <v>-82</v>
      </c>
      <c r="E52" s="329">
        <v>13.0</v>
      </c>
      <c r="F52" s="123">
        <f t="shared" si="24"/>
        <v>20</v>
      </c>
      <c r="G52" s="123">
        <f t="shared" si="29"/>
        <v>-7</v>
      </c>
      <c r="H52" s="330">
        <v>5400.24</v>
      </c>
      <c r="I52" s="124">
        <v>6521.74</v>
      </c>
      <c r="J52" s="124">
        <f t="shared" si="30"/>
        <v>-1121.5</v>
      </c>
      <c r="K52" s="125">
        <f t="shared" si="6"/>
        <v>0.7222222222</v>
      </c>
      <c r="L52" s="125">
        <v>0.3</v>
      </c>
      <c r="M52" s="125">
        <f t="shared" si="17"/>
        <v>-0.4222222222</v>
      </c>
      <c r="N52" s="124">
        <f t="shared" si="8"/>
        <v>415.4030769</v>
      </c>
      <c r="O52" s="126">
        <v>250.0</v>
      </c>
      <c r="P52" s="124">
        <f t="shared" si="5"/>
        <v>165.4030769</v>
      </c>
      <c r="S52" s="94"/>
    </row>
    <row r="53" hidden="1" outlineLevel="2">
      <c r="A53" s="132">
        <v>45946.0</v>
      </c>
      <c r="B53" s="329">
        <v>20.0</v>
      </c>
      <c r="C53" s="123">
        <v>100.0</v>
      </c>
      <c r="D53" s="123">
        <f t="shared" si="28"/>
        <v>-80</v>
      </c>
      <c r="E53" s="329">
        <v>10.0</v>
      </c>
      <c r="F53" s="123">
        <f t="shared" si="24"/>
        <v>20</v>
      </c>
      <c r="G53" s="123">
        <f t="shared" si="29"/>
        <v>-10</v>
      </c>
      <c r="H53" s="108">
        <v>3825.63</v>
      </c>
      <c r="I53" s="124">
        <v>6521.74</v>
      </c>
      <c r="J53" s="124">
        <f t="shared" si="30"/>
        <v>-2696.11</v>
      </c>
      <c r="K53" s="125">
        <f t="shared" si="6"/>
        <v>0.5</v>
      </c>
      <c r="L53" s="125">
        <v>0.3</v>
      </c>
      <c r="M53" s="125">
        <f t="shared" si="17"/>
        <v>-0.2</v>
      </c>
      <c r="N53" s="124">
        <f t="shared" si="8"/>
        <v>382.563</v>
      </c>
      <c r="O53" s="126">
        <v>250.0</v>
      </c>
      <c r="P53" s="124">
        <f t="shared" si="5"/>
        <v>132.563</v>
      </c>
      <c r="S53" s="94"/>
    </row>
    <row r="54" hidden="1" outlineLevel="2">
      <c r="A54" s="132">
        <v>45947.0</v>
      </c>
      <c r="B54" s="329">
        <v>20.0</v>
      </c>
      <c r="C54" s="123">
        <v>100.0</v>
      </c>
      <c r="D54" s="123">
        <f t="shared" si="28"/>
        <v>-80</v>
      </c>
      <c r="E54" s="329">
        <v>18.0</v>
      </c>
      <c r="F54" s="123">
        <f t="shared" si="24"/>
        <v>20</v>
      </c>
      <c r="G54" s="123">
        <f t="shared" si="29"/>
        <v>-2</v>
      </c>
      <c r="H54" s="330">
        <v>4109.6</v>
      </c>
      <c r="I54" s="124">
        <v>6521.74</v>
      </c>
      <c r="J54" s="124">
        <f t="shared" si="30"/>
        <v>-2412.14</v>
      </c>
      <c r="K54" s="125">
        <f t="shared" si="6"/>
        <v>0.9</v>
      </c>
      <c r="L54" s="125">
        <v>0.3</v>
      </c>
      <c r="M54" s="125">
        <f t="shared" si="17"/>
        <v>-0.6</v>
      </c>
      <c r="N54" s="124">
        <f t="shared" si="8"/>
        <v>228.3111111</v>
      </c>
      <c r="O54" s="126">
        <v>250.0</v>
      </c>
      <c r="P54" s="124">
        <f t="shared" si="5"/>
        <v>-21.68888889</v>
      </c>
      <c r="S54" s="94"/>
    </row>
    <row r="55" hidden="1" outlineLevel="2">
      <c r="A55" s="132">
        <v>45948.0</v>
      </c>
      <c r="B55" s="329">
        <v>4.0</v>
      </c>
      <c r="C55" s="123">
        <v>100.0</v>
      </c>
      <c r="D55" s="123">
        <f t="shared" si="28"/>
        <v>-96</v>
      </c>
      <c r="E55" s="329">
        <v>10.0</v>
      </c>
      <c r="F55" s="123">
        <f t="shared" si="24"/>
        <v>20</v>
      </c>
      <c r="G55" s="123">
        <f t="shared" si="29"/>
        <v>-10</v>
      </c>
      <c r="H55" s="330">
        <v>2273.53</v>
      </c>
      <c r="I55" s="124"/>
      <c r="J55" s="124"/>
      <c r="K55" s="125">
        <f t="shared" si="6"/>
        <v>2.5</v>
      </c>
      <c r="L55" s="125">
        <v>0.3</v>
      </c>
      <c r="M55" s="125">
        <f t="shared" si="17"/>
        <v>-2.2</v>
      </c>
      <c r="N55" s="124">
        <f t="shared" si="8"/>
        <v>227.353</v>
      </c>
      <c r="O55" s="126">
        <v>250.0</v>
      </c>
      <c r="P55" s="124">
        <f t="shared" si="5"/>
        <v>-22.647</v>
      </c>
      <c r="S55" s="94"/>
    </row>
    <row r="56" hidden="1" outlineLevel="2">
      <c r="A56" s="132">
        <v>45949.0</v>
      </c>
      <c r="B56" s="329">
        <v>0.0</v>
      </c>
      <c r="C56" s="123">
        <v>100.0</v>
      </c>
      <c r="D56" s="123">
        <f t="shared" si="28"/>
        <v>-100</v>
      </c>
      <c r="E56" s="329">
        <v>0.0</v>
      </c>
      <c r="F56" s="123">
        <f t="shared" si="24"/>
        <v>20</v>
      </c>
      <c r="G56" s="123">
        <f t="shared" si="29"/>
        <v>-20</v>
      </c>
      <c r="H56" s="330"/>
      <c r="I56" s="124"/>
      <c r="J56" s="124"/>
      <c r="K56" s="125" t="str">
        <f t="shared" si="6"/>
        <v/>
      </c>
      <c r="L56" s="125">
        <v>0.3</v>
      </c>
      <c r="M56" s="125">
        <f t="shared" si="17"/>
        <v>0.3</v>
      </c>
      <c r="N56" s="124" t="str">
        <f t="shared" si="8"/>
        <v/>
      </c>
      <c r="O56" s="126">
        <v>250.0</v>
      </c>
      <c r="P56" s="124">
        <f t="shared" si="5"/>
        <v>-250</v>
      </c>
      <c r="S56" s="94"/>
    </row>
    <row r="57" hidden="1" outlineLevel="2">
      <c r="A57" s="132">
        <v>45950.0</v>
      </c>
      <c r="B57" s="329">
        <v>21.0</v>
      </c>
      <c r="C57" s="123">
        <v>100.0</v>
      </c>
      <c r="D57" s="123">
        <f t="shared" si="28"/>
        <v>-79</v>
      </c>
      <c r="E57" s="329">
        <v>19.0</v>
      </c>
      <c r="F57" s="123">
        <f t="shared" si="24"/>
        <v>20</v>
      </c>
      <c r="G57" s="123">
        <f t="shared" si="29"/>
        <v>-1</v>
      </c>
      <c r="H57" s="330">
        <v>6727.0</v>
      </c>
      <c r="I57" s="124">
        <v>6521.74</v>
      </c>
      <c r="J57" s="124">
        <f t="shared" ref="J57:J61" si="31">H57-I57</f>
        <v>205.26</v>
      </c>
      <c r="K57" s="125">
        <f t="shared" si="6"/>
        <v>0.9047619048</v>
      </c>
      <c r="L57" s="125">
        <v>0.3</v>
      </c>
      <c r="M57" s="125">
        <f t="shared" si="17"/>
        <v>-0.6047619048</v>
      </c>
      <c r="N57" s="124">
        <f t="shared" si="8"/>
        <v>354.0526316</v>
      </c>
      <c r="O57" s="126">
        <v>250.0</v>
      </c>
      <c r="P57" s="124">
        <f t="shared" si="5"/>
        <v>104.0526316</v>
      </c>
      <c r="S57" s="94"/>
    </row>
    <row r="58" hidden="1" outlineLevel="2">
      <c r="A58" s="132">
        <v>45951.0</v>
      </c>
      <c r="B58" s="329">
        <v>25.0</v>
      </c>
      <c r="C58" s="123">
        <v>100.0</v>
      </c>
      <c r="D58" s="123">
        <f t="shared" si="28"/>
        <v>-75</v>
      </c>
      <c r="E58" s="329">
        <v>19.0</v>
      </c>
      <c r="F58" s="123">
        <f t="shared" si="24"/>
        <v>20</v>
      </c>
      <c r="G58" s="123">
        <f t="shared" si="29"/>
        <v>-1</v>
      </c>
      <c r="H58" s="330">
        <v>6222.34</v>
      </c>
      <c r="I58" s="124">
        <v>6521.74</v>
      </c>
      <c r="J58" s="124">
        <f t="shared" si="31"/>
        <v>-299.4</v>
      </c>
      <c r="K58" s="125">
        <f t="shared" si="6"/>
        <v>0.76</v>
      </c>
      <c r="L58" s="125">
        <v>0.3</v>
      </c>
      <c r="M58" s="125">
        <f t="shared" si="17"/>
        <v>-0.46</v>
      </c>
      <c r="N58" s="124">
        <f t="shared" si="8"/>
        <v>327.4915789</v>
      </c>
      <c r="O58" s="126">
        <v>250.0</v>
      </c>
      <c r="P58" s="124">
        <f t="shared" si="5"/>
        <v>77.49157895</v>
      </c>
      <c r="S58" s="94"/>
    </row>
    <row r="59" hidden="1" outlineLevel="2">
      <c r="A59" s="132">
        <v>45952.0</v>
      </c>
      <c r="B59" s="329">
        <v>19.0</v>
      </c>
      <c r="C59" s="123">
        <v>100.0</v>
      </c>
      <c r="D59" s="123">
        <f t="shared" si="28"/>
        <v>-81</v>
      </c>
      <c r="E59" s="329">
        <v>13.0</v>
      </c>
      <c r="F59" s="123">
        <f t="shared" si="24"/>
        <v>20</v>
      </c>
      <c r="G59" s="123">
        <f t="shared" si="29"/>
        <v>-7</v>
      </c>
      <c r="H59" s="330">
        <v>4501.0</v>
      </c>
      <c r="I59" s="124">
        <v>6521.74</v>
      </c>
      <c r="J59" s="124">
        <f t="shared" si="31"/>
        <v>-2020.74</v>
      </c>
      <c r="K59" s="125">
        <f t="shared" si="6"/>
        <v>0.6842105263</v>
      </c>
      <c r="L59" s="125">
        <v>0.3</v>
      </c>
      <c r="M59" s="125">
        <f t="shared" si="17"/>
        <v>-0.3842105263</v>
      </c>
      <c r="N59" s="124">
        <f t="shared" si="8"/>
        <v>346.2307692</v>
      </c>
      <c r="O59" s="126">
        <v>250.0</v>
      </c>
      <c r="P59" s="124">
        <f t="shared" si="5"/>
        <v>96.23076923</v>
      </c>
      <c r="S59" s="94"/>
    </row>
    <row r="60" hidden="1" outlineLevel="2">
      <c r="A60" s="132">
        <v>45953.0</v>
      </c>
      <c r="B60" s="329">
        <v>14.0</v>
      </c>
      <c r="C60" s="123">
        <v>100.0</v>
      </c>
      <c r="D60" s="123">
        <f t="shared" si="28"/>
        <v>-86</v>
      </c>
      <c r="E60" s="329">
        <v>15.0</v>
      </c>
      <c r="F60" s="123">
        <f t="shared" si="24"/>
        <v>20</v>
      </c>
      <c r="G60" s="123">
        <f t="shared" si="29"/>
        <v>-5</v>
      </c>
      <c r="H60" s="330">
        <v>3809.91</v>
      </c>
      <c r="I60" s="124">
        <v>6521.74</v>
      </c>
      <c r="J60" s="124">
        <f t="shared" si="31"/>
        <v>-2711.83</v>
      </c>
      <c r="K60" s="125">
        <f t="shared" si="6"/>
        <v>1.071428571</v>
      </c>
      <c r="L60" s="125">
        <v>0.3</v>
      </c>
      <c r="M60" s="125">
        <f t="shared" si="17"/>
        <v>-0.7714285714</v>
      </c>
      <c r="N60" s="124">
        <f t="shared" si="8"/>
        <v>253.994</v>
      </c>
      <c r="O60" s="126">
        <v>250.0</v>
      </c>
      <c r="P60" s="124">
        <f t="shared" si="5"/>
        <v>3.994</v>
      </c>
      <c r="S60" s="94"/>
    </row>
    <row r="61" hidden="1" outlineLevel="2">
      <c r="A61" s="132">
        <v>45954.0</v>
      </c>
      <c r="B61" s="329">
        <v>22.0</v>
      </c>
      <c r="C61" s="123">
        <v>100.0</v>
      </c>
      <c r="D61" s="123">
        <f t="shared" si="28"/>
        <v>-78</v>
      </c>
      <c r="E61" s="329">
        <v>16.0</v>
      </c>
      <c r="F61" s="123">
        <f t="shared" si="24"/>
        <v>20</v>
      </c>
      <c r="G61" s="123">
        <f t="shared" si="29"/>
        <v>-4</v>
      </c>
      <c r="H61" s="330">
        <v>4269.0</v>
      </c>
      <c r="I61" s="124">
        <v>6521.74</v>
      </c>
      <c r="J61" s="124">
        <f t="shared" si="31"/>
        <v>-2252.74</v>
      </c>
      <c r="K61" s="125">
        <f t="shared" si="6"/>
        <v>0.7272727273</v>
      </c>
      <c r="L61" s="125">
        <v>0.3</v>
      </c>
      <c r="M61" s="125">
        <f t="shared" si="17"/>
        <v>-0.4272727273</v>
      </c>
      <c r="N61" s="124">
        <f t="shared" si="8"/>
        <v>266.8125</v>
      </c>
      <c r="O61" s="126">
        <v>250.0</v>
      </c>
      <c r="P61" s="124">
        <f t="shared" si="5"/>
        <v>16.8125</v>
      </c>
      <c r="S61" s="94"/>
    </row>
    <row r="62" hidden="1" outlineLevel="2">
      <c r="A62" s="132">
        <v>45955.0</v>
      </c>
      <c r="B62" s="329">
        <v>3.0</v>
      </c>
      <c r="C62" s="123">
        <v>100.0</v>
      </c>
      <c r="D62" s="123">
        <f t="shared" si="28"/>
        <v>-97</v>
      </c>
      <c r="E62" s="329">
        <v>5.0</v>
      </c>
      <c r="F62" s="123">
        <f t="shared" si="24"/>
        <v>20</v>
      </c>
      <c r="G62" s="123">
        <f t="shared" si="29"/>
        <v>-15</v>
      </c>
      <c r="H62" s="330">
        <v>1949.49</v>
      </c>
      <c r="I62" s="124"/>
      <c r="J62" s="124"/>
      <c r="K62" s="125">
        <f t="shared" si="6"/>
        <v>1.666666667</v>
      </c>
      <c r="L62" s="125">
        <v>0.3</v>
      </c>
      <c r="M62" s="125">
        <f t="shared" si="17"/>
        <v>-1.366666667</v>
      </c>
      <c r="N62" s="124">
        <f t="shared" si="8"/>
        <v>389.898</v>
      </c>
      <c r="O62" s="126">
        <v>250.0</v>
      </c>
      <c r="P62" s="124">
        <f t="shared" si="5"/>
        <v>139.898</v>
      </c>
      <c r="S62" s="94"/>
    </row>
    <row r="63" hidden="1" outlineLevel="2">
      <c r="A63" s="132">
        <v>45956.0</v>
      </c>
      <c r="B63" s="329">
        <v>0.0</v>
      </c>
      <c r="C63" s="123">
        <v>100.0</v>
      </c>
      <c r="D63" s="123">
        <f t="shared" si="28"/>
        <v>-100</v>
      </c>
      <c r="E63" s="329">
        <v>0.0</v>
      </c>
      <c r="F63" s="123">
        <f t="shared" si="24"/>
        <v>20</v>
      </c>
      <c r="G63" s="123">
        <f t="shared" si="29"/>
        <v>-20</v>
      </c>
      <c r="H63" s="330"/>
      <c r="I63" s="124"/>
      <c r="J63" s="124"/>
      <c r="K63" s="125" t="str">
        <f t="shared" si="6"/>
        <v/>
      </c>
      <c r="L63" s="125">
        <v>0.3</v>
      </c>
      <c r="M63" s="125">
        <f t="shared" si="17"/>
        <v>0.3</v>
      </c>
      <c r="N63" s="124" t="str">
        <f t="shared" si="8"/>
        <v/>
      </c>
      <c r="O63" s="126">
        <v>250.0</v>
      </c>
      <c r="P63" s="124">
        <f t="shared" si="5"/>
        <v>-250</v>
      </c>
      <c r="S63" s="94"/>
    </row>
    <row r="64" hidden="1" outlineLevel="2">
      <c r="A64" s="132">
        <v>45957.0</v>
      </c>
      <c r="B64" s="329">
        <v>22.0</v>
      </c>
      <c r="C64" s="123">
        <v>100.0</v>
      </c>
      <c r="D64" s="123">
        <f t="shared" si="28"/>
        <v>-78</v>
      </c>
      <c r="E64" s="329">
        <v>22.0</v>
      </c>
      <c r="F64" s="123">
        <f t="shared" si="24"/>
        <v>20</v>
      </c>
      <c r="G64" s="123">
        <f t="shared" si="29"/>
        <v>2</v>
      </c>
      <c r="H64" s="330">
        <v>5642.65</v>
      </c>
      <c r="I64" s="124">
        <v>6521.74</v>
      </c>
      <c r="J64" s="124">
        <f t="shared" ref="J64:J68" si="32">H64-I64</f>
        <v>-879.09</v>
      </c>
      <c r="K64" s="125">
        <f t="shared" si="6"/>
        <v>1</v>
      </c>
      <c r="L64" s="125">
        <v>0.3</v>
      </c>
      <c r="M64" s="125">
        <f t="shared" si="17"/>
        <v>-0.7</v>
      </c>
      <c r="N64" s="124">
        <f t="shared" si="8"/>
        <v>256.4840909</v>
      </c>
      <c r="O64" s="126">
        <v>250.0</v>
      </c>
      <c r="P64" s="124">
        <f t="shared" si="5"/>
        <v>6.484090909</v>
      </c>
      <c r="S64" s="94"/>
    </row>
    <row r="65" hidden="1" outlineLevel="2">
      <c r="A65" s="132">
        <v>45958.0</v>
      </c>
      <c r="B65" s="329">
        <v>22.0</v>
      </c>
      <c r="C65" s="123">
        <v>100.0</v>
      </c>
      <c r="D65" s="123">
        <f t="shared" si="28"/>
        <v>-78</v>
      </c>
      <c r="E65" s="329">
        <v>14.0</v>
      </c>
      <c r="F65" s="123">
        <f t="shared" si="24"/>
        <v>20</v>
      </c>
      <c r="G65" s="123">
        <f t="shared" si="29"/>
        <v>-6</v>
      </c>
      <c r="H65" s="330">
        <v>4470.93</v>
      </c>
      <c r="I65" s="124">
        <v>6521.74</v>
      </c>
      <c r="J65" s="124">
        <f t="shared" si="32"/>
        <v>-2050.81</v>
      </c>
      <c r="K65" s="125">
        <f t="shared" si="6"/>
        <v>0.6363636364</v>
      </c>
      <c r="L65" s="125">
        <v>0.3</v>
      </c>
      <c r="M65" s="125">
        <f t="shared" si="17"/>
        <v>-0.3363636364</v>
      </c>
      <c r="N65" s="124">
        <f t="shared" si="8"/>
        <v>319.3521429</v>
      </c>
      <c r="O65" s="126">
        <v>250.0</v>
      </c>
      <c r="P65" s="124">
        <f t="shared" si="5"/>
        <v>69.35214286</v>
      </c>
      <c r="S65" s="94"/>
    </row>
    <row r="66" hidden="1" outlineLevel="2">
      <c r="A66" s="132">
        <v>45959.0</v>
      </c>
      <c r="B66" s="329">
        <v>24.0</v>
      </c>
      <c r="C66" s="123">
        <v>100.0</v>
      </c>
      <c r="D66" s="123">
        <f t="shared" si="28"/>
        <v>-76</v>
      </c>
      <c r="E66" s="329">
        <v>19.0</v>
      </c>
      <c r="F66" s="123">
        <f t="shared" si="24"/>
        <v>20</v>
      </c>
      <c r="G66" s="123">
        <f t="shared" si="29"/>
        <v>-1</v>
      </c>
      <c r="H66" s="330">
        <v>5866.99</v>
      </c>
      <c r="I66" s="124">
        <v>6521.74</v>
      </c>
      <c r="J66" s="124">
        <f t="shared" si="32"/>
        <v>-654.75</v>
      </c>
      <c r="K66" s="125">
        <f t="shared" si="6"/>
        <v>0.7916666667</v>
      </c>
      <c r="L66" s="125">
        <v>0.3</v>
      </c>
      <c r="M66" s="125">
        <f t="shared" si="17"/>
        <v>-0.4916666667</v>
      </c>
      <c r="N66" s="124">
        <f t="shared" si="8"/>
        <v>308.7889474</v>
      </c>
      <c r="O66" s="126">
        <v>250.0</v>
      </c>
      <c r="P66" s="124">
        <f t="shared" si="5"/>
        <v>58.78894737</v>
      </c>
      <c r="S66" s="94"/>
    </row>
    <row r="67" hidden="1" outlineLevel="2">
      <c r="A67" s="132">
        <v>45960.0</v>
      </c>
      <c r="B67" s="329">
        <v>26.0</v>
      </c>
      <c r="C67" s="123">
        <v>100.0</v>
      </c>
      <c r="D67" s="123">
        <f t="shared" si="28"/>
        <v>-74</v>
      </c>
      <c r="E67" s="329">
        <v>20.0</v>
      </c>
      <c r="F67" s="123">
        <f t="shared" si="24"/>
        <v>20</v>
      </c>
      <c r="G67" s="123">
        <f t="shared" si="29"/>
        <v>0</v>
      </c>
      <c r="H67" s="330">
        <v>6063.33</v>
      </c>
      <c r="I67" s="124">
        <v>6521.74</v>
      </c>
      <c r="J67" s="124">
        <f t="shared" si="32"/>
        <v>-458.41</v>
      </c>
      <c r="K67" s="125">
        <f t="shared" si="6"/>
        <v>0.7692307692</v>
      </c>
      <c r="L67" s="125">
        <v>0.3</v>
      </c>
      <c r="M67" s="125">
        <f t="shared" si="17"/>
        <v>-0.4692307692</v>
      </c>
      <c r="N67" s="124">
        <f t="shared" si="8"/>
        <v>303.1665</v>
      </c>
      <c r="O67" s="126">
        <v>250.0</v>
      </c>
      <c r="P67" s="124">
        <f t="shared" si="5"/>
        <v>53.1665</v>
      </c>
      <c r="S67" s="94"/>
    </row>
    <row r="68" hidden="1" outlineLevel="2">
      <c r="A68" s="132">
        <v>45961.0</v>
      </c>
      <c r="B68" s="329">
        <v>18.0</v>
      </c>
      <c r="C68" s="123">
        <v>100.0</v>
      </c>
      <c r="D68" s="123">
        <f t="shared" si="28"/>
        <v>-82</v>
      </c>
      <c r="E68" s="329">
        <v>21.0</v>
      </c>
      <c r="F68" s="123">
        <f t="shared" si="24"/>
        <v>20</v>
      </c>
      <c r="G68" s="123">
        <f t="shared" si="29"/>
        <v>1</v>
      </c>
      <c r="H68" s="330">
        <v>8044.0</v>
      </c>
      <c r="I68" s="124">
        <v>6521.74</v>
      </c>
      <c r="J68" s="124">
        <f t="shared" si="32"/>
        <v>1522.26</v>
      </c>
      <c r="K68" s="125">
        <f t="shared" si="6"/>
        <v>1.166666667</v>
      </c>
      <c r="L68" s="125">
        <v>0.3</v>
      </c>
      <c r="M68" s="125">
        <f t="shared" si="17"/>
        <v>-0.8666666667</v>
      </c>
      <c r="N68" s="124">
        <f t="shared" si="8"/>
        <v>383.047619</v>
      </c>
      <c r="O68" s="126">
        <v>250.0</v>
      </c>
      <c r="P68" s="124">
        <f t="shared" si="5"/>
        <v>133.047619</v>
      </c>
      <c r="S68" s="94"/>
    </row>
    <row r="69" outlineLevel="1" collapsed="1">
      <c r="A69" s="100" t="s">
        <v>134</v>
      </c>
      <c r="B69" s="100">
        <f t="shared" ref="B69:H69" si="33">SUM(B70:B99)</f>
        <v>0</v>
      </c>
      <c r="C69" s="100">
        <f t="shared" si="33"/>
        <v>240</v>
      </c>
      <c r="D69" s="100">
        <f t="shared" si="33"/>
        <v>-220</v>
      </c>
      <c r="E69" s="100">
        <f t="shared" si="33"/>
        <v>101</v>
      </c>
      <c r="F69" s="100">
        <f t="shared" si="33"/>
        <v>66</v>
      </c>
      <c r="G69" s="100">
        <f t="shared" si="33"/>
        <v>21</v>
      </c>
      <c r="H69" s="102">
        <f t="shared" si="33"/>
        <v>37294.39</v>
      </c>
      <c r="I69" s="102">
        <f>SUM(I70:I100)</f>
        <v>54999.9</v>
      </c>
      <c r="J69" s="102">
        <f>SUM(J70:J99)</f>
        <v>-17906.2</v>
      </c>
      <c r="K69" s="103" t="str">
        <f t="shared" si="6"/>
        <v/>
      </c>
      <c r="L69" s="103">
        <v>0.3</v>
      </c>
      <c r="M69" s="103">
        <f t="shared" si="17"/>
        <v>0.3</v>
      </c>
      <c r="N69" s="102">
        <f t="shared" si="8"/>
        <v>369.2513861</v>
      </c>
      <c r="O69" s="104">
        <v>250.0</v>
      </c>
      <c r="P69" s="102">
        <f t="shared" si="5"/>
        <v>119.2513861</v>
      </c>
      <c r="Q69" s="90"/>
      <c r="R69" s="90"/>
      <c r="S69" s="91"/>
      <c r="T69" s="90"/>
      <c r="U69" s="90"/>
      <c r="V69" s="90"/>
      <c r="W69" s="90"/>
      <c r="X69" s="90"/>
      <c r="Y69" s="90"/>
      <c r="Z69" s="90"/>
      <c r="AA69" s="90"/>
      <c r="AB69" s="90"/>
    </row>
    <row r="70" hidden="1" outlineLevel="2">
      <c r="A70" s="132">
        <v>45931.0</v>
      </c>
      <c r="B70" s="329">
        <v>0.0</v>
      </c>
      <c r="C70" s="123">
        <v>20.0</v>
      </c>
      <c r="D70" s="123">
        <f t="shared" ref="D70:D75" si="34">B70-C70</f>
        <v>-20</v>
      </c>
      <c r="E70" s="329">
        <v>5.0</v>
      </c>
      <c r="F70" s="123">
        <f t="shared" ref="F70:F75" si="35">C70*30%</f>
        <v>6</v>
      </c>
      <c r="G70" s="123">
        <f t="shared" ref="G70:G75" si="36">E70-F70</f>
        <v>-1</v>
      </c>
      <c r="H70" s="330">
        <v>1296.15</v>
      </c>
      <c r="I70" s="124">
        <v>2391.3</v>
      </c>
      <c r="J70" s="124">
        <f t="shared" ref="J70:J72" si="37">H70-I70</f>
        <v>-1095.15</v>
      </c>
      <c r="K70" s="125" t="str">
        <f t="shared" si="6"/>
        <v/>
      </c>
      <c r="L70" s="125">
        <v>0.3</v>
      </c>
      <c r="M70" s="125">
        <f t="shared" si="17"/>
        <v>0.3</v>
      </c>
      <c r="N70" s="124">
        <f t="shared" si="8"/>
        <v>259.23</v>
      </c>
      <c r="O70" s="126">
        <v>150.0</v>
      </c>
      <c r="P70" s="124">
        <f t="shared" si="5"/>
        <v>109.23</v>
      </c>
      <c r="R70" s="115" t="s">
        <v>12</v>
      </c>
    </row>
    <row r="71" hidden="1" outlineLevel="2">
      <c r="A71" s="132">
        <v>45932.0</v>
      </c>
      <c r="B71" s="329">
        <v>0.0</v>
      </c>
      <c r="C71" s="123">
        <v>20.0</v>
      </c>
      <c r="D71" s="123">
        <f t="shared" si="34"/>
        <v>-20</v>
      </c>
      <c r="E71" s="329">
        <v>7.0</v>
      </c>
      <c r="F71" s="123">
        <f t="shared" si="35"/>
        <v>6</v>
      </c>
      <c r="G71" s="123">
        <f t="shared" si="36"/>
        <v>1</v>
      </c>
      <c r="H71" s="330">
        <v>1970.56</v>
      </c>
      <c r="I71" s="124">
        <v>2391.3</v>
      </c>
      <c r="J71" s="124">
        <f t="shared" si="37"/>
        <v>-420.74</v>
      </c>
      <c r="K71" s="125" t="str">
        <f t="shared" si="6"/>
        <v/>
      </c>
      <c r="L71" s="125">
        <v>0.3</v>
      </c>
      <c r="M71" s="125">
        <f t="shared" si="17"/>
        <v>0.3</v>
      </c>
      <c r="N71" s="124">
        <f t="shared" si="8"/>
        <v>281.5085714</v>
      </c>
      <c r="O71" s="126">
        <v>150.0</v>
      </c>
      <c r="P71" s="124">
        <f t="shared" si="5"/>
        <v>131.5085714</v>
      </c>
      <c r="R71" s="113" t="s">
        <v>8</v>
      </c>
      <c r="S71" s="116">
        <v>55000.0</v>
      </c>
    </row>
    <row r="72" hidden="1" outlineLevel="2">
      <c r="A72" s="132">
        <v>45933.0</v>
      </c>
      <c r="B72" s="329">
        <v>0.0</v>
      </c>
      <c r="C72" s="123">
        <v>20.0</v>
      </c>
      <c r="D72" s="123">
        <f t="shared" si="34"/>
        <v>-20</v>
      </c>
      <c r="E72" s="329">
        <v>0.0</v>
      </c>
      <c r="F72" s="123">
        <f t="shared" si="35"/>
        <v>6</v>
      </c>
      <c r="G72" s="123">
        <f t="shared" si="36"/>
        <v>-6</v>
      </c>
      <c r="H72" s="330">
        <v>1573.3</v>
      </c>
      <c r="I72" s="124">
        <v>2391.3</v>
      </c>
      <c r="J72" s="124">
        <f t="shared" si="37"/>
        <v>-818</v>
      </c>
      <c r="K72" s="125" t="str">
        <f t="shared" si="6"/>
        <v/>
      </c>
      <c r="L72" s="125">
        <v>0.3</v>
      </c>
      <c r="M72" s="125">
        <f t="shared" si="17"/>
        <v>0.3</v>
      </c>
      <c r="N72" s="124" t="str">
        <f t="shared" si="8"/>
        <v/>
      </c>
      <c r="O72" s="126">
        <v>150.0</v>
      </c>
      <c r="P72" s="124">
        <f t="shared" si="5"/>
        <v>-150</v>
      </c>
      <c r="R72" s="113" t="s">
        <v>45</v>
      </c>
      <c r="S72" s="117">
        <f>S71/30</f>
        <v>1833.333333</v>
      </c>
    </row>
    <row r="73" hidden="1" outlineLevel="2">
      <c r="A73" s="132">
        <v>45934.0</v>
      </c>
      <c r="B73" s="329">
        <v>0.0</v>
      </c>
      <c r="C73" s="123">
        <v>20.0</v>
      </c>
      <c r="D73" s="123">
        <f t="shared" si="34"/>
        <v>-20</v>
      </c>
      <c r="E73" s="329">
        <v>0.0</v>
      </c>
      <c r="F73" s="123">
        <f t="shared" si="35"/>
        <v>6</v>
      </c>
      <c r="G73" s="123">
        <f t="shared" si="36"/>
        <v>-6</v>
      </c>
      <c r="H73" s="330">
        <v>2057.91</v>
      </c>
      <c r="I73" s="124"/>
      <c r="J73" s="124"/>
      <c r="K73" s="125" t="str">
        <f t="shared" si="6"/>
        <v/>
      </c>
      <c r="L73" s="125">
        <v>0.3</v>
      </c>
      <c r="M73" s="125">
        <f t="shared" si="17"/>
        <v>0.3</v>
      </c>
      <c r="N73" s="124" t="str">
        <f t="shared" si="8"/>
        <v/>
      </c>
      <c r="O73" s="126">
        <v>150.0</v>
      </c>
      <c r="P73" s="124">
        <f t="shared" si="5"/>
        <v>-150</v>
      </c>
      <c r="R73" s="113" t="s">
        <v>46</v>
      </c>
      <c r="S73" s="117">
        <f>S71/23</f>
        <v>2391.304348</v>
      </c>
    </row>
    <row r="74" hidden="1" outlineLevel="2">
      <c r="A74" s="132">
        <v>45935.0</v>
      </c>
      <c r="B74" s="329">
        <v>0.0</v>
      </c>
      <c r="C74" s="123">
        <v>20.0</v>
      </c>
      <c r="D74" s="123">
        <f t="shared" si="34"/>
        <v>-20</v>
      </c>
      <c r="E74" s="329">
        <v>0.0</v>
      </c>
      <c r="F74" s="123">
        <f t="shared" si="35"/>
        <v>6</v>
      </c>
      <c r="G74" s="123">
        <f t="shared" si="36"/>
        <v>-6</v>
      </c>
      <c r="H74" s="330"/>
      <c r="I74" s="124"/>
      <c r="J74" s="124"/>
      <c r="K74" s="125" t="str">
        <f t="shared" si="6"/>
        <v/>
      </c>
      <c r="L74" s="125">
        <v>0.3</v>
      </c>
      <c r="M74" s="125">
        <f t="shared" si="17"/>
        <v>0.3</v>
      </c>
      <c r="N74" s="124" t="str">
        <f t="shared" si="8"/>
        <v/>
      </c>
      <c r="O74" s="126">
        <v>150.0</v>
      </c>
      <c r="P74" s="124">
        <f t="shared" si="5"/>
        <v>-150</v>
      </c>
      <c r="R74" s="113" t="s">
        <v>7</v>
      </c>
      <c r="S74" s="117">
        <f>H69</f>
        <v>37294.39</v>
      </c>
    </row>
    <row r="75" hidden="1" outlineLevel="2">
      <c r="A75" s="132">
        <v>45936.0</v>
      </c>
      <c r="B75" s="329">
        <v>0.0</v>
      </c>
      <c r="C75" s="123">
        <v>20.0</v>
      </c>
      <c r="D75" s="123">
        <f t="shared" si="34"/>
        <v>-20</v>
      </c>
      <c r="E75" s="329">
        <v>12.0</v>
      </c>
      <c r="F75" s="123">
        <f t="shared" si="35"/>
        <v>6</v>
      </c>
      <c r="G75" s="123">
        <f t="shared" si="36"/>
        <v>6</v>
      </c>
      <c r="H75" s="330">
        <v>2255.04</v>
      </c>
      <c r="I75" s="124">
        <v>2391.3</v>
      </c>
      <c r="J75" s="124">
        <f t="shared" ref="J75:J79" si="38">H75-I75</f>
        <v>-136.26</v>
      </c>
      <c r="K75" s="125" t="str">
        <f t="shared" si="6"/>
        <v/>
      </c>
      <c r="L75" s="125">
        <v>0.3</v>
      </c>
      <c r="M75" s="125">
        <f t="shared" si="17"/>
        <v>0.3</v>
      </c>
      <c r="N75" s="124">
        <f t="shared" si="8"/>
        <v>187.92</v>
      </c>
      <c r="O75" s="126">
        <v>150.0</v>
      </c>
      <c r="P75" s="124">
        <f t="shared" si="5"/>
        <v>37.92</v>
      </c>
      <c r="R75" s="113" t="s">
        <v>47</v>
      </c>
      <c r="S75" s="119">
        <f>S74/S71</f>
        <v>0.6780798182</v>
      </c>
    </row>
    <row r="76" hidden="1" outlineLevel="2">
      <c r="A76" s="132">
        <v>45937.0</v>
      </c>
      <c r="B76" s="329">
        <v>0.0</v>
      </c>
      <c r="C76" s="123">
        <v>20.0</v>
      </c>
      <c r="D76" s="123"/>
      <c r="E76" s="329">
        <v>14.0</v>
      </c>
      <c r="F76" s="123"/>
      <c r="G76" s="123"/>
      <c r="H76" s="330">
        <v>3586.86</v>
      </c>
      <c r="I76" s="124">
        <v>2391.3</v>
      </c>
      <c r="J76" s="124">
        <f t="shared" si="38"/>
        <v>1195.56</v>
      </c>
      <c r="K76" s="125" t="str">
        <f t="shared" si="6"/>
        <v/>
      </c>
      <c r="L76" s="125"/>
      <c r="M76" s="129"/>
      <c r="N76" s="124">
        <f t="shared" si="8"/>
        <v>256.2042857</v>
      </c>
      <c r="O76" s="126">
        <v>150.0</v>
      </c>
      <c r="P76" s="124">
        <f t="shared" si="5"/>
        <v>106.2042857</v>
      </c>
      <c r="R76" s="113" t="s">
        <v>48</v>
      </c>
      <c r="S76" s="120">
        <v>9.0</v>
      </c>
    </row>
    <row r="77" hidden="1" outlineLevel="2">
      <c r="A77" s="132">
        <v>45938.0</v>
      </c>
      <c r="B77" s="329">
        <v>0.0</v>
      </c>
      <c r="C77" s="123">
        <v>20.0</v>
      </c>
      <c r="D77" s="123">
        <f t="shared" ref="D77:D100" si="39">B77-C77</f>
        <v>-20</v>
      </c>
      <c r="E77" s="329">
        <v>2.0</v>
      </c>
      <c r="F77" s="123">
        <f t="shared" ref="F77:F100" si="40">C77*30%</f>
        <v>6</v>
      </c>
      <c r="G77" s="123">
        <f t="shared" ref="G77:G100" si="41">E77-F77</f>
        <v>-4</v>
      </c>
      <c r="H77" s="330">
        <v>505.0</v>
      </c>
      <c r="I77" s="124">
        <v>2391.3</v>
      </c>
      <c r="J77" s="124">
        <f t="shared" si="38"/>
        <v>-1886.3</v>
      </c>
      <c r="K77" s="125" t="str">
        <f t="shared" si="6"/>
        <v/>
      </c>
      <c r="L77" s="125">
        <v>0.3</v>
      </c>
      <c r="M77" s="125">
        <f t="shared" ref="M77:M107" si="42">L77-K77</f>
        <v>0.3</v>
      </c>
      <c r="N77" s="124">
        <f t="shared" si="8"/>
        <v>252.5</v>
      </c>
      <c r="O77" s="126">
        <v>150.0</v>
      </c>
      <c r="P77" s="124">
        <f t="shared" si="5"/>
        <v>102.5</v>
      </c>
      <c r="R77" s="113" t="s">
        <v>49</v>
      </c>
      <c r="S77" s="121">
        <f>(S71-S74)/S76</f>
        <v>1967.29</v>
      </c>
    </row>
    <row r="78" hidden="1" outlineLevel="2">
      <c r="A78" s="132">
        <v>45939.0</v>
      </c>
      <c r="B78" s="329">
        <v>0.0</v>
      </c>
      <c r="C78" s="123">
        <v>20.0</v>
      </c>
      <c r="D78" s="123">
        <f t="shared" si="39"/>
        <v>-20</v>
      </c>
      <c r="E78" s="329">
        <v>8.0</v>
      </c>
      <c r="F78" s="123">
        <f t="shared" si="40"/>
        <v>6</v>
      </c>
      <c r="G78" s="123">
        <f t="shared" si="41"/>
        <v>2</v>
      </c>
      <c r="H78" s="330">
        <v>1281.61</v>
      </c>
      <c r="I78" s="124">
        <v>2391.3</v>
      </c>
      <c r="J78" s="124">
        <f t="shared" si="38"/>
        <v>-1109.69</v>
      </c>
      <c r="K78" s="125" t="str">
        <f t="shared" si="6"/>
        <v/>
      </c>
      <c r="L78" s="125">
        <v>0.3</v>
      </c>
      <c r="M78" s="125">
        <f t="shared" si="42"/>
        <v>0.3</v>
      </c>
      <c r="N78" s="124">
        <f t="shared" si="8"/>
        <v>160.20125</v>
      </c>
      <c r="O78" s="126">
        <v>150.0</v>
      </c>
      <c r="P78" s="124">
        <f t="shared" si="5"/>
        <v>10.20125</v>
      </c>
      <c r="R78" s="113" t="s">
        <v>50</v>
      </c>
      <c r="S78" s="122">
        <f>N69</f>
        <v>369.2513861</v>
      </c>
    </row>
    <row r="79" hidden="1" outlineLevel="2">
      <c r="A79" s="132">
        <v>45940.0</v>
      </c>
      <c r="B79" s="329">
        <v>0.0</v>
      </c>
      <c r="C79" s="123">
        <v>20.0</v>
      </c>
      <c r="D79" s="123">
        <f t="shared" si="39"/>
        <v>-20</v>
      </c>
      <c r="E79" s="329">
        <v>9.0</v>
      </c>
      <c r="F79" s="123">
        <f t="shared" si="40"/>
        <v>6</v>
      </c>
      <c r="G79" s="123">
        <f t="shared" si="41"/>
        <v>3</v>
      </c>
      <c r="H79" s="330">
        <v>1303.62</v>
      </c>
      <c r="I79" s="124">
        <v>2391.3</v>
      </c>
      <c r="J79" s="124">
        <f t="shared" si="38"/>
        <v>-1087.68</v>
      </c>
      <c r="K79" s="125" t="str">
        <f t="shared" si="6"/>
        <v/>
      </c>
      <c r="L79" s="125">
        <v>0.3</v>
      </c>
      <c r="M79" s="125">
        <f t="shared" si="42"/>
        <v>0.3</v>
      </c>
      <c r="N79" s="124">
        <f t="shared" si="8"/>
        <v>144.8466667</v>
      </c>
      <c r="O79" s="126">
        <v>150.0</v>
      </c>
      <c r="P79" s="124">
        <f t="shared" si="5"/>
        <v>-5.153333333</v>
      </c>
      <c r="R79" s="113" t="s">
        <v>51</v>
      </c>
      <c r="S79" s="128">
        <f>B69</f>
        <v>0</v>
      </c>
    </row>
    <row r="80" hidden="1" outlineLevel="2">
      <c r="A80" s="132">
        <v>45941.0</v>
      </c>
      <c r="B80" s="329">
        <v>0.0</v>
      </c>
      <c r="C80" s="123">
        <v>20.0</v>
      </c>
      <c r="D80" s="123">
        <f t="shared" si="39"/>
        <v>-20</v>
      </c>
      <c r="E80" s="329">
        <v>4.0</v>
      </c>
      <c r="F80" s="123">
        <f t="shared" si="40"/>
        <v>6</v>
      </c>
      <c r="G80" s="123">
        <f t="shared" si="41"/>
        <v>-2</v>
      </c>
      <c r="H80" s="330">
        <v>226.99</v>
      </c>
      <c r="I80" s="124"/>
      <c r="J80" s="124"/>
      <c r="K80" s="125" t="str">
        <f t="shared" si="6"/>
        <v/>
      </c>
      <c r="L80" s="125">
        <v>0.3</v>
      </c>
      <c r="M80" s="125">
        <f t="shared" si="42"/>
        <v>0.3</v>
      </c>
      <c r="N80" s="124">
        <f t="shared" si="8"/>
        <v>56.7475</v>
      </c>
      <c r="O80" s="126">
        <v>150.0</v>
      </c>
      <c r="P80" s="124">
        <f t="shared" si="5"/>
        <v>-93.2525</v>
      </c>
      <c r="R80" s="113" t="s">
        <v>52</v>
      </c>
      <c r="S80" s="128">
        <f>E69</f>
        <v>101</v>
      </c>
    </row>
    <row r="81" hidden="1" outlineLevel="2">
      <c r="A81" s="132">
        <v>45942.0</v>
      </c>
      <c r="B81" s="329">
        <v>0.0</v>
      </c>
      <c r="C81" s="123">
        <v>20.0</v>
      </c>
      <c r="D81" s="123">
        <f t="shared" si="39"/>
        <v>-20</v>
      </c>
      <c r="E81" s="329">
        <v>0.0</v>
      </c>
      <c r="F81" s="123">
        <f t="shared" si="40"/>
        <v>6</v>
      </c>
      <c r="G81" s="123">
        <f t="shared" si="41"/>
        <v>-6</v>
      </c>
      <c r="H81" s="330"/>
      <c r="I81" s="124"/>
      <c r="J81" s="124"/>
      <c r="K81" s="125" t="str">
        <f t="shared" si="6"/>
        <v/>
      </c>
      <c r="L81" s="125">
        <v>0.3</v>
      </c>
      <c r="M81" s="125">
        <f t="shared" si="42"/>
        <v>0.3</v>
      </c>
      <c r="N81" s="124" t="str">
        <f t="shared" si="8"/>
        <v/>
      </c>
      <c r="O81" s="126">
        <v>150.0</v>
      </c>
      <c r="P81" s="124">
        <f t="shared" si="5"/>
        <v>-150</v>
      </c>
      <c r="R81" s="113" t="s">
        <v>4</v>
      </c>
      <c r="S81" s="119" t="str">
        <f>E69/B69</f>
        <v>#DIV/0!</v>
      </c>
    </row>
    <row r="82" hidden="1" outlineLevel="2">
      <c r="A82" s="132">
        <v>45943.0</v>
      </c>
      <c r="B82" s="329">
        <v>0.0</v>
      </c>
      <c r="C82" s="123"/>
      <c r="D82" s="123">
        <f t="shared" si="39"/>
        <v>0</v>
      </c>
      <c r="E82" s="329">
        <v>5.0</v>
      </c>
      <c r="F82" s="123">
        <f t="shared" si="40"/>
        <v>0</v>
      </c>
      <c r="G82" s="123">
        <f t="shared" si="41"/>
        <v>5</v>
      </c>
      <c r="H82" s="330">
        <v>1240.47</v>
      </c>
      <c r="I82" s="124">
        <v>2391.3</v>
      </c>
      <c r="J82" s="124">
        <f t="shared" ref="J82:J86" si="43">H82-I82</f>
        <v>-1150.83</v>
      </c>
      <c r="K82" s="125" t="str">
        <f t="shared" si="6"/>
        <v/>
      </c>
      <c r="L82" s="125">
        <v>0.3</v>
      </c>
      <c r="M82" s="125">
        <f t="shared" si="42"/>
        <v>0.3</v>
      </c>
      <c r="N82" s="124">
        <f t="shared" si="8"/>
        <v>248.094</v>
      </c>
      <c r="O82" s="126">
        <v>150.0</v>
      </c>
      <c r="P82" s="124">
        <f t="shared" si="5"/>
        <v>98.094</v>
      </c>
      <c r="S82" s="94"/>
    </row>
    <row r="83" hidden="1" outlineLevel="2">
      <c r="A83" s="132">
        <v>45944.0</v>
      </c>
      <c r="B83" s="329">
        <v>0.0</v>
      </c>
      <c r="C83" s="123"/>
      <c r="D83" s="123">
        <f t="shared" si="39"/>
        <v>0</v>
      </c>
      <c r="E83" s="329">
        <v>11.0</v>
      </c>
      <c r="F83" s="123">
        <f t="shared" si="40"/>
        <v>0</v>
      </c>
      <c r="G83" s="123">
        <f t="shared" si="41"/>
        <v>11</v>
      </c>
      <c r="H83" s="330">
        <v>3138.42</v>
      </c>
      <c r="I83" s="124">
        <v>2391.3</v>
      </c>
      <c r="J83" s="124">
        <f t="shared" si="43"/>
        <v>747.12</v>
      </c>
      <c r="K83" s="125" t="str">
        <f t="shared" si="6"/>
        <v/>
      </c>
      <c r="L83" s="125">
        <v>0.3</v>
      </c>
      <c r="M83" s="125">
        <f t="shared" si="42"/>
        <v>0.3</v>
      </c>
      <c r="N83" s="124">
        <f t="shared" si="8"/>
        <v>285.3109091</v>
      </c>
      <c r="O83" s="126">
        <v>150.0</v>
      </c>
      <c r="P83" s="124">
        <f t="shared" si="5"/>
        <v>135.3109091</v>
      </c>
      <c r="S83" s="94"/>
    </row>
    <row r="84" hidden="1" outlineLevel="2">
      <c r="A84" s="132">
        <v>45945.0</v>
      </c>
      <c r="B84" s="329">
        <v>0.0</v>
      </c>
      <c r="C84" s="123"/>
      <c r="D84" s="123">
        <f t="shared" si="39"/>
        <v>0</v>
      </c>
      <c r="E84" s="329">
        <v>11.0</v>
      </c>
      <c r="F84" s="123">
        <f t="shared" si="40"/>
        <v>0</v>
      </c>
      <c r="G84" s="123">
        <f t="shared" si="41"/>
        <v>11</v>
      </c>
      <c r="H84" s="330">
        <v>1028.0</v>
      </c>
      <c r="I84" s="124">
        <v>2391.3</v>
      </c>
      <c r="J84" s="124">
        <f t="shared" si="43"/>
        <v>-1363.3</v>
      </c>
      <c r="K84" s="125" t="str">
        <f t="shared" si="6"/>
        <v/>
      </c>
      <c r="L84" s="125">
        <v>0.3</v>
      </c>
      <c r="M84" s="125">
        <f t="shared" si="42"/>
        <v>0.3</v>
      </c>
      <c r="N84" s="124">
        <f t="shared" si="8"/>
        <v>93.45454545</v>
      </c>
      <c r="O84" s="126">
        <v>150.0</v>
      </c>
      <c r="P84" s="124">
        <f t="shared" si="5"/>
        <v>-56.54545455</v>
      </c>
      <c r="S84" s="94"/>
    </row>
    <row r="85" hidden="1" outlineLevel="2">
      <c r="A85" s="132">
        <v>45946.0</v>
      </c>
      <c r="B85" s="329">
        <v>0.0</v>
      </c>
      <c r="C85" s="123"/>
      <c r="D85" s="123">
        <f t="shared" si="39"/>
        <v>0</v>
      </c>
      <c r="E85" s="329">
        <v>13.0</v>
      </c>
      <c r="F85" s="123">
        <f t="shared" si="40"/>
        <v>0</v>
      </c>
      <c r="G85" s="123">
        <f t="shared" si="41"/>
        <v>13</v>
      </c>
      <c r="H85" s="330">
        <v>2776.82</v>
      </c>
      <c r="I85" s="124">
        <v>2391.3</v>
      </c>
      <c r="J85" s="124">
        <f t="shared" si="43"/>
        <v>385.52</v>
      </c>
      <c r="K85" s="125" t="str">
        <f t="shared" si="6"/>
        <v/>
      </c>
      <c r="L85" s="125">
        <v>0.3</v>
      </c>
      <c r="M85" s="125">
        <f t="shared" si="42"/>
        <v>0.3</v>
      </c>
      <c r="N85" s="124">
        <f t="shared" si="8"/>
        <v>213.6015385</v>
      </c>
      <c r="O85" s="126">
        <v>150.0</v>
      </c>
      <c r="P85" s="124">
        <f t="shared" si="5"/>
        <v>63.60153846</v>
      </c>
      <c r="S85" s="94"/>
    </row>
    <row r="86" hidden="1" outlineLevel="2">
      <c r="A86" s="132">
        <v>45947.0</v>
      </c>
      <c r="B86" s="329">
        <v>0.0</v>
      </c>
      <c r="C86" s="123"/>
      <c r="D86" s="123">
        <f t="shared" si="39"/>
        <v>0</v>
      </c>
      <c r="E86" s="329">
        <v>0.0</v>
      </c>
      <c r="F86" s="123">
        <f t="shared" si="40"/>
        <v>0</v>
      </c>
      <c r="G86" s="123">
        <f t="shared" si="41"/>
        <v>0</v>
      </c>
      <c r="H86" s="330">
        <v>1277.0</v>
      </c>
      <c r="I86" s="124">
        <v>2391.3</v>
      </c>
      <c r="J86" s="124">
        <f t="shared" si="43"/>
        <v>-1114.3</v>
      </c>
      <c r="K86" s="125" t="str">
        <f t="shared" si="6"/>
        <v/>
      </c>
      <c r="L86" s="125">
        <v>0.3</v>
      </c>
      <c r="M86" s="125">
        <f t="shared" si="42"/>
        <v>0.3</v>
      </c>
      <c r="N86" s="124" t="str">
        <f t="shared" si="8"/>
        <v/>
      </c>
      <c r="O86" s="126">
        <v>150.0</v>
      </c>
      <c r="P86" s="124">
        <f t="shared" si="5"/>
        <v>-150</v>
      </c>
      <c r="S86" s="94"/>
    </row>
    <row r="87" hidden="1" outlineLevel="2">
      <c r="A87" s="132">
        <v>45948.0</v>
      </c>
      <c r="B87" s="329">
        <v>0.0</v>
      </c>
      <c r="C87" s="123"/>
      <c r="D87" s="123">
        <f t="shared" si="39"/>
        <v>0</v>
      </c>
      <c r="E87" s="329"/>
      <c r="F87" s="123">
        <f t="shared" si="40"/>
        <v>0</v>
      </c>
      <c r="G87" s="123">
        <f t="shared" si="41"/>
        <v>0</v>
      </c>
      <c r="H87" s="330"/>
      <c r="I87" s="124"/>
      <c r="J87" s="124"/>
      <c r="K87" s="125" t="str">
        <f t="shared" si="6"/>
        <v/>
      </c>
      <c r="L87" s="125">
        <v>0.3</v>
      </c>
      <c r="M87" s="125">
        <f t="shared" si="42"/>
        <v>0.3</v>
      </c>
      <c r="N87" s="124" t="str">
        <f t="shared" si="8"/>
        <v/>
      </c>
      <c r="O87" s="126">
        <v>150.0</v>
      </c>
      <c r="P87" s="124">
        <f t="shared" si="5"/>
        <v>-150</v>
      </c>
      <c r="S87" s="94"/>
    </row>
    <row r="88" hidden="1" outlineLevel="2">
      <c r="A88" s="132">
        <v>45949.0</v>
      </c>
      <c r="B88" s="329">
        <v>0.0</v>
      </c>
      <c r="C88" s="123"/>
      <c r="D88" s="123">
        <f t="shared" si="39"/>
        <v>0</v>
      </c>
      <c r="E88" s="329">
        <v>0.0</v>
      </c>
      <c r="F88" s="123">
        <f t="shared" si="40"/>
        <v>0</v>
      </c>
      <c r="G88" s="123">
        <f t="shared" si="41"/>
        <v>0</v>
      </c>
      <c r="H88" s="330"/>
      <c r="I88" s="124"/>
      <c r="J88" s="124"/>
      <c r="K88" s="125" t="str">
        <f t="shared" si="6"/>
        <v/>
      </c>
      <c r="L88" s="125">
        <v>0.3</v>
      </c>
      <c r="M88" s="125">
        <f t="shared" si="42"/>
        <v>0.3</v>
      </c>
      <c r="N88" s="124" t="str">
        <f t="shared" si="8"/>
        <v/>
      </c>
      <c r="O88" s="126">
        <v>150.0</v>
      </c>
      <c r="P88" s="124">
        <f t="shared" si="5"/>
        <v>-150</v>
      </c>
      <c r="S88" s="94"/>
    </row>
    <row r="89" hidden="1" outlineLevel="2">
      <c r="A89" s="132">
        <v>45950.0</v>
      </c>
      <c r="B89" s="329">
        <v>0.0</v>
      </c>
      <c r="C89" s="123"/>
      <c r="D89" s="123">
        <f t="shared" si="39"/>
        <v>0</v>
      </c>
      <c r="E89" s="329">
        <v>0.0</v>
      </c>
      <c r="F89" s="123">
        <f t="shared" si="40"/>
        <v>0</v>
      </c>
      <c r="G89" s="123">
        <f t="shared" si="41"/>
        <v>0</v>
      </c>
      <c r="H89" s="330">
        <v>2699.4</v>
      </c>
      <c r="I89" s="124">
        <v>2391.3</v>
      </c>
      <c r="J89" s="124">
        <f t="shared" ref="J89:J93" si="44">H89-I89</f>
        <v>308.1</v>
      </c>
      <c r="K89" s="125" t="str">
        <f t="shared" si="6"/>
        <v/>
      </c>
      <c r="L89" s="125">
        <v>0.3</v>
      </c>
      <c r="M89" s="125">
        <f t="shared" si="42"/>
        <v>0.3</v>
      </c>
      <c r="N89" s="124" t="str">
        <f t="shared" si="8"/>
        <v/>
      </c>
      <c r="O89" s="126">
        <v>150.0</v>
      </c>
      <c r="P89" s="124">
        <f t="shared" si="5"/>
        <v>-150</v>
      </c>
      <c r="S89" s="94"/>
    </row>
    <row r="90" hidden="1" outlineLevel="2">
      <c r="A90" s="132">
        <v>45951.0</v>
      </c>
      <c r="B90" s="329">
        <v>0.0</v>
      </c>
      <c r="C90" s="123"/>
      <c r="D90" s="123">
        <f t="shared" si="39"/>
        <v>0</v>
      </c>
      <c r="E90" s="329">
        <v>0.0</v>
      </c>
      <c r="F90" s="123">
        <f t="shared" si="40"/>
        <v>0</v>
      </c>
      <c r="G90" s="123">
        <f t="shared" si="41"/>
        <v>0</v>
      </c>
      <c r="H90" s="330">
        <v>1654.13</v>
      </c>
      <c r="I90" s="124">
        <v>2391.3</v>
      </c>
      <c r="J90" s="124">
        <f t="shared" si="44"/>
        <v>-737.17</v>
      </c>
      <c r="K90" s="125" t="str">
        <f t="shared" si="6"/>
        <v/>
      </c>
      <c r="L90" s="125">
        <v>0.3</v>
      </c>
      <c r="M90" s="125">
        <f t="shared" si="42"/>
        <v>0.3</v>
      </c>
      <c r="N90" s="124" t="str">
        <f t="shared" si="8"/>
        <v/>
      </c>
      <c r="O90" s="126">
        <v>150.0</v>
      </c>
      <c r="P90" s="124">
        <f t="shared" si="5"/>
        <v>-150</v>
      </c>
      <c r="S90" s="94"/>
    </row>
    <row r="91" hidden="1" outlineLevel="2">
      <c r="A91" s="132">
        <v>45952.0</v>
      </c>
      <c r="B91" s="329">
        <v>0.0</v>
      </c>
      <c r="C91" s="123"/>
      <c r="D91" s="123">
        <f t="shared" si="39"/>
        <v>0</v>
      </c>
      <c r="E91" s="329">
        <v>0.0</v>
      </c>
      <c r="F91" s="123">
        <f t="shared" si="40"/>
        <v>0</v>
      </c>
      <c r="G91" s="123">
        <f t="shared" si="41"/>
        <v>0</v>
      </c>
      <c r="H91" s="330">
        <v>2491.36</v>
      </c>
      <c r="I91" s="124">
        <v>2391.3</v>
      </c>
      <c r="J91" s="124">
        <f t="shared" si="44"/>
        <v>100.06</v>
      </c>
      <c r="K91" s="125" t="str">
        <f t="shared" si="6"/>
        <v/>
      </c>
      <c r="L91" s="125">
        <v>0.3</v>
      </c>
      <c r="M91" s="125">
        <f t="shared" si="42"/>
        <v>0.3</v>
      </c>
      <c r="N91" s="124" t="str">
        <f t="shared" si="8"/>
        <v/>
      </c>
      <c r="O91" s="126">
        <v>150.0</v>
      </c>
      <c r="P91" s="124">
        <f t="shared" si="5"/>
        <v>-150</v>
      </c>
      <c r="S91" s="94"/>
    </row>
    <row r="92" hidden="1" outlineLevel="2">
      <c r="A92" s="132">
        <v>45953.0</v>
      </c>
      <c r="B92" s="329">
        <v>0.0</v>
      </c>
      <c r="C92" s="123"/>
      <c r="D92" s="123">
        <f t="shared" si="39"/>
        <v>0</v>
      </c>
      <c r="E92" s="329">
        <v>0.0</v>
      </c>
      <c r="F92" s="123">
        <f t="shared" si="40"/>
        <v>0</v>
      </c>
      <c r="G92" s="123">
        <f t="shared" si="41"/>
        <v>0</v>
      </c>
      <c r="H92" s="330">
        <v>2785.7</v>
      </c>
      <c r="I92" s="124">
        <v>2391.3</v>
      </c>
      <c r="J92" s="124">
        <f t="shared" si="44"/>
        <v>394.4</v>
      </c>
      <c r="K92" s="125" t="str">
        <f t="shared" si="6"/>
        <v/>
      </c>
      <c r="L92" s="125">
        <v>0.3</v>
      </c>
      <c r="M92" s="125">
        <f t="shared" si="42"/>
        <v>0.3</v>
      </c>
      <c r="N92" s="124" t="str">
        <f t="shared" si="8"/>
        <v/>
      </c>
      <c r="O92" s="126">
        <v>150.0</v>
      </c>
      <c r="P92" s="124">
        <f t="shared" si="5"/>
        <v>-150</v>
      </c>
      <c r="S92" s="94"/>
    </row>
    <row r="93" hidden="1" outlineLevel="2">
      <c r="A93" s="132">
        <v>45954.0</v>
      </c>
      <c r="B93" s="329">
        <v>0.0</v>
      </c>
      <c r="C93" s="123"/>
      <c r="D93" s="123">
        <f t="shared" si="39"/>
        <v>0</v>
      </c>
      <c r="E93" s="329">
        <v>0.0</v>
      </c>
      <c r="F93" s="123">
        <f t="shared" si="40"/>
        <v>0</v>
      </c>
      <c r="G93" s="123">
        <f t="shared" si="41"/>
        <v>0</v>
      </c>
      <c r="H93" s="330">
        <v>1838.96</v>
      </c>
      <c r="I93" s="124">
        <v>2391.3</v>
      </c>
      <c r="J93" s="124">
        <f t="shared" si="44"/>
        <v>-552.34</v>
      </c>
      <c r="K93" s="125" t="str">
        <f t="shared" si="6"/>
        <v/>
      </c>
      <c r="L93" s="125">
        <v>0.3</v>
      </c>
      <c r="M93" s="125">
        <f t="shared" si="42"/>
        <v>0.3</v>
      </c>
      <c r="N93" s="124" t="str">
        <f t="shared" si="8"/>
        <v/>
      </c>
      <c r="O93" s="126">
        <v>150.0</v>
      </c>
      <c r="P93" s="124">
        <f t="shared" si="5"/>
        <v>-150</v>
      </c>
      <c r="S93" s="94"/>
    </row>
    <row r="94" hidden="1" outlineLevel="2">
      <c r="A94" s="132">
        <v>45955.0</v>
      </c>
      <c r="B94" s="329">
        <v>0.0</v>
      </c>
      <c r="C94" s="123"/>
      <c r="D94" s="123">
        <f t="shared" si="39"/>
        <v>0</v>
      </c>
      <c r="E94" s="329">
        <v>0.0</v>
      </c>
      <c r="F94" s="123">
        <f t="shared" si="40"/>
        <v>0</v>
      </c>
      <c r="G94" s="123">
        <f t="shared" si="41"/>
        <v>0</v>
      </c>
      <c r="H94" s="330">
        <v>307.09</v>
      </c>
      <c r="I94" s="124"/>
      <c r="J94" s="124"/>
      <c r="K94" s="125" t="str">
        <f t="shared" si="6"/>
        <v/>
      </c>
      <c r="L94" s="125">
        <v>0.3</v>
      </c>
      <c r="M94" s="125">
        <f t="shared" si="42"/>
        <v>0.3</v>
      </c>
      <c r="N94" s="124" t="str">
        <f t="shared" si="8"/>
        <v/>
      </c>
      <c r="O94" s="126">
        <v>150.0</v>
      </c>
      <c r="P94" s="124">
        <f t="shared" si="5"/>
        <v>-150</v>
      </c>
      <c r="S94" s="94"/>
    </row>
    <row r="95" hidden="1" outlineLevel="2">
      <c r="A95" s="132">
        <v>45956.0</v>
      </c>
      <c r="B95" s="329">
        <v>0.0</v>
      </c>
      <c r="C95" s="123"/>
      <c r="D95" s="123">
        <f t="shared" si="39"/>
        <v>0</v>
      </c>
      <c r="E95" s="329">
        <v>0.0</v>
      </c>
      <c r="F95" s="123">
        <f t="shared" si="40"/>
        <v>0</v>
      </c>
      <c r="G95" s="123">
        <f t="shared" si="41"/>
        <v>0</v>
      </c>
      <c r="H95" s="330"/>
      <c r="I95" s="124"/>
      <c r="J95" s="124"/>
      <c r="K95" s="125" t="str">
        <f t="shared" si="6"/>
        <v/>
      </c>
      <c r="L95" s="125">
        <v>0.3</v>
      </c>
      <c r="M95" s="125">
        <f t="shared" si="42"/>
        <v>0.3</v>
      </c>
      <c r="N95" s="124" t="str">
        <f t="shared" si="8"/>
        <v/>
      </c>
      <c r="O95" s="126">
        <v>150.0</v>
      </c>
      <c r="P95" s="124">
        <f t="shared" si="5"/>
        <v>-150</v>
      </c>
      <c r="S95" s="94"/>
    </row>
    <row r="96" hidden="1" outlineLevel="2">
      <c r="A96" s="132">
        <v>45957.0</v>
      </c>
      <c r="B96" s="329">
        <v>0.0</v>
      </c>
      <c r="C96" s="123"/>
      <c r="D96" s="123">
        <f t="shared" si="39"/>
        <v>0</v>
      </c>
      <c r="E96" s="329">
        <v>0.0</v>
      </c>
      <c r="F96" s="123">
        <f t="shared" si="40"/>
        <v>0</v>
      </c>
      <c r="G96" s="123">
        <f t="shared" si="41"/>
        <v>0</v>
      </c>
      <c r="H96" s="330">
        <v>0.0</v>
      </c>
      <c r="I96" s="124">
        <v>2391.3</v>
      </c>
      <c r="J96" s="124">
        <f t="shared" ref="J96:J100" si="45">H96-I96</f>
        <v>-2391.3</v>
      </c>
      <c r="K96" s="125" t="str">
        <f t="shared" si="6"/>
        <v/>
      </c>
      <c r="L96" s="125">
        <v>0.3</v>
      </c>
      <c r="M96" s="125">
        <f t="shared" si="42"/>
        <v>0.3</v>
      </c>
      <c r="N96" s="124" t="str">
        <f t="shared" si="8"/>
        <v/>
      </c>
      <c r="O96" s="126">
        <v>150.0</v>
      </c>
      <c r="P96" s="124">
        <f t="shared" si="5"/>
        <v>-150</v>
      </c>
      <c r="S96" s="94"/>
    </row>
    <row r="97" hidden="1" outlineLevel="2">
      <c r="A97" s="132">
        <v>45958.0</v>
      </c>
      <c r="B97" s="329">
        <v>0.0</v>
      </c>
      <c r="C97" s="123"/>
      <c r="D97" s="123">
        <f t="shared" si="39"/>
        <v>0</v>
      </c>
      <c r="E97" s="329">
        <v>0.0</v>
      </c>
      <c r="F97" s="123">
        <f t="shared" si="40"/>
        <v>0</v>
      </c>
      <c r="G97" s="123">
        <f t="shared" si="41"/>
        <v>0</v>
      </c>
      <c r="H97" s="330">
        <v>0.0</v>
      </c>
      <c r="I97" s="124">
        <v>2391.3</v>
      </c>
      <c r="J97" s="124">
        <f t="shared" si="45"/>
        <v>-2391.3</v>
      </c>
      <c r="K97" s="125" t="str">
        <f t="shared" si="6"/>
        <v/>
      </c>
      <c r="L97" s="125">
        <v>0.3</v>
      </c>
      <c r="M97" s="125">
        <f t="shared" si="42"/>
        <v>0.3</v>
      </c>
      <c r="N97" s="124" t="str">
        <f t="shared" si="8"/>
        <v/>
      </c>
      <c r="O97" s="126">
        <v>150.0</v>
      </c>
      <c r="P97" s="129"/>
      <c r="S97" s="94"/>
    </row>
    <row r="98" hidden="1" outlineLevel="2">
      <c r="A98" s="132">
        <v>45959.0</v>
      </c>
      <c r="B98" s="329">
        <v>0.0</v>
      </c>
      <c r="C98" s="123"/>
      <c r="D98" s="123">
        <f t="shared" si="39"/>
        <v>0</v>
      </c>
      <c r="E98" s="329">
        <v>0.0</v>
      </c>
      <c r="F98" s="123">
        <f t="shared" si="40"/>
        <v>0</v>
      </c>
      <c r="G98" s="123">
        <f t="shared" si="41"/>
        <v>0</v>
      </c>
      <c r="H98" s="330">
        <v>0.0</v>
      </c>
      <c r="I98" s="124">
        <v>2391.3</v>
      </c>
      <c r="J98" s="124">
        <f t="shared" si="45"/>
        <v>-2391.3</v>
      </c>
      <c r="K98" s="125" t="str">
        <f t="shared" si="6"/>
        <v/>
      </c>
      <c r="L98" s="125">
        <v>0.3</v>
      </c>
      <c r="M98" s="125">
        <f t="shared" si="42"/>
        <v>0.3</v>
      </c>
      <c r="N98" s="124" t="str">
        <f t="shared" si="8"/>
        <v/>
      </c>
      <c r="O98" s="126">
        <v>150.0</v>
      </c>
      <c r="P98" s="124">
        <f t="shared" ref="P98:P128" si="46">N98-O98</f>
        <v>-150</v>
      </c>
      <c r="S98" s="94"/>
    </row>
    <row r="99" hidden="1" outlineLevel="2">
      <c r="A99" s="132">
        <v>45960.0</v>
      </c>
      <c r="B99" s="329">
        <v>0.0</v>
      </c>
      <c r="C99" s="123"/>
      <c r="D99" s="123">
        <f t="shared" si="39"/>
        <v>0</v>
      </c>
      <c r="E99" s="329">
        <v>0.0</v>
      </c>
      <c r="F99" s="123">
        <f t="shared" si="40"/>
        <v>0</v>
      </c>
      <c r="G99" s="123">
        <f t="shared" si="41"/>
        <v>0</v>
      </c>
      <c r="H99" s="330">
        <v>0.0</v>
      </c>
      <c r="I99" s="124">
        <v>2391.3</v>
      </c>
      <c r="J99" s="124">
        <f t="shared" si="45"/>
        <v>-2391.3</v>
      </c>
      <c r="K99" s="125" t="str">
        <f t="shared" si="6"/>
        <v/>
      </c>
      <c r="L99" s="125">
        <v>0.3</v>
      </c>
      <c r="M99" s="125">
        <f t="shared" si="42"/>
        <v>0.3</v>
      </c>
      <c r="N99" s="124" t="str">
        <f t="shared" si="8"/>
        <v/>
      </c>
      <c r="O99" s="126">
        <v>150.0</v>
      </c>
      <c r="P99" s="124">
        <f t="shared" si="46"/>
        <v>-150</v>
      </c>
      <c r="S99" s="94"/>
    </row>
    <row r="100" hidden="1" outlineLevel="2">
      <c r="A100" s="132">
        <v>45961.0</v>
      </c>
      <c r="B100" s="329">
        <v>0.0</v>
      </c>
      <c r="C100" s="123"/>
      <c r="D100" s="123">
        <f t="shared" si="39"/>
        <v>0</v>
      </c>
      <c r="E100" s="329">
        <v>0.0</v>
      </c>
      <c r="F100" s="123">
        <f t="shared" si="40"/>
        <v>0</v>
      </c>
      <c r="G100" s="123">
        <f t="shared" si="41"/>
        <v>0</v>
      </c>
      <c r="H100" s="330">
        <v>0.0</v>
      </c>
      <c r="I100" s="124">
        <v>2391.3</v>
      </c>
      <c r="J100" s="124">
        <f t="shared" si="45"/>
        <v>-2391.3</v>
      </c>
      <c r="K100" s="125" t="str">
        <f t="shared" si="6"/>
        <v/>
      </c>
      <c r="L100" s="125">
        <v>0.3</v>
      </c>
      <c r="M100" s="125">
        <f t="shared" si="42"/>
        <v>0.3</v>
      </c>
      <c r="N100" s="124" t="str">
        <f t="shared" si="8"/>
        <v/>
      </c>
      <c r="O100" s="126">
        <v>150.0</v>
      </c>
      <c r="P100" s="124">
        <f t="shared" si="46"/>
        <v>-150</v>
      </c>
      <c r="S100" s="94"/>
    </row>
    <row r="101" outlineLevel="1" collapsed="1">
      <c r="A101" s="100" t="s">
        <v>63</v>
      </c>
      <c r="B101" s="100">
        <f t="shared" ref="B101:G101" si="47">SUM(B102:B131)</f>
        <v>177</v>
      </c>
      <c r="C101" s="100">
        <f t="shared" si="47"/>
        <v>240</v>
      </c>
      <c r="D101" s="100">
        <f t="shared" si="47"/>
        <v>-45</v>
      </c>
      <c r="E101" s="100">
        <f t="shared" si="47"/>
        <v>58</v>
      </c>
      <c r="F101" s="100">
        <f t="shared" si="47"/>
        <v>66</v>
      </c>
      <c r="G101" s="100">
        <f t="shared" si="47"/>
        <v>-10</v>
      </c>
      <c r="H101" s="102">
        <f t="shared" ref="H101:I101" si="48">SUM(H102:H132)</f>
        <v>22809.07</v>
      </c>
      <c r="I101" s="102">
        <f t="shared" si="48"/>
        <v>49999.93</v>
      </c>
      <c r="J101" s="102">
        <f>SUM(J102:J131)</f>
        <v>-27116.83</v>
      </c>
      <c r="K101" s="103">
        <f t="shared" si="6"/>
        <v>0.3276836158</v>
      </c>
      <c r="L101" s="103">
        <v>0.3</v>
      </c>
      <c r="M101" s="103">
        <f t="shared" si="42"/>
        <v>-0.02768361582</v>
      </c>
      <c r="N101" s="102">
        <f t="shared" si="8"/>
        <v>393.2598276</v>
      </c>
      <c r="O101" s="104">
        <v>250.0</v>
      </c>
      <c r="P101" s="102">
        <f t="shared" si="46"/>
        <v>143.2598276</v>
      </c>
      <c r="Q101" s="90"/>
      <c r="R101" s="90"/>
      <c r="S101" s="91"/>
      <c r="T101" s="90"/>
      <c r="U101" s="90"/>
      <c r="V101" s="90"/>
      <c r="W101" s="90"/>
      <c r="X101" s="90"/>
      <c r="Y101" s="90"/>
      <c r="Z101" s="90"/>
      <c r="AA101" s="90"/>
      <c r="AB101" s="90"/>
    </row>
    <row r="102" hidden="1" outlineLevel="2">
      <c r="A102" s="132">
        <v>45931.0</v>
      </c>
      <c r="B102" s="329">
        <v>3.0</v>
      </c>
      <c r="C102" s="123">
        <v>20.0</v>
      </c>
      <c r="D102" s="123">
        <f t="shared" ref="D102:D107" si="49">B102-C102</f>
        <v>-17</v>
      </c>
      <c r="E102" s="329">
        <v>1.0</v>
      </c>
      <c r="F102" s="123">
        <f t="shared" ref="F102:F107" si="50">C102*30%</f>
        <v>6</v>
      </c>
      <c r="G102" s="123">
        <f t="shared" ref="G102:G107" si="51">E102-F102</f>
        <v>-5</v>
      </c>
      <c r="H102" s="330">
        <v>162.05</v>
      </c>
      <c r="I102" s="124">
        <v>2173.91</v>
      </c>
      <c r="J102" s="124">
        <f t="shared" ref="J102:J104" si="52">H102-I102</f>
        <v>-2011.86</v>
      </c>
      <c r="K102" s="125">
        <f t="shared" si="6"/>
        <v>0.3333333333</v>
      </c>
      <c r="L102" s="125">
        <v>0.3</v>
      </c>
      <c r="M102" s="125">
        <f t="shared" si="42"/>
        <v>-0.03333333333</v>
      </c>
      <c r="N102" s="124">
        <f t="shared" si="8"/>
        <v>162.05</v>
      </c>
      <c r="O102" s="126">
        <v>150.0</v>
      </c>
      <c r="P102" s="124">
        <f t="shared" si="46"/>
        <v>12.05</v>
      </c>
      <c r="R102" s="115" t="s">
        <v>12</v>
      </c>
    </row>
    <row r="103" hidden="1" outlineLevel="2">
      <c r="A103" s="132">
        <v>45932.0</v>
      </c>
      <c r="B103" s="329">
        <v>10.0</v>
      </c>
      <c r="C103" s="123">
        <v>20.0</v>
      </c>
      <c r="D103" s="123">
        <f t="shared" si="49"/>
        <v>-10</v>
      </c>
      <c r="E103" s="329">
        <v>6.0</v>
      </c>
      <c r="F103" s="123">
        <f t="shared" si="50"/>
        <v>6</v>
      </c>
      <c r="G103" s="123">
        <f t="shared" si="51"/>
        <v>0</v>
      </c>
      <c r="H103" s="330">
        <v>4536.28</v>
      </c>
      <c r="I103" s="124">
        <v>2173.91</v>
      </c>
      <c r="J103" s="124">
        <f t="shared" si="52"/>
        <v>2362.37</v>
      </c>
      <c r="K103" s="125">
        <f t="shared" si="6"/>
        <v>0.6</v>
      </c>
      <c r="L103" s="125">
        <v>0.3</v>
      </c>
      <c r="M103" s="125">
        <f t="shared" si="42"/>
        <v>-0.3</v>
      </c>
      <c r="N103" s="124">
        <f t="shared" si="8"/>
        <v>756.0466667</v>
      </c>
      <c r="O103" s="126">
        <v>150.0</v>
      </c>
      <c r="P103" s="124">
        <f t="shared" si="46"/>
        <v>606.0466667</v>
      </c>
      <c r="R103" s="113" t="s">
        <v>8</v>
      </c>
      <c r="S103" s="116">
        <v>50000.0</v>
      </c>
    </row>
    <row r="104" hidden="1" outlineLevel="2">
      <c r="A104" s="132">
        <v>45933.0</v>
      </c>
      <c r="B104" s="329">
        <v>6.0</v>
      </c>
      <c r="C104" s="123">
        <v>20.0</v>
      </c>
      <c r="D104" s="123">
        <f t="shared" si="49"/>
        <v>-14</v>
      </c>
      <c r="E104" s="329">
        <v>4.0</v>
      </c>
      <c r="F104" s="123">
        <f t="shared" si="50"/>
        <v>6</v>
      </c>
      <c r="G104" s="123">
        <f t="shared" si="51"/>
        <v>-2</v>
      </c>
      <c r="H104" s="330">
        <v>597.86</v>
      </c>
      <c r="I104" s="124">
        <v>2173.91</v>
      </c>
      <c r="J104" s="124">
        <f t="shared" si="52"/>
        <v>-1576.05</v>
      </c>
      <c r="K104" s="125">
        <f t="shared" si="6"/>
        <v>0.6666666667</v>
      </c>
      <c r="L104" s="125">
        <v>0.3</v>
      </c>
      <c r="M104" s="125">
        <f t="shared" si="42"/>
        <v>-0.3666666667</v>
      </c>
      <c r="N104" s="124">
        <f t="shared" si="8"/>
        <v>149.465</v>
      </c>
      <c r="O104" s="126">
        <v>150.0</v>
      </c>
      <c r="P104" s="124">
        <f t="shared" si="46"/>
        <v>-0.535</v>
      </c>
      <c r="R104" s="113" t="s">
        <v>45</v>
      </c>
      <c r="S104" s="117">
        <f>S103/30</f>
        <v>1666.666667</v>
      </c>
    </row>
    <row r="105" hidden="1" outlineLevel="2">
      <c r="A105" s="132">
        <v>45934.0</v>
      </c>
      <c r="B105" s="329">
        <v>2.0</v>
      </c>
      <c r="C105" s="123">
        <v>20.0</v>
      </c>
      <c r="D105" s="123">
        <f t="shared" si="49"/>
        <v>-18</v>
      </c>
      <c r="E105" s="329">
        <v>3.0</v>
      </c>
      <c r="F105" s="123">
        <f t="shared" si="50"/>
        <v>6</v>
      </c>
      <c r="G105" s="123">
        <f t="shared" si="51"/>
        <v>-3</v>
      </c>
      <c r="H105" s="330">
        <v>239.76</v>
      </c>
      <c r="I105" s="124"/>
      <c r="J105" s="124"/>
      <c r="K105" s="125">
        <f t="shared" si="6"/>
        <v>1.5</v>
      </c>
      <c r="L105" s="125">
        <v>0.3</v>
      </c>
      <c r="M105" s="125">
        <f t="shared" si="42"/>
        <v>-1.2</v>
      </c>
      <c r="N105" s="124">
        <f t="shared" si="8"/>
        <v>79.92</v>
      </c>
      <c r="O105" s="126">
        <v>150.0</v>
      </c>
      <c r="P105" s="124">
        <f t="shared" si="46"/>
        <v>-70.08</v>
      </c>
      <c r="R105" s="113" t="s">
        <v>46</v>
      </c>
      <c r="S105" s="117">
        <f>S103/23</f>
        <v>2173.913043</v>
      </c>
    </row>
    <row r="106" hidden="1" outlineLevel="2">
      <c r="A106" s="132">
        <v>45935.0</v>
      </c>
      <c r="B106" s="329">
        <v>0.0</v>
      </c>
      <c r="C106" s="123">
        <v>20.0</v>
      </c>
      <c r="D106" s="123">
        <f t="shared" si="49"/>
        <v>-20</v>
      </c>
      <c r="E106" s="329">
        <v>0.0</v>
      </c>
      <c r="F106" s="123">
        <f t="shared" si="50"/>
        <v>6</v>
      </c>
      <c r="G106" s="123">
        <f t="shared" si="51"/>
        <v>-6</v>
      </c>
      <c r="H106" s="330"/>
      <c r="I106" s="124"/>
      <c r="J106" s="124"/>
      <c r="K106" s="125" t="str">
        <f t="shared" si="6"/>
        <v/>
      </c>
      <c r="L106" s="125">
        <v>0.3</v>
      </c>
      <c r="M106" s="125">
        <f t="shared" si="42"/>
        <v>0.3</v>
      </c>
      <c r="N106" s="124" t="str">
        <f t="shared" si="8"/>
        <v/>
      </c>
      <c r="O106" s="126">
        <v>150.0</v>
      </c>
      <c r="P106" s="124">
        <f t="shared" si="46"/>
        <v>-150</v>
      </c>
      <c r="R106" s="113" t="s">
        <v>7</v>
      </c>
      <c r="S106" s="117">
        <f>H101</f>
        <v>22809.07</v>
      </c>
    </row>
    <row r="107" hidden="1" outlineLevel="2">
      <c r="A107" s="132">
        <v>45936.0</v>
      </c>
      <c r="B107" s="329">
        <v>6.0</v>
      </c>
      <c r="C107" s="123">
        <v>20.0</v>
      </c>
      <c r="D107" s="123">
        <f t="shared" si="49"/>
        <v>-14</v>
      </c>
      <c r="E107" s="329">
        <v>5.0</v>
      </c>
      <c r="F107" s="123">
        <f t="shared" si="50"/>
        <v>6</v>
      </c>
      <c r="G107" s="123">
        <f t="shared" si="51"/>
        <v>-1</v>
      </c>
      <c r="H107" s="330">
        <v>486.98</v>
      </c>
      <c r="I107" s="124">
        <v>2173.91</v>
      </c>
      <c r="J107" s="124">
        <f t="shared" ref="J107:J111" si="53">H107-I107</f>
        <v>-1686.93</v>
      </c>
      <c r="K107" s="125">
        <f t="shared" si="6"/>
        <v>0.8333333333</v>
      </c>
      <c r="L107" s="125">
        <v>0.3</v>
      </c>
      <c r="M107" s="125">
        <f t="shared" si="42"/>
        <v>-0.5333333333</v>
      </c>
      <c r="N107" s="124">
        <f t="shared" si="8"/>
        <v>97.396</v>
      </c>
      <c r="O107" s="126">
        <v>150.0</v>
      </c>
      <c r="P107" s="124">
        <f t="shared" si="46"/>
        <v>-52.604</v>
      </c>
      <c r="R107" s="113" t="s">
        <v>47</v>
      </c>
      <c r="S107" s="119">
        <f>S106/S103</f>
        <v>0.4561814</v>
      </c>
    </row>
    <row r="108" hidden="1" outlineLevel="2">
      <c r="A108" s="132">
        <v>45937.0</v>
      </c>
      <c r="B108" s="329">
        <v>2.0</v>
      </c>
      <c r="C108" s="123">
        <v>20.0</v>
      </c>
      <c r="D108" s="123"/>
      <c r="E108" s="329">
        <v>2.0</v>
      </c>
      <c r="F108" s="123"/>
      <c r="G108" s="123"/>
      <c r="H108" s="330">
        <v>998.98</v>
      </c>
      <c r="I108" s="124">
        <v>2173.91</v>
      </c>
      <c r="J108" s="124">
        <f t="shared" si="53"/>
        <v>-1174.93</v>
      </c>
      <c r="K108" s="125">
        <f t="shared" si="6"/>
        <v>1</v>
      </c>
      <c r="L108" s="125"/>
      <c r="M108" s="129"/>
      <c r="N108" s="124">
        <f t="shared" si="8"/>
        <v>499.49</v>
      </c>
      <c r="O108" s="126">
        <v>150.0</v>
      </c>
      <c r="P108" s="124">
        <f t="shared" si="46"/>
        <v>349.49</v>
      </c>
      <c r="R108" s="113" t="s">
        <v>48</v>
      </c>
      <c r="S108" s="120">
        <v>9.0</v>
      </c>
    </row>
    <row r="109" hidden="1" outlineLevel="2">
      <c r="A109" s="132">
        <v>45938.0</v>
      </c>
      <c r="B109" s="329">
        <v>2.0</v>
      </c>
      <c r="C109" s="123">
        <v>20.0</v>
      </c>
      <c r="D109" s="123">
        <f t="shared" ref="D109:D132" si="54">B109-C109</f>
        <v>-18</v>
      </c>
      <c r="E109" s="329">
        <v>1.0</v>
      </c>
      <c r="F109" s="123">
        <f t="shared" ref="F109:F132" si="55">C109*30%</f>
        <v>6</v>
      </c>
      <c r="G109" s="123">
        <f t="shared" ref="G109:G132" si="56">E109-F109</f>
        <v>-5</v>
      </c>
      <c r="H109" s="330">
        <v>399.9</v>
      </c>
      <c r="I109" s="124">
        <v>2173.91</v>
      </c>
      <c r="J109" s="124">
        <f t="shared" si="53"/>
        <v>-1774.01</v>
      </c>
      <c r="K109" s="125">
        <f t="shared" si="6"/>
        <v>0.5</v>
      </c>
      <c r="L109" s="125">
        <v>0.3</v>
      </c>
      <c r="M109" s="125">
        <f t="shared" ref="M109:M132" si="57">L109-K109</f>
        <v>-0.2</v>
      </c>
      <c r="N109" s="124">
        <f t="shared" si="8"/>
        <v>399.9</v>
      </c>
      <c r="O109" s="126">
        <v>150.0</v>
      </c>
      <c r="P109" s="124">
        <f t="shared" si="46"/>
        <v>249.9</v>
      </c>
      <c r="R109" s="113" t="s">
        <v>49</v>
      </c>
      <c r="S109" s="121">
        <f>(S103-S106)/S108</f>
        <v>3021.214444</v>
      </c>
    </row>
    <row r="110" hidden="1" outlineLevel="2">
      <c r="A110" s="132">
        <v>45939.0</v>
      </c>
      <c r="B110" s="329">
        <v>0.0</v>
      </c>
      <c r="C110" s="123">
        <v>20.0</v>
      </c>
      <c r="D110" s="123">
        <f t="shared" si="54"/>
        <v>-20</v>
      </c>
      <c r="E110" s="329">
        <v>0.0</v>
      </c>
      <c r="F110" s="123">
        <f t="shared" si="55"/>
        <v>6</v>
      </c>
      <c r="G110" s="123">
        <f t="shared" si="56"/>
        <v>-6</v>
      </c>
      <c r="H110" s="330">
        <v>0.0</v>
      </c>
      <c r="I110" s="124">
        <v>2173.91</v>
      </c>
      <c r="J110" s="124">
        <f t="shared" si="53"/>
        <v>-2173.91</v>
      </c>
      <c r="K110" s="125" t="str">
        <f t="shared" si="6"/>
        <v/>
      </c>
      <c r="L110" s="125">
        <v>0.3</v>
      </c>
      <c r="M110" s="125">
        <f t="shared" si="57"/>
        <v>0.3</v>
      </c>
      <c r="N110" s="124" t="str">
        <f t="shared" si="8"/>
        <v/>
      </c>
      <c r="O110" s="126">
        <v>150.0</v>
      </c>
      <c r="P110" s="124">
        <f t="shared" si="46"/>
        <v>-150</v>
      </c>
      <c r="R110" s="113" t="s">
        <v>50</v>
      </c>
      <c r="S110" s="122">
        <f>N101</f>
        <v>393.2598276</v>
      </c>
    </row>
    <row r="111" hidden="1" outlineLevel="2">
      <c r="A111" s="132">
        <v>45940.0</v>
      </c>
      <c r="B111" s="329">
        <v>0.0</v>
      </c>
      <c r="C111" s="123">
        <v>20.0</v>
      </c>
      <c r="D111" s="123">
        <f t="shared" si="54"/>
        <v>-20</v>
      </c>
      <c r="E111" s="329">
        <v>1.0</v>
      </c>
      <c r="F111" s="123">
        <f t="shared" si="55"/>
        <v>6</v>
      </c>
      <c r="G111" s="123">
        <f t="shared" si="56"/>
        <v>-5</v>
      </c>
      <c r="H111" s="330">
        <v>52.36</v>
      </c>
      <c r="I111" s="124">
        <v>2173.91</v>
      </c>
      <c r="J111" s="124">
        <f t="shared" si="53"/>
        <v>-2121.55</v>
      </c>
      <c r="K111" s="125" t="str">
        <f t="shared" si="6"/>
        <v/>
      </c>
      <c r="L111" s="125">
        <v>0.3</v>
      </c>
      <c r="M111" s="125">
        <f t="shared" si="57"/>
        <v>0.3</v>
      </c>
      <c r="N111" s="124">
        <f t="shared" si="8"/>
        <v>52.36</v>
      </c>
      <c r="O111" s="126">
        <v>150.0</v>
      </c>
      <c r="P111" s="124">
        <f t="shared" si="46"/>
        <v>-97.64</v>
      </c>
      <c r="R111" s="113" t="s">
        <v>51</v>
      </c>
      <c r="S111" s="128">
        <f>B101</f>
        <v>177</v>
      </c>
    </row>
    <row r="112" hidden="1" outlineLevel="2">
      <c r="A112" s="132">
        <v>45941.0</v>
      </c>
      <c r="B112" s="329">
        <v>4.0</v>
      </c>
      <c r="C112" s="123">
        <v>20.0</v>
      </c>
      <c r="D112" s="123">
        <f t="shared" si="54"/>
        <v>-16</v>
      </c>
      <c r="E112" s="329">
        <v>1.0</v>
      </c>
      <c r="F112" s="123">
        <f t="shared" si="55"/>
        <v>6</v>
      </c>
      <c r="G112" s="123">
        <f t="shared" si="56"/>
        <v>-5</v>
      </c>
      <c r="H112" s="330">
        <v>186.1</v>
      </c>
      <c r="I112" s="124"/>
      <c r="J112" s="124"/>
      <c r="K112" s="125">
        <f t="shared" si="6"/>
        <v>0.25</v>
      </c>
      <c r="L112" s="125">
        <v>0.3</v>
      </c>
      <c r="M112" s="125">
        <f t="shared" si="57"/>
        <v>0.05</v>
      </c>
      <c r="N112" s="124">
        <f t="shared" si="8"/>
        <v>186.1</v>
      </c>
      <c r="O112" s="126">
        <v>150.0</v>
      </c>
      <c r="P112" s="124">
        <f t="shared" si="46"/>
        <v>36.1</v>
      </c>
      <c r="R112" s="113" t="s">
        <v>52</v>
      </c>
      <c r="S112" s="128">
        <f>E101</f>
        <v>58</v>
      </c>
    </row>
    <row r="113" hidden="1" outlineLevel="2">
      <c r="A113" s="132">
        <v>45942.0</v>
      </c>
      <c r="B113" s="329">
        <v>0.0</v>
      </c>
      <c r="C113" s="123">
        <v>20.0</v>
      </c>
      <c r="D113" s="123">
        <f t="shared" si="54"/>
        <v>-20</v>
      </c>
      <c r="E113" s="329">
        <v>0.0</v>
      </c>
      <c r="F113" s="123">
        <f t="shared" si="55"/>
        <v>6</v>
      </c>
      <c r="G113" s="123">
        <f t="shared" si="56"/>
        <v>-6</v>
      </c>
      <c r="H113" s="330"/>
      <c r="I113" s="124"/>
      <c r="J113" s="124"/>
      <c r="K113" s="125" t="str">
        <f t="shared" si="6"/>
        <v/>
      </c>
      <c r="L113" s="125">
        <v>0.3</v>
      </c>
      <c r="M113" s="125">
        <f t="shared" si="57"/>
        <v>0.3</v>
      </c>
      <c r="N113" s="124" t="str">
        <f t="shared" si="8"/>
        <v/>
      </c>
      <c r="O113" s="126">
        <v>150.0</v>
      </c>
      <c r="P113" s="124">
        <f t="shared" si="46"/>
        <v>-150</v>
      </c>
      <c r="R113" s="113" t="s">
        <v>4</v>
      </c>
      <c r="S113" s="119">
        <f>E101/B101</f>
        <v>0.3276836158</v>
      </c>
    </row>
    <row r="114" hidden="1" outlineLevel="2">
      <c r="A114" s="132">
        <v>45943.0</v>
      </c>
      <c r="B114" s="329">
        <v>9.0</v>
      </c>
      <c r="C114" s="123"/>
      <c r="D114" s="123">
        <f t="shared" si="54"/>
        <v>9</v>
      </c>
      <c r="E114" s="329">
        <v>4.0</v>
      </c>
      <c r="F114" s="123">
        <f t="shared" si="55"/>
        <v>0</v>
      </c>
      <c r="G114" s="123">
        <f t="shared" si="56"/>
        <v>4</v>
      </c>
      <c r="H114" s="330">
        <v>2807.02</v>
      </c>
      <c r="I114" s="124">
        <v>2173.91</v>
      </c>
      <c r="J114" s="124">
        <f t="shared" ref="J114:J118" si="58">H114-I114</f>
        <v>633.11</v>
      </c>
      <c r="K114" s="125">
        <f t="shared" si="6"/>
        <v>0.4444444444</v>
      </c>
      <c r="L114" s="125">
        <v>0.3</v>
      </c>
      <c r="M114" s="125">
        <f t="shared" si="57"/>
        <v>-0.1444444444</v>
      </c>
      <c r="N114" s="124">
        <f t="shared" si="8"/>
        <v>701.755</v>
      </c>
      <c r="O114" s="126">
        <v>150.0</v>
      </c>
      <c r="P114" s="124">
        <f t="shared" si="46"/>
        <v>551.755</v>
      </c>
      <c r="S114" s="94"/>
    </row>
    <row r="115" hidden="1" outlineLevel="2">
      <c r="A115" s="132">
        <v>45944.0</v>
      </c>
      <c r="B115" s="329">
        <v>2.0</v>
      </c>
      <c r="C115" s="123"/>
      <c r="D115" s="123">
        <f t="shared" si="54"/>
        <v>2</v>
      </c>
      <c r="E115" s="329">
        <v>3.0</v>
      </c>
      <c r="F115" s="123">
        <f t="shared" si="55"/>
        <v>0</v>
      </c>
      <c r="G115" s="123">
        <f t="shared" si="56"/>
        <v>3</v>
      </c>
      <c r="H115" s="330">
        <v>683.07</v>
      </c>
      <c r="I115" s="124">
        <v>2173.91</v>
      </c>
      <c r="J115" s="124">
        <f t="shared" si="58"/>
        <v>-1490.84</v>
      </c>
      <c r="K115" s="125">
        <f t="shared" si="6"/>
        <v>1.5</v>
      </c>
      <c r="L115" s="125">
        <v>0.3</v>
      </c>
      <c r="M115" s="125">
        <f t="shared" si="57"/>
        <v>-1.2</v>
      </c>
      <c r="N115" s="124">
        <f t="shared" si="8"/>
        <v>227.69</v>
      </c>
      <c r="O115" s="126">
        <v>150.0</v>
      </c>
      <c r="P115" s="124">
        <f t="shared" si="46"/>
        <v>77.69</v>
      </c>
      <c r="S115" s="94"/>
    </row>
    <row r="116" hidden="1" outlineLevel="2">
      <c r="A116" s="132">
        <v>45945.0</v>
      </c>
      <c r="B116" s="329">
        <v>5.0</v>
      </c>
      <c r="C116" s="123"/>
      <c r="D116" s="123">
        <f t="shared" si="54"/>
        <v>5</v>
      </c>
      <c r="E116" s="329">
        <v>4.0</v>
      </c>
      <c r="F116" s="123">
        <f t="shared" si="55"/>
        <v>0</v>
      </c>
      <c r="G116" s="123">
        <f t="shared" si="56"/>
        <v>4</v>
      </c>
      <c r="H116" s="330">
        <v>1026.0</v>
      </c>
      <c r="I116" s="124">
        <v>2173.91</v>
      </c>
      <c r="J116" s="124">
        <f t="shared" si="58"/>
        <v>-1147.91</v>
      </c>
      <c r="K116" s="125">
        <f t="shared" si="6"/>
        <v>0.8</v>
      </c>
      <c r="L116" s="125">
        <v>0.3</v>
      </c>
      <c r="M116" s="125">
        <f t="shared" si="57"/>
        <v>-0.5</v>
      </c>
      <c r="N116" s="124">
        <f t="shared" si="8"/>
        <v>256.5</v>
      </c>
      <c r="O116" s="126">
        <v>150.0</v>
      </c>
      <c r="P116" s="124">
        <f t="shared" si="46"/>
        <v>106.5</v>
      </c>
      <c r="S116" s="94"/>
    </row>
    <row r="117" hidden="1" outlineLevel="2">
      <c r="A117" s="132">
        <v>45946.0</v>
      </c>
      <c r="B117" s="329">
        <v>1.0</v>
      </c>
      <c r="C117" s="123"/>
      <c r="D117" s="123">
        <f t="shared" si="54"/>
        <v>1</v>
      </c>
      <c r="E117" s="329">
        <v>1.0</v>
      </c>
      <c r="F117" s="123">
        <f t="shared" si="55"/>
        <v>0</v>
      </c>
      <c r="G117" s="123">
        <f t="shared" si="56"/>
        <v>1</v>
      </c>
      <c r="H117" s="330">
        <v>698.62</v>
      </c>
      <c r="I117" s="124">
        <v>2173.91</v>
      </c>
      <c r="J117" s="124">
        <f t="shared" si="58"/>
        <v>-1475.29</v>
      </c>
      <c r="K117" s="125">
        <f t="shared" si="6"/>
        <v>1</v>
      </c>
      <c r="L117" s="125">
        <v>0.3</v>
      </c>
      <c r="M117" s="125">
        <f t="shared" si="57"/>
        <v>-0.7</v>
      </c>
      <c r="N117" s="124">
        <f t="shared" si="8"/>
        <v>698.62</v>
      </c>
      <c r="O117" s="126">
        <v>150.0</v>
      </c>
      <c r="P117" s="124">
        <f t="shared" si="46"/>
        <v>548.62</v>
      </c>
      <c r="S117" s="94"/>
    </row>
    <row r="118" hidden="1" outlineLevel="2">
      <c r="A118" s="132">
        <v>45947.0</v>
      </c>
      <c r="B118" s="329">
        <v>0.0</v>
      </c>
      <c r="C118" s="123"/>
      <c r="D118" s="123">
        <f t="shared" si="54"/>
        <v>0</v>
      </c>
      <c r="E118" s="329">
        <v>0.0</v>
      </c>
      <c r="F118" s="123">
        <f t="shared" si="55"/>
        <v>0</v>
      </c>
      <c r="G118" s="123">
        <f t="shared" si="56"/>
        <v>0</v>
      </c>
      <c r="H118" s="330">
        <v>0.0</v>
      </c>
      <c r="I118" s="124">
        <v>2173.91</v>
      </c>
      <c r="J118" s="124">
        <f t="shared" si="58"/>
        <v>-2173.91</v>
      </c>
      <c r="K118" s="125" t="str">
        <f t="shared" si="6"/>
        <v/>
      </c>
      <c r="L118" s="125">
        <v>0.3</v>
      </c>
      <c r="M118" s="125">
        <f t="shared" si="57"/>
        <v>0.3</v>
      </c>
      <c r="N118" s="124" t="str">
        <f t="shared" si="8"/>
        <v/>
      </c>
      <c r="O118" s="126">
        <v>150.0</v>
      </c>
      <c r="P118" s="124">
        <f t="shared" si="46"/>
        <v>-150</v>
      </c>
      <c r="S118" s="94"/>
    </row>
    <row r="119" hidden="1" outlineLevel="2">
      <c r="A119" s="132">
        <v>45948.0</v>
      </c>
      <c r="B119" s="329">
        <v>0.0</v>
      </c>
      <c r="C119" s="123"/>
      <c r="D119" s="123">
        <f t="shared" si="54"/>
        <v>0</v>
      </c>
      <c r="E119" s="329">
        <v>0.0</v>
      </c>
      <c r="F119" s="123">
        <f t="shared" si="55"/>
        <v>0</v>
      </c>
      <c r="G119" s="123">
        <f t="shared" si="56"/>
        <v>0</v>
      </c>
      <c r="H119" s="330"/>
      <c r="I119" s="124"/>
      <c r="J119" s="124"/>
      <c r="K119" s="125" t="str">
        <f t="shared" si="6"/>
        <v/>
      </c>
      <c r="L119" s="125">
        <v>0.3</v>
      </c>
      <c r="M119" s="125">
        <f t="shared" si="57"/>
        <v>0.3</v>
      </c>
      <c r="N119" s="124" t="str">
        <f t="shared" si="8"/>
        <v/>
      </c>
      <c r="O119" s="126">
        <v>150.0</v>
      </c>
      <c r="P119" s="124">
        <f t="shared" si="46"/>
        <v>-150</v>
      </c>
      <c r="S119" s="94"/>
    </row>
    <row r="120" hidden="1" outlineLevel="2">
      <c r="A120" s="132">
        <v>45949.0</v>
      </c>
      <c r="B120" s="329">
        <v>0.0</v>
      </c>
      <c r="C120" s="123"/>
      <c r="D120" s="123">
        <f t="shared" si="54"/>
        <v>0</v>
      </c>
      <c r="E120" s="329">
        <v>0.0</v>
      </c>
      <c r="F120" s="123">
        <f t="shared" si="55"/>
        <v>0</v>
      </c>
      <c r="G120" s="123">
        <f t="shared" si="56"/>
        <v>0</v>
      </c>
      <c r="H120" s="330"/>
      <c r="I120" s="124"/>
      <c r="J120" s="124"/>
      <c r="K120" s="125" t="str">
        <f t="shared" si="6"/>
        <v/>
      </c>
      <c r="L120" s="125">
        <v>0.3</v>
      </c>
      <c r="M120" s="125">
        <f t="shared" si="57"/>
        <v>0.3</v>
      </c>
      <c r="N120" s="124" t="str">
        <f t="shared" si="8"/>
        <v/>
      </c>
      <c r="O120" s="126">
        <v>150.0</v>
      </c>
      <c r="P120" s="124">
        <f t="shared" si="46"/>
        <v>-150</v>
      </c>
      <c r="S120" s="94"/>
    </row>
    <row r="121" hidden="1" outlineLevel="2">
      <c r="A121" s="132">
        <v>45950.0</v>
      </c>
      <c r="B121" s="329">
        <v>0.0</v>
      </c>
      <c r="C121" s="123"/>
      <c r="D121" s="123">
        <f t="shared" si="54"/>
        <v>0</v>
      </c>
      <c r="E121" s="329">
        <v>0.0</v>
      </c>
      <c r="F121" s="123">
        <f t="shared" si="55"/>
        <v>0</v>
      </c>
      <c r="G121" s="123">
        <f t="shared" si="56"/>
        <v>0</v>
      </c>
      <c r="H121" s="330">
        <v>0.0</v>
      </c>
      <c r="I121" s="124">
        <v>2173.91</v>
      </c>
      <c r="J121" s="124">
        <f t="shared" ref="J121:J125" si="59">H121-I121</f>
        <v>-2173.91</v>
      </c>
      <c r="K121" s="125" t="str">
        <f t="shared" si="6"/>
        <v/>
      </c>
      <c r="L121" s="125">
        <v>0.3</v>
      </c>
      <c r="M121" s="125">
        <f t="shared" si="57"/>
        <v>0.3</v>
      </c>
      <c r="N121" s="124" t="str">
        <f t="shared" si="8"/>
        <v/>
      </c>
      <c r="O121" s="126">
        <v>150.0</v>
      </c>
      <c r="P121" s="124">
        <f t="shared" si="46"/>
        <v>-150</v>
      </c>
      <c r="S121" s="94"/>
    </row>
    <row r="122" hidden="1" outlineLevel="2">
      <c r="A122" s="132">
        <v>45951.0</v>
      </c>
      <c r="B122" s="329">
        <v>0.0</v>
      </c>
      <c r="C122" s="123"/>
      <c r="D122" s="123">
        <f t="shared" si="54"/>
        <v>0</v>
      </c>
      <c r="E122" s="329">
        <v>0.0</v>
      </c>
      <c r="F122" s="123">
        <f t="shared" si="55"/>
        <v>0</v>
      </c>
      <c r="G122" s="123">
        <f t="shared" si="56"/>
        <v>0</v>
      </c>
      <c r="H122" s="330">
        <v>0.0</v>
      </c>
      <c r="I122" s="124">
        <v>2173.91</v>
      </c>
      <c r="J122" s="124">
        <f t="shared" si="59"/>
        <v>-2173.91</v>
      </c>
      <c r="K122" s="125" t="str">
        <f t="shared" si="6"/>
        <v/>
      </c>
      <c r="L122" s="125">
        <v>0.3</v>
      </c>
      <c r="M122" s="125">
        <f t="shared" si="57"/>
        <v>0.3</v>
      </c>
      <c r="N122" s="124" t="str">
        <f t="shared" si="8"/>
        <v/>
      </c>
      <c r="O122" s="126">
        <v>150.0</v>
      </c>
      <c r="P122" s="124">
        <f t="shared" si="46"/>
        <v>-150</v>
      </c>
      <c r="S122" s="94"/>
    </row>
    <row r="123" hidden="1" outlineLevel="2">
      <c r="A123" s="132">
        <v>45952.0</v>
      </c>
      <c r="B123" s="329">
        <v>0.0</v>
      </c>
      <c r="C123" s="123"/>
      <c r="D123" s="123">
        <f t="shared" si="54"/>
        <v>0</v>
      </c>
      <c r="E123" s="329">
        <v>0.0</v>
      </c>
      <c r="F123" s="123">
        <f t="shared" si="55"/>
        <v>0</v>
      </c>
      <c r="G123" s="123">
        <f t="shared" si="56"/>
        <v>0</v>
      </c>
      <c r="H123" s="330">
        <v>0.0</v>
      </c>
      <c r="I123" s="124">
        <v>2173.91</v>
      </c>
      <c r="J123" s="124">
        <f t="shared" si="59"/>
        <v>-2173.91</v>
      </c>
      <c r="K123" s="125" t="str">
        <f t="shared" si="6"/>
        <v/>
      </c>
      <c r="L123" s="125">
        <v>0.3</v>
      </c>
      <c r="M123" s="125">
        <f t="shared" si="57"/>
        <v>0.3</v>
      </c>
      <c r="N123" s="124" t="str">
        <f t="shared" si="8"/>
        <v/>
      </c>
      <c r="O123" s="126">
        <v>150.0</v>
      </c>
      <c r="P123" s="124">
        <f t="shared" si="46"/>
        <v>-150</v>
      </c>
      <c r="S123" s="94"/>
    </row>
    <row r="124" hidden="1" outlineLevel="2">
      <c r="A124" s="132">
        <v>45953.0</v>
      </c>
      <c r="B124" s="329">
        <v>0.0</v>
      </c>
      <c r="C124" s="123"/>
      <c r="D124" s="123">
        <f t="shared" si="54"/>
        <v>0</v>
      </c>
      <c r="E124" s="329">
        <v>0.0</v>
      </c>
      <c r="F124" s="123">
        <f t="shared" si="55"/>
        <v>0</v>
      </c>
      <c r="G124" s="123">
        <f t="shared" si="56"/>
        <v>0</v>
      </c>
      <c r="H124" s="330">
        <v>0.0</v>
      </c>
      <c r="I124" s="124">
        <v>2173.91</v>
      </c>
      <c r="J124" s="124">
        <f t="shared" si="59"/>
        <v>-2173.91</v>
      </c>
      <c r="K124" s="125" t="str">
        <f t="shared" si="6"/>
        <v/>
      </c>
      <c r="L124" s="125">
        <v>0.3</v>
      </c>
      <c r="M124" s="125">
        <f t="shared" si="57"/>
        <v>0.3</v>
      </c>
      <c r="N124" s="124" t="str">
        <f t="shared" si="8"/>
        <v/>
      </c>
      <c r="O124" s="126">
        <v>150.0</v>
      </c>
      <c r="P124" s="124">
        <f t="shared" si="46"/>
        <v>-150</v>
      </c>
      <c r="S124" s="94"/>
    </row>
    <row r="125" hidden="1" outlineLevel="2">
      <c r="A125" s="132">
        <v>45954.0</v>
      </c>
      <c r="B125" s="329">
        <v>30.0</v>
      </c>
      <c r="C125" s="123"/>
      <c r="D125" s="123">
        <f t="shared" si="54"/>
        <v>30</v>
      </c>
      <c r="E125" s="329">
        <v>4.0</v>
      </c>
      <c r="F125" s="123">
        <f t="shared" si="55"/>
        <v>0</v>
      </c>
      <c r="G125" s="123">
        <f t="shared" si="56"/>
        <v>4</v>
      </c>
      <c r="H125" s="330">
        <v>1434.27</v>
      </c>
      <c r="I125" s="124">
        <v>2173.91</v>
      </c>
      <c r="J125" s="124">
        <f t="shared" si="59"/>
        <v>-739.64</v>
      </c>
      <c r="K125" s="125">
        <f t="shared" si="6"/>
        <v>0.1333333333</v>
      </c>
      <c r="L125" s="125">
        <v>0.3</v>
      </c>
      <c r="M125" s="125">
        <f t="shared" si="57"/>
        <v>0.1666666667</v>
      </c>
      <c r="N125" s="124">
        <f t="shared" si="8"/>
        <v>358.5675</v>
      </c>
      <c r="O125" s="126">
        <v>150.0</v>
      </c>
      <c r="P125" s="124">
        <f t="shared" si="46"/>
        <v>208.5675</v>
      </c>
      <c r="S125" s="94"/>
    </row>
    <row r="126" hidden="1" outlineLevel="2">
      <c r="A126" s="132">
        <v>45955.0</v>
      </c>
      <c r="B126" s="329">
        <v>0.0</v>
      </c>
      <c r="C126" s="123"/>
      <c r="D126" s="123">
        <f t="shared" si="54"/>
        <v>0</v>
      </c>
      <c r="E126" s="329">
        <v>0.0</v>
      </c>
      <c r="F126" s="123">
        <f t="shared" si="55"/>
        <v>0</v>
      </c>
      <c r="G126" s="123">
        <f t="shared" si="56"/>
        <v>0</v>
      </c>
      <c r="H126" s="330"/>
      <c r="I126" s="124"/>
      <c r="J126" s="124"/>
      <c r="K126" s="125" t="str">
        <f t="shared" si="6"/>
        <v/>
      </c>
      <c r="L126" s="125">
        <v>0.3</v>
      </c>
      <c r="M126" s="125">
        <f t="shared" si="57"/>
        <v>0.3</v>
      </c>
      <c r="N126" s="124" t="str">
        <f t="shared" si="8"/>
        <v/>
      </c>
      <c r="O126" s="126">
        <v>150.0</v>
      </c>
      <c r="P126" s="124">
        <f t="shared" si="46"/>
        <v>-150</v>
      </c>
      <c r="S126" s="94"/>
    </row>
    <row r="127" hidden="1" outlineLevel="2">
      <c r="A127" s="132">
        <v>45956.0</v>
      </c>
      <c r="B127" s="329">
        <v>0.0</v>
      </c>
      <c r="C127" s="123"/>
      <c r="D127" s="123">
        <f t="shared" si="54"/>
        <v>0</v>
      </c>
      <c r="E127" s="329">
        <v>0.0</v>
      </c>
      <c r="F127" s="123">
        <f t="shared" si="55"/>
        <v>0</v>
      </c>
      <c r="G127" s="123">
        <f t="shared" si="56"/>
        <v>0</v>
      </c>
      <c r="H127" s="330"/>
      <c r="I127" s="124"/>
      <c r="J127" s="124"/>
      <c r="K127" s="125" t="str">
        <f t="shared" si="6"/>
        <v/>
      </c>
      <c r="L127" s="125">
        <v>0.3</v>
      </c>
      <c r="M127" s="125">
        <f t="shared" si="57"/>
        <v>0.3</v>
      </c>
      <c r="N127" s="124" t="str">
        <f t="shared" si="8"/>
        <v/>
      </c>
      <c r="O127" s="126">
        <v>150.0</v>
      </c>
      <c r="P127" s="124">
        <f t="shared" si="46"/>
        <v>-150</v>
      </c>
      <c r="S127" s="94"/>
    </row>
    <row r="128" hidden="1" outlineLevel="2">
      <c r="A128" s="132">
        <v>45957.0</v>
      </c>
      <c r="B128" s="329">
        <v>7.0</v>
      </c>
      <c r="C128" s="123"/>
      <c r="D128" s="123">
        <f t="shared" si="54"/>
        <v>7</v>
      </c>
      <c r="E128" s="329">
        <v>6.0</v>
      </c>
      <c r="F128" s="123">
        <f t="shared" si="55"/>
        <v>0</v>
      </c>
      <c r="G128" s="123">
        <f t="shared" si="56"/>
        <v>6</v>
      </c>
      <c r="H128" s="330">
        <v>1153.26</v>
      </c>
      <c r="I128" s="124">
        <v>2173.91</v>
      </c>
      <c r="J128" s="124">
        <f t="shared" ref="J128:J132" si="60">H128-I128</f>
        <v>-1020.65</v>
      </c>
      <c r="K128" s="125">
        <f t="shared" si="6"/>
        <v>0.8571428571</v>
      </c>
      <c r="L128" s="125">
        <v>0.3</v>
      </c>
      <c r="M128" s="125">
        <f t="shared" si="57"/>
        <v>-0.5571428571</v>
      </c>
      <c r="N128" s="124">
        <f t="shared" si="8"/>
        <v>192.21</v>
      </c>
      <c r="O128" s="126">
        <v>150.0</v>
      </c>
      <c r="P128" s="124">
        <f t="shared" si="46"/>
        <v>42.21</v>
      </c>
      <c r="S128" s="94"/>
    </row>
    <row r="129" hidden="1" outlineLevel="2">
      <c r="A129" s="132">
        <v>45958.0</v>
      </c>
      <c r="B129" s="329">
        <v>77.0</v>
      </c>
      <c r="C129" s="123"/>
      <c r="D129" s="123">
        <f t="shared" si="54"/>
        <v>77</v>
      </c>
      <c r="E129" s="329">
        <v>5.0</v>
      </c>
      <c r="F129" s="123">
        <f t="shared" si="55"/>
        <v>0</v>
      </c>
      <c r="G129" s="123">
        <f t="shared" si="56"/>
        <v>5</v>
      </c>
      <c r="H129" s="330">
        <v>1158.77</v>
      </c>
      <c r="I129" s="124">
        <v>2173.91</v>
      </c>
      <c r="J129" s="124">
        <f t="shared" si="60"/>
        <v>-1015.14</v>
      </c>
      <c r="K129" s="125">
        <f t="shared" si="6"/>
        <v>0.06493506494</v>
      </c>
      <c r="L129" s="125">
        <v>0.3</v>
      </c>
      <c r="M129" s="125">
        <f t="shared" si="57"/>
        <v>0.2350649351</v>
      </c>
      <c r="N129" s="124">
        <f t="shared" si="8"/>
        <v>231.754</v>
      </c>
      <c r="O129" s="126">
        <v>150.0</v>
      </c>
      <c r="P129" s="129"/>
      <c r="S129" s="94"/>
    </row>
    <row r="130" hidden="1" outlineLevel="2">
      <c r="A130" s="132">
        <v>45959.0</v>
      </c>
      <c r="B130" s="329">
        <v>2.0</v>
      </c>
      <c r="C130" s="123"/>
      <c r="D130" s="123">
        <f t="shared" si="54"/>
        <v>2</v>
      </c>
      <c r="E130" s="329">
        <v>1.0</v>
      </c>
      <c r="F130" s="123">
        <f t="shared" si="55"/>
        <v>0</v>
      </c>
      <c r="G130" s="123">
        <f t="shared" si="56"/>
        <v>1</v>
      </c>
      <c r="H130" s="330">
        <v>1886.62</v>
      </c>
      <c r="I130" s="124">
        <v>2173.91</v>
      </c>
      <c r="J130" s="124">
        <f t="shared" si="60"/>
        <v>-287.29</v>
      </c>
      <c r="K130" s="125">
        <f t="shared" si="6"/>
        <v>0.5</v>
      </c>
      <c r="L130" s="125">
        <v>0.3</v>
      </c>
      <c r="M130" s="125">
        <f t="shared" si="57"/>
        <v>-0.2</v>
      </c>
      <c r="N130" s="124">
        <f t="shared" si="8"/>
        <v>1886.62</v>
      </c>
      <c r="O130" s="126">
        <v>150.0</v>
      </c>
      <c r="P130" s="124">
        <f t="shared" ref="P130:P132" si="61">N130-O130</f>
        <v>1736.62</v>
      </c>
      <c r="S130" s="94"/>
    </row>
    <row r="131" hidden="1" outlineLevel="2">
      <c r="A131" s="132">
        <v>45960.0</v>
      </c>
      <c r="B131" s="329">
        <v>9.0</v>
      </c>
      <c r="C131" s="123"/>
      <c r="D131" s="123">
        <f t="shared" si="54"/>
        <v>9</v>
      </c>
      <c r="E131" s="329">
        <v>6.0</v>
      </c>
      <c r="F131" s="123">
        <f t="shared" si="55"/>
        <v>0</v>
      </c>
      <c r="G131" s="123">
        <f t="shared" si="56"/>
        <v>6</v>
      </c>
      <c r="H131" s="330">
        <v>2627.15</v>
      </c>
      <c r="I131" s="124">
        <v>2173.91</v>
      </c>
      <c r="J131" s="124">
        <f t="shared" si="60"/>
        <v>453.24</v>
      </c>
      <c r="K131" s="125">
        <f t="shared" si="6"/>
        <v>0.6666666667</v>
      </c>
      <c r="L131" s="125">
        <v>0.3</v>
      </c>
      <c r="M131" s="125">
        <f t="shared" si="57"/>
        <v>-0.3666666667</v>
      </c>
      <c r="N131" s="124">
        <f t="shared" si="8"/>
        <v>437.8583333</v>
      </c>
      <c r="O131" s="126">
        <v>150.0</v>
      </c>
      <c r="P131" s="124">
        <f t="shared" si="61"/>
        <v>287.8583333</v>
      </c>
      <c r="S131" s="94"/>
    </row>
    <row r="132" hidden="1" outlineLevel="2">
      <c r="A132" s="132">
        <v>45961.0</v>
      </c>
      <c r="B132" s="329">
        <v>0.0</v>
      </c>
      <c r="C132" s="123"/>
      <c r="D132" s="123">
        <f t="shared" si="54"/>
        <v>0</v>
      </c>
      <c r="E132" s="329">
        <v>0.0</v>
      </c>
      <c r="F132" s="123">
        <f t="shared" si="55"/>
        <v>0</v>
      </c>
      <c r="G132" s="123">
        <f t="shared" si="56"/>
        <v>0</v>
      </c>
      <c r="H132" s="330">
        <v>1674.02</v>
      </c>
      <c r="I132" s="124">
        <v>2173.91</v>
      </c>
      <c r="J132" s="124">
        <f t="shared" si="60"/>
        <v>-499.89</v>
      </c>
      <c r="K132" s="125" t="str">
        <f t="shared" si="6"/>
        <v/>
      </c>
      <c r="L132" s="125">
        <v>0.3</v>
      </c>
      <c r="M132" s="125">
        <f t="shared" si="57"/>
        <v>0.3</v>
      </c>
      <c r="N132" s="124" t="str">
        <f t="shared" si="8"/>
        <v/>
      </c>
      <c r="O132" s="126">
        <v>150.0</v>
      </c>
      <c r="P132" s="124">
        <f t="shared" si="61"/>
        <v>-150</v>
      </c>
      <c r="S132" s="94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9"/>
      <c r="L133" s="140"/>
      <c r="N133" s="138"/>
      <c r="O133" s="141"/>
      <c r="S133" s="94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9"/>
      <c r="L134" s="140"/>
      <c r="N134" s="138"/>
      <c r="O134" s="141"/>
      <c r="S134" s="94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9"/>
      <c r="L135" s="140"/>
      <c r="N135" s="138"/>
      <c r="O135" s="141"/>
      <c r="S135" s="94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9"/>
      <c r="L136" s="140"/>
      <c r="N136" s="138"/>
      <c r="O136" s="141"/>
      <c r="S136" s="94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9"/>
      <c r="L137" s="140"/>
      <c r="N137" s="138"/>
      <c r="O137" s="141"/>
      <c r="S137" s="94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9"/>
      <c r="L138" s="140"/>
      <c r="N138" s="138"/>
      <c r="O138" s="141"/>
      <c r="S138" s="94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9"/>
      <c r="L139" s="140"/>
      <c r="N139" s="138"/>
      <c r="O139" s="141"/>
      <c r="S139" s="94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9"/>
      <c r="L140" s="140"/>
      <c r="N140" s="138"/>
      <c r="O140" s="141"/>
      <c r="S140" s="94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9"/>
      <c r="L141" s="140"/>
      <c r="N141" s="138"/>
      <c r="O141" s="141"/>
      <c r="S141" s="94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9"/>
      <c r="L142" s="140"/>
      <c r="N142" s="138"/>
      <c r="O142" s="141"/>
      <c r="S142" s="94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9"/>
      <c r="L143" s="140"/>
      <c r="N143" s="138"/>
      <c r="O143" s="141"/>
      <c r="S143" s="94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9"/>
      <c r="L144" s="140"/>
      <c r="N144" s="138"/>
      <c r="O144" s="141"/>
      <c r="S144" s="94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L145" s="140"/>
      <c r="N145" s="138"/>
      <c r="O145" s="141"/>
      <c r="S145" s="94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9"/>
      <c r="L146" s="140"/>
      <c r="N146" s="138"/>
      <c r="O146" s="141"/>
      <c r="S146" s="94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  <c r="L147" s="140"/>
      <c r="N147" s="138"/>
      <c r="O147" s="141"/>
      <c r="S147" s="94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9"/>
      <c r="L148" s="140"/>
      <c r="N148" s="138"/>
      <c r="O148" s="141"/>
      <c r="S148" s="94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9"/>
      <c r="L149" s="140"/>
      <c r="N149" s="138"/>
      <c r="O149" s="141"/>
      <c r="S149" s="94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9"/>
      <c r="L150" s="140"/>
      <c r="N150" s="138"/>
      <c r="O150" s="141"/>
      <c r="S150" s="94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L151" s="140"/>
      <c r="N151" s="138"/>
      <c r="O151" s="141"/>
      <c r="S151" s="94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9"/>
      <c r="L152" s="140"/>
      <c r="N152" s="138"/>
      <c r="O152" s="141"/>
      <c r="S152" s="94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9"/>
      <c r="L153" s="140"/>
      <c r="N153" s="138"/>
      <c r="O153" s="141"/>
      <c r="S153" s="94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9"/>
      <c r="L154" s="140"/>
      <c r="N154" s="138"/>
      <c r="O154" s="141"/>
      <c r="S154" s="94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9"/>
      <c r="L155" s="140"/>
      <c r="N155" s="138"/>
      <c r="O155" s="141"/>
      <c r="S155" s="94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9"/>
      <c r="L156" s="140"/>
      <c r="N156" s="138"/>
      <c r="O156" s="141"/>
      <c r="S156" s="94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9"/>
      <c r="L157" s="140"/>
      <c r="N157" s="138"/>
      <c r="O157" s="141"/>
      <c r="S157" s="94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9"/>
      <c r="L158" s="140"/>
      <c r="N158" s="138"/>
      <c r="O158" s="141"/>
      <c r="S158" s="94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9"/>
      <c r="L159" s="140"/>
      <c r="N159" s="138"/>
      <c r="O159" s="141"/>
      <c r="S159" s="94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9"/>
      <c r="L160" s="140"/>
      <c r="N160" s="138"/>
      <c r="O160" s="141"/>
      <c r="S160" s="94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9"/>
      <c r="L161" s="140"/>
      <c r="N161" s="138"/>
      <c r="O161" s="141"/>
      <c r="S161" s="94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9"/>
      <c r="L162" s="140"/>
      <c r="N162" s="138"/>
      <c r="O162" s="141"/>
      <c r="S162" s="94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9"/>
      <c r="L163" s="140"/>
      <c r="N163" s="138"/>
      <c r="O163" s="141"/>
      <c r="S163" s="94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9"/>
      <c r="L164" s="140"/>
      <c r="N164" s="138"/>
      <c r="O164" s="141"/>
      <c r="S164" s="94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9"/>
      <c r="L165" s="140"/>
      <c r="N165" s="138"/>
      <c r="O165" s="141"/>
      <c r="S165" s="94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9"/>
      <c r="L166" s="140"/>
      <c r="N166" s="138"/>
      <c r="O166" s="141"/>
      <c r="S166" s="94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9"/>
      <c r="L167" s="140"/>
      <c r="N167" s="138"/>
      <c r="O167" s="141"/>
      <c r="S167" s="94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9"/>
      <c r="L168" s="140"/>
      <c r="N168" s="138"/>
      <c r="O168" s="141"/>
      <c r="S168" s="94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9"/>
      <c r="L169" s="140"/>
      <c r="N169" s="138"/>
      <c r="O169" s="141"/>
      <c r="S169" s="94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9"/>
      <c r="L170" s="140"/>
      <c r="N170" s="138"/>
      <c r="O170" s="141"/>
      <c r="S170" s="94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9"/>
      <c r="L171" s="140"/>
      <c r="N171" s="138"/>
      <c r="O171" s="141"/>
      <c r="S171" s="94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9"/>
      <c r="L172" s="140"/>
      <c r="N172" s="138"/>
      <c r="O172" s="141"/>
      <c r="S172" s="94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9"/>
      <c r="L173" s="140"/>
      <c r="N173" s="138"/>
      <c r="O173" s="141"/>
      <c r="S173" s="94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9"/>
      <c r="L174" s="140"/>
      <c r="N174" s="138"/>
      <c r="O174" s="141"/>
      <c r="S174" s="94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9"/>
      <c r="L175" s="140"/>
      <c r="N175" s="138"/>
      <c r="O175" s="141"/>
      <c r="S175" s="94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9"/>
      <c r="L176" s="140"/>
      <c r="N176" s="138"/>
      <c r="O176" s="141"/>
      <c r="S176" s="94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9"/>
      <c r="L177" s="140"/>
      <c r="N177" s="138"/>
      <c r="O177" s="141"/>
      <c r="S177" s="94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9"/>
      <c r="L178" s="140"/>
      <c r="N178" s="138"/>
      <c r="O178" s="141"/>
      <c r="S178" s="94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9"/>
      <c r="L179" s="140"/>
      <c r="N179" s="138"/>
      <c r="O179" s="141"/>
      <c r="S179" s="94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9"/>
      <c r="L180" s="140"/>
      <c r="N180" s="138"/>
      <c r="O180" s="141"/>
      <c r="S180" s="94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9"/>
      <c r="L181" s="140"/>
      <c r="N181" s="138"/>
      <c r="O181" s="141"/>
      <c r="S181" s="94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L182" s="140"/>
      <c r="N182" s="138"/>
      <c r="O182" s="141"/>
      <c r="S182" s="94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9"/>
      <c r="L183" s="140"/>
      <c r="N183" s="138"/>
      <c r="O183" s="141"/>
      <c r="S183" s="94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9"/>
      <c r="L184" s="140"/>
      <c r="N184" s="138"/>
      <c r="O184" s="141"/>
      <c r="S184" s="94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9"/>
      <c r="L185" s="140"/>
      <c r="N185" s="138"/>
      <c r="O185" s="141"/>
      <c r="S185" s="94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9"/>
      <c r="L186" s="140"/>
      <c r="N186" s="138"/>
      <c r="O186" s="141"/>
      <c r="S186" s="94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9"/>
      <c r="L187" s="140"/>
      <c r="N187" s="138"/>
      <c r="O187" s="141"/>
      <c r="S187" s="94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L188" s="140"/>
      <c r="N188" s="138"/>
      <c r="O188" s="141"/>
      <c r="S188" s="94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9"/>
      <c r="L189" s="140"/>
      <c r="N189" s="138"/>
      <c r="O189" s="141"/>
      <c r="S189" s="94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9"/>
      <c r="L190" s="140"/>
      <c r="N190" s="138"/>
      <c r="O190" s="141"/>
      <c r="S190" s="94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9"/>
      <c r="L191" s="140"/>
      <c r="N191" s="138"/>
      <c r="O191" s="141"/>
      <c r="S191" s="94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9"/>
      <c r="L192" s="140"/>
      <c r="N192" s="138"/>
      <c r="O192" s="141"/>
      <c r="S192" s="94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9"/>
      <c r="L193" s="140"/>
      <c r="N193" s="138"/>
      <c r="O193" s="141"/>
      <c r="S193" s="94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9"/>
      <c r="L194" s="140"/>
      <c r="N194" s="138"/>
      <c r="O194" s="141"/>
      <c r="S194" s="94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9"/>
      <c r="L195" s="140"/>
      <c r="N195" s="138"/>
      <c r="O195" s="141"/>
      <c r="S195" s="94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9"/>
      <c r="L196" s="140"/>
      <c r="N196" s="138"/>
      <c r="O196" s="141"/>
      <c r="S196" s="94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9"/>
      <c r="L197" s="140"/>
      <c r="N197" s="138"/>
      <c r="O197" s="141"/>
      <c r="S197" s="94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9"/>
      <c r="L198" s="140"/>
      <c r="N198" s="138"/>
      <c r="O198" s="141"/>
      <c r="S198" s="94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9"/>
      <c r="L199" s="140"/>
      <c r="N199" s="138"/>
      <c r="O199" s="141"/>
      <c r="S199" s="94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9"/>
      <c r="L200" s="140"/>
      <c r="N200" s="138"/>
      <c r="O200" s="141"/>
      <c r="S200" s="94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9"/>
      <c r="L201" s="140"/>
      <c r="N201" s="138"/>
      <c r="O201" s="141"/>
      <c r="S201" s="94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9"/>
      <c r="L202" s="140"/>
      <c r="N202" s="138"/>
      <c r="O202" s="141"/>
      <c r="S202" s="94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9"/>
      <c r="L203" s="140"/>
      <c r="N203" s="138"/>
      <c r="O203" s="141"/>
      <c r="S203" s="94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9"/>
      <c r="L204" s="140"/>
      <c r="N204" s="138"/>
      <c r="O204" s="141"/>
      <c r="S204" s="94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9"/>
      <c r="L205" s="140"/>
      <c r="N205" s="138"/>
      <c r="O205" s="141"/>
      <c r="S205" s="94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9"/>
      <c r="L206" s="140"/>
      <c r="N206" s="138"/>
      <c r="O206" s="141"/>
      <c r="S206" s="94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9"/>
      <c r="L207" s="140"/>
      <c r="N207" s="138"/>
      <c r="O207" s="141"/>
      <c r="S207" s="94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9"/>
      <c r="L208" s="140"/>
      <c r="N208" s="138"/>
      <c r="O208" s="141"/>
      <c r="S208" s="94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9"/>
      <c r="L209" s="140"/>
      <c r="N209" s="138"/>
      <c r="O209" s="141"/>
      <c r="S209" s="94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9"/>
      <c r="L210" s="140"/>
      <c r="N210" s="138"/>
      <c r="O210" s="141"/>
      <c r="S210" s="94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9"/>
      <c r="L211" s="140"/>
      <c r="N211" s="138"/>
      <c r="O211" s="141"/>
      <c r="S211" s="94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9"/>
      <c r="L212" s="140"/>
      <c r="N212" s="138"/>
      <c r="O212" s="141"/>
      <c r="S212" s="94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9"/>
      <c r="L213" s="140"/>
      <c r="N213" s="138"/>
      <c r="O213" s="141"/>
      <c r="S213" s="94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9"/>
      <c r="L214" s="140"/>
      <c r="N214" s="138"/>
      <c r="O214" s="141"/>
      <c r="S214" s="94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9"/>
      <c r="L215" s="140"/>
      <c r="N215" s="138"/>
      <c r="O215" s="141"/>
      <c r="S215" s="94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9"/>
      <c r="L216" s="140"/>
      <c r="N216" s="138"/>
      <c r="O216" s="141"/>
      <c r="S216" s="94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9"/>
      <c r="L217" s="140"/>
      <c r="N217" s="138"/>
      <c r="O217" s="141"/>
      <c r="S217" s="94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9"/>
      <c r="L218" s="140"/>
      <c r="N218" s="138"/>
      <c r="O218" s="141"/>
      <c r="S218" s="94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L219" s="140"/>
      <c r="N219" s="138"/>
      <c r="O219" s="141"/>
      <c r="S219" s="94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9"/>
      <c r="L220" s="140"/>
      <c r="N220" s="138"/>
      <c r="O220" s="141"/>
      <c r="S220" s="94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9"/>
      <c r="L221" s="140"/>
      <c r="N221" s="138"/>
      <c r="O221" s="141"/>
      <c r="S221" s="94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9"/>
      <c r="L222" s="140"/>
      <c r="N222" s="138"/>
      <c r="O222" s="141"/>
      <c r="S222" s="94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9"/>
      <c r="L223" s="140"/>
      <c r="N223" s="138"/>
      <c r="O223" s="141"/>
      <c r="S223" s="94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9"/>
      <c r="L224" s="140"/>
      <c r="N224" s="138"/>
      <c r="O224" s="141"/>
      <c r="S224" s="94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L225" s="140"/>
      <c r="N225" s="138"/>
      <c r="O225" s="141"/>
      <c r="S225" s="94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L226" s="140"/>
      <c r="N226" s="138"/>
      <c r="O226" s="141"/>
      <c r="S226" s="94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9"/>
      <c r="L227" s="140"/>
      <c r="N227" s="138"/>
      <c r="O227" s="141"/>
      <c r="S227" s="94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9"/>
      <c r="L228" s="140"/>
      <c r="N228" s="138"/>
      <c r="O228" s="141"/>
      <c r="S228" s="94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9"/>
      <c r="L229" s="140"/>
      <c r="N229" s="138"/>
      <c r="O229" s="141"/>
      <c r="S229" s="94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9"/>
      <c r="L230" s="140"/>
      <c r="N230" s="138"/>
      <c r="O230" s="141"/>
      <c r="S230" s="94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9"/>
      <c r="L231" s="140"/>
      <c r="N231" s="138"/>
      <c r="O231" s="141"/>
      <c r="S231" s="94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9"/>
      <c r="L232" s="140"/>
      <c r="N232" s="138"/>
      <c r="O232" s="141"/>
      <c r="S232" s="94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9"/>
      <c r="L233" s="140"/>
      <c r="N233" s="138"/>
      <c r="O233" s="141"/>
      <c r="S233" s="94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9"/>
      <c r="L234" s="140"/>
      <c r="N234" s="138"/>
      <c r="O234" s="141"/>
      <c r="S234" s="94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9"/>
      <c r="L235" s="140"/>
      <c r="N235" s="138"/>
      <c r="O235" s="141"/>
      <c r="S235" s="94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9"/>
      <c r="L236" s="140"/>
      <c r="N236" s="138"/>
      <c r="O236" s="141"/>
      <c r="S236" s="94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9"/>
      <c r="L237" s="140"/>
      <c r="N237" s="138"/>
      <c r="O237" s="141"/>
      <c r="S237" s="94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9"/>
      <c r="L238" s="140"/>
      <c r="N238" s="138"/>
      <c r="O238" s="141"/>
      <c r="S238" s="94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9"/>
      <c r="L239" s="140"/>
      <c r="N239" s="138"/>
      <c r="O239" s="141"/>
      <c r="S239" s="94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9"/>
      <c r="L240" s="140"/>
      <c r="N240" s="138"/>
      <c r="O240" s="141"/>
      <c r="S240" s="94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9"/>
      <c r="L241" s="140"/>
      <c r="N241" s="138"/>
      <c r="O241" s="141"/>
      <c r="S241" s="94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9"/>
      <c r="L242" s="140"/>
      <c r="N242" s="138"/>
      <c r="O242" s="141"/>
      <c r="S242" s="94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9"/>
      <c r="L243" s="140"/>
      <c r="N243" s="138"/>
      <c r="O243" s="141"/>
      <c r="S243" s="94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9"/>
      <c r="L244" s="140"/>
      <c r="N244" s="138"/>
      <c r="O244" s="141"/>
      <c r="S244" s="94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9"/>
      <c r="L245" s="140"/>
      <c r="N245" s="138"/>
      <c r="O245" s="141"/>
      <c r="S245" s="94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9"/>
      <c r="L246" s="140"/>
      <c r="N246" s="138"/>
      <c r="O246" s="141"/>
      <c r="S246" s="94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9"/>
      <c r="L247" s="140"/>
      <c r="N247" s="138"/>
      <c r="O247" s="141"/>
      <c r="S247" s="94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9"/>
      <c r="L248" s="140"/>
      <c r="N248" s="138"/>
      <c r="O248" s="141"/>
      <c r="S248" s="94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9"/>
      <c r="L249" s="140"/>
      <c r="N249" s="138"/>
      <c r="O249" s="141"/>
      <c r="S249" s="94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9"/>
      <c r="L250" s="140"/>
      <c r="N250" s="138"/>
      <c r="O250" s="141"/>
      <c r="S250" s="94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9"/>
      <c r="L251" s="140"/>
      <c r="N251" s="138"/>
      <c r="O251" s="141"/>
      <c r="S251" s="94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9"/>
      <c r="L252" s="140"/>
      <c r="N252" s="138"/>
      <c r="O252" s="141"/>
      <c r="S252" s="94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9"/>
      <c r="L253" s="140"/>
      <c r="N253" s="138"/>
      <c r="O253" s="141"/>
      <c r="S253" s="94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9"/>
      <c r="L254" s="140"/>
      <c r="N254" s="138"/>
      <c r="O254" s="141"/>
      <c r="S254" s="94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9"/>
      <c r="L255" s="140"/>
      <c r="N255" s="138"/>
      <c r="O255" s="141"/>
      <c r="S255" s="94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L256" s="140"/>
      <c r="N256" s="138"/>
      <c r="O256" s="141"/>
      <c r="S256" s="94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9"/>
      <c r="L257" s="140"/>
      <c r="N257" s="138"/>
      <c r="O257" s="141"/>
      <c r="S257" s="94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9"/>
      <c r="L258" s="140"/>
      <c r="N258" s="138"/>
      <c r="O258" s="141"/>
      <c r="S258" s="94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9"/>
      <c r="L259" s="140"/>
      <c r="N259" s="138"/>
      <c r="O259" s="141"/>
      <c r="S259" s="94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9"/>
      <c r="L260" s="140"/>
      <c r="N260" s="138"/>
      <c r="O260" s="141"/>
      <c r="S260" s="94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9"/>
      <c r="L261" s="140"/>
      <c r="N261" s="138"/>
      <c r="O261" s="141"/>
      <c r="S261" s="94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L262" s="140"/>
      <c r="N262" s="138"/>
      <c r="O262" s="141"/>
      <c r="S262" s="94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9"/>
      <c r="L263" s="140"/>
      <c r="N263" s="138"/>
      <c r="O263" s="141"/>
      <c r="S263" s="94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9"/>
      <c r="L264" s="140"/>
      <c r="N264" s="138"/>
      <c r="O264" s="141"/>
      <c r="S264" s="94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9"/>
      <c r="L265" s="140"/>
      <c r="N265" s="138"/>
      <c r="O265" s="141"/>
      <c r="S265" s="94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9"/>
      <c r="L266" s="140"/>
      <c r="N266" s="138"/>
      <c r="O266" s="141"/>
      <c r="S266" s="94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9"/>
      <c r="L267" s="140"/>
      <c r="N267" s="138"/>
      <c r="O267" s="141"/>
      <c r="S267" s="94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9"/>
      <c r="L268" s="140"/>
      <c r="N268" s="138"/>
      <c r="O268" s="141"/>
      <c r="S268" s="94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9"/>
      <c r="L269" s="140"/>
      <c r="N269" s="138"/>
      <c r="O269" s="141"/>
      <c r="S269" s="94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9"/>
      <c r="L270" s="140"/>
      <c r="N270" s="138"/>
      <c r="O270" s="141"/>
      <c r="S270" s="94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9"/>
      <c r="L271" s="140"/>
      <c r="N271" s="138"/>
      <c r="O271" s="141"/>
      <c r="S271" s="94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9"/>
      <c r="L272" s="140"/>
      <c r="N272" s="138"/>
      <c r="O272" s="141"/>
      <c r="S272" s="94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9"/>
      <c r="L273" s="140"/>
      <c r="N273" s="138"/>
      <c r="O273" s="141"/>
      <c r="S273" s="94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9"/>
      <c r="L274" s="140"/>
      <c r="N274" s="138"/>
      <c r="O274" s="141"/>
      <c r="S274" s="94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9"/>
      <c r="L275" s="140"/>
      <c r="N275" s="138"/>
      <c r="O275" s="141"/>
      <c r="S275" s="94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9"/>
      <c r="L276" s="140"/>
      <c r="N276" s="138"/>
      <c r="O276" s="141"/>
      <c r="S276" s="94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9"/>
      <c r="L277" s="140"/>
      <c r="N277" s="138"/>
      <c r="O277" s="141"/>
      <c r="S277" s="94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9"/>
      <c r="L278" s="140"/>
      <c r="N278" s="138"/>
      <c r="O278" s="141"/>
      <c r="S278" s="94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9"/>
      <c r="L279" s="140"/>
      <c r="N279" s="138"/>
      <c r="O279" s="141"/>
      <c r="S279" s="94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9"/>
      <c r="L280" s="140"/>
      <c r="N280" s="138"/>
      <c r="O280" s="141"/>
      <c r="S280" s="94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9"/>
      <c r="L281" s="140"/>
      <c r="N281" s="138"/>
      <c r="O281" s="141"/>
      <c r="S281" s="94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9"/>
      <c r="L282" s="140"/>
      <c r="N282" s="138"/>
      <c r="O282" s="141"/>
      <c r="S282" s="94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9"/>
      <c r="L283" s="140"/>
      <c r="N283" s="138"/>
      <c r="O283" s="141"/>
      <c r="S283" s="94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9"/>
      <c r="L284" s="140"/>
      <c r="N284" s="138"/>
      <c r="O284" s="141"/>
      <c r="S284" s="94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9"/>
      <c r="L285" s="140"/>
      <c r="N285" s="138"/>
      <c r="O285" s="141"/>
      <c r="S285" s="94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9"/>
      <c r="L286" s="140"/>
      <c r="N286" s="138"/>
      <c r="O286" s="141"/>
      <c r="S286" s="94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9"/>
      <c r="L287" s="140"/>
      <c r="N287" s="138"/>
      <c r="O287" s="141"/>
      <c r="S287" s="94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9"/>
      <c r="L288" s="140"/>
      <c r="N288" s="138"/>
      <c r="O288" s="141"/>
      <c r="S288" s="94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9"/>
      <c r="L289" s="140"/>
      <c r="N289" s="138"/>
      <c r="O289" s="141"/>
      <c r="S289" s="94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9"/>
      <c r="L290" s="140"/>
      <c r="N290" s="138"/>
      <c r="O290" s="141"/>
      <c r="S290" s="94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9"/>
      <c r="L291" s="140"/>
      <c r="N291" s="138"/>
      <c r="O291" s="141"/>
      <c r="S291" s="94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9"/>
      <c r="L292" s="140"/>
      <c r="N292" s="138"/>
      <c r="O292" s="141"/>
      <c r="S292" s="94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L293" s="140"/>
      <c r="N293" s="138"/>
      <c r="O293" s="141"/>
      <c r="S293" s="94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9"/>
      <c r="L294" s="140"/>
      <c r="N294" s="138"/>
      <c r="O294" s="141"/>
      <c r="S294" s="94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9"/>
      <c r="L295" s="140"/>
      <c r="N295" s="138"/>
      <c r="O295" s="141"/>
      <c r="S295" s="94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9"/>
      <c r="L296" s="140"/>
      <c r="N296" s="138"/>
      <c r="O296" s="141"/>
      <c r="S296" s="94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9"/>
      <c r="L297" s="140"/>
      <c r="N297" s="138"/>
      <c r="O297" s="141"/>
      <c r="S297" s="94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9"/>
      <c r="L298" s="140"/>
      <c r="N298" s="138"/>
      <c r="O298" s="141"/>
      <c r="S298" s="94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L299" s="140"/>
      <c r="N299" s="138"/>
      <c r="O299" s="141"/>
      <c r="S299" s="94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9"/>
      <c r="L300" s="140"/>
      <c r="N300" s="138"/>
      <c r="O300" s="141"/>
      <c r="S300" s="94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9"/>
      <c r="L301" s="140"/>
      <c r="N301" s="138"/>
      <c r="O301" s="141"/>
      <c r="S301" s="94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9"/>
      <c r="L302" s="140"/>
      <c r="N302" s="138"/>
      <c r="O302" s="141"/>
      <c r="S302" s="94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9"/>
      <c r="L303" s="140"/>
      <c r="N303" s="138"/>
      <c r="O303" s="141"/>
      <c r="S303" s="94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9"/>
      <c r="L304" s="140"/>
      <c r="N304" s="138"/>
      <c r="O304" s="141"/>
      <c r="S304" s="94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9"/>
      <c r="L305" s="140"/>
      <c r="N305" s="138"/>
      <c r="O305" s="141"/>
      <c r="S305" s="94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9"/>
      <c r="L306" s="140"/>
      <c r="N306" s="138"/>
      <c r="O306" s="141"/>
      <c r="S306" s="94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9"/>
      <c r="L307" s="140"/>
      <c r="N307" s="138"/>
      <c r="O307" s="141"/>
      <c r="S307" s="94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9"/>
      <c r="L308" s="140"/>
      <c r="N308" s="138"/>
      <c r="O308" s="141"/>
      <c r="S308" s="94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9"/>
      <c r="L309" s="140"/>
      <c r="N309" s="138"/>
      <c r="O309" s="141"/>
      <c r="S309" s="94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9"/>
      <c r="L310" s="140"/>
      <c r="N310" s="138"/>
      <c r="O310" s="141"/>
      <c r="S310" s="94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9"/>
      <c r="L311" s="140"/>
      <c r="N311" s="138"/>
      <c r="O311" s="141"/>
      <c r="S311" s="94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9"/>
      <c r="L312" s="140"/>
      <c r="N312" s="138"/>
      <c r="O312" s="141"/>
      <c r="S312" s="94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9"/>
      <c r="L313" s="140"/>
      <c r="N313" s="138"/>
      <c r="O313" s="141"/>
      <c r="S313" s="94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9"/>
      <c r="L314" s="140"/>
      <c r="N314" s="138"/>
      <c r="O314" s="141"/>
      <c r="S314" s="94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9"/>
      <c r="L315" s="140"/>
      <c r="N315" s="138"/>
      <c r="O315" s="141"/>
      <c r="S315" s="94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9"/>
      <c r="L316" s="140"/>
      <c r="N316" s="138"/>
      <c r="O316" s="141"/>
      <c r="S316" s="94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9"/>
      <c r="L317" s="140"/>
      <c r="N317" s="138"/>
      <c r="O317" s="141"/>
      <c r="S317" s="94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9"/>
      <c r="L318" s="140"/>
      <c r="N318" s="138"/>
      <c r="O318" s="141"/>
      <c r="S318" s="94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9"/>
      <c r="L319" s="140"/>
      <c r="N319" s="138"/>
      <c r="O319" s="141"/>
      <c r="S319" s="94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9"/>
      <c r="L320" s="140"/>
      <c r="N320" s="138"/>
      <c r="O320" s="141"/>
      <c r="S320" s="94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9"/>
      <c r="L321" s="140"/>
      <c r="N321" s="138"/>
      <c r="O321" s="141"/>
      <c r="S321" s="94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9"/>
      <c r="L322" s="140"/>
      <c r="N322" s="138"/>
      <c r="O322" s="141"/>
      <c r="S322" s="94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9"/>
      <c r="L323" s="140"/>
      <c r="N323" s="138"/>
      <c r="O323" s="141"/>
      <c r="S323" s="94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9"/>
      <c r="L324" s="140"/>
      <c r="N324" s="138"/>
      <c r="O324" s="141"/>
      <c r="S324" s="94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9"/>
      <c r="L325" s="140"/>
      <c r="N325" s="138"/>
      <c r="O325" s="141"/>
      <c r="S325" s="94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9"/>
      <c r="L326" s="140"/>
      <c r="N326" s="138"/>
      <c r="O326" s="141"/>
      <c r="S326" s="94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9"/>
      <c r="L327" s="140"/>
      <c r="N327" s="138"/>
      <c r="O327" s="141"/>
      <c r="S327" s="94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9"/>
      <c r="L328" s="140"/>
      <c r="N328" s="138"/>
      <c r="O328" s="141"/>
      <c r="S328" s="94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9"/>
      <c r="L329" s="140"/>
      <c r="N329" s="138"/>
      <c r="O329" s="141"/>
      <c r="S329" s="94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L330" s="140"/>
      <c r="N330" s="138"/>
      <c r="O330" s="141"/>
      <c r="S330" s="94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9"/>
      <c r="L331" s="140"/>
      <c r="N331" s="138"/>
      <c r="O331" s="141"/>
      <c r="S331" s="94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9"/>
      <c r="L332" s="140"/>
      <c r="N332" s="138"/>
      <c r="O332" s="141"/>
      <c r="S332" s="94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9"/>
      <c r="L333" s="140"/>
      <c r="N333" s="138"/>
      <c r="O333" s="141"/>
      <c r="S333" s="94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9"/>
      <c r="L334" s="140"/>
      <c r="N334" s="138"/>
      <c r="O334" s="141"/>
      <c r="S334" s="94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9"/>
      <c r="L335" s="140"/>
      <c r="N335" s="138"/>
      <c r="O335" s="141"/>
      <c r="S335" s="94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L336" s="140"/>
      <c r="N336" s="138"/>
      <c r="O336" s="141"/>
      <c r="S336" s="94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9"/>
      <c r="L337" s="140"/>
      <c r="N337" s="138"/>
      <c r="O337" s="141"/>
      <c r="S337" s="94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9"/>
      <c r="L338" s="140"/>
      <c r="N338" s="138"/>
      <c r="O338" s="141"/>
      <c r="S338" s="94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9"/>
      <c r="L339" s="140"/>
      <c r="N339" s="138"/>
      <c r="O339" s="141"/>
      <c r="S339" s="94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9"/>
      <c r="L340" s="140"/>
      <c r="N340" s="138"/>
      <c r="O340" s="141"/>
      <c r="S340" s="94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9"/>
      <c r="L341" s="140"/>
      <c r="N341" s="138"/>
      <c r="O341" s="141"/>
      <c r="S341" s="94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9"/>
      <c r="L342" s="140"/>
      <c r="N342" s="138"/>
      <c r="O342" s="141"/>
      <c r="S342" s="94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9"/>
      <c r="L343" s="140"/>
      <c r="N343" s="138"/>
      <c r="O343" s="141"/>
      <c r="S343" s="94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9"/>
      <c r="L344" s="140"/>
      <c r="N344" s="138"/>
      <c r="O344" s="141"/>
      <c r="S344" s="94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9"/>
      <c r="L345" s="140"/>
      <c r="N345" s="138"/>
      <c r="O345" s="141"/>
      <c r="S345" s="94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9"/>
      <c r="L346" s="140"/>
      <c r="N346" s="138"/>
      <c r="O346" s="141"/>
      <c r="S346" s="94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9"/>
      <c r="L347" s="140"/>
      <c r="N347" s="138"/>
      <c r="O347" s="141"/>
      <c r="S347" s="94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9"/>
      <c r="L348" s="140"/>
      <c r="N348" s="138"/>
      <c r="O348" s="141"/>
      <c r="S348" s="94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9"/>
      <c r="L349" s="140"/>
      <c r="N349" s="138"/>
      <c r="O349" s="141"/>
      <c r="S349" s="94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9"/>
      <c r="L350" s="140"/>
      <c r="N350" s="138"/>
      <c r="O350" s="141"/>
      <c r="S350" s="94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9"/>
      <c r="L351" s="140"/>
      <c r="N351" s="138"/>
      <c r="O351" s="141"/>
      <c r="S351" s="94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9"/>
      <c r="L352" s="140"/>
      <c r="N352" s="138"/>
      <c r="O352" s="141"/>
      <c r="S352" s="94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9"/>
      <c r="L353" s="140"/>
      <c r="N353" s="138"/>
      <c r="O353" s="141"/>
      <c r="S353" s="94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9"/>
      <c r="L354" s="140"/>
      <c r="N354" s="138"/>
      <c r="O354" s="141"/>
      <c r="S354" s="94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9"/>
      <c r="L355" s="140"/>
      <c r="N355" s="138"/>
      <c r="O355" s="141"/>
      <c r="S355" s="94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9"/>
      <c r="L356" s="140"/>
      <c r="N356" s="138"/>
      <c r="O356" s="141"/>
      <c r="S356" s="94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9"/>
      <c r="L357" s="140"/>
      <c r="N357" s="138"/>
      <c r="O357" s="141"/>
      <c r="S357" s="94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9"/>
      <c r="L358" s="140"/>
      <c r="N358" s="138"/>
      <c r="O358" s="141"/>
      <c r="S358" s="94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9"/>
      <c r="L359" s="140"/>
      <c r="N359" s="138"/>
      <c r="O359" s="141"/>
      <c r="S359" s="94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9"/>
      <c r="L360" s="140"/>
      <c r="N360" s="138"/>
      <c r="O360" s="141"/>
      <c r="S360" s="94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9"/>
      <c r="L361" s="140"/>
      <c r="N361" s="138"/>
      <c r="O361" s="141"/>
      <c r="S361" s="94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9"/>
      <c r="L362" s="140"/>
      <c r="N362" s="138"/>
      <c r="O362" s="141"/>
      <c r="S362" s="94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9"/>
      <c r="L363" s="140"/>
      <c r="N363" s="138"/>
      <c r="O363" s="141"/>
      <c r="S363" s="94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9"/>
      <c r="L364" s="140"/>
      <c r="N364" s="138"/>
      <c r="O364" s="141"/>
      <c r="S364" s="94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9"/>
      <c r="L365" s="140"/>
      <c r="N365" s="138"/>
      <c r="O365" s="141"/>
      <c r="S365" s="94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9"/>
      <c r="L366" s="140"/>
      <c r="N366" s="138"/>
      <c r="O366" s="141"/>
      <c r="S366" s="94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L367" s="140"/>
      <c r="N367" s="138"/>
      <c r="O367" s="141"/>
      <c r="S367" s="94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9"/>
      <c r="L368" s="140"/>
      <c r="N368" s="138"/>
      <c r="O368" s="141"/>
      <c r="S368" s="94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9"/>
      <c r="L369" s="140"/>
      <c r="N369" s="138"/>
      <c r="O369" s="141"/>
      <c r="S369" s="94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9"/>
      <c r="L370" s="140"/>
      <c r="N370" s="138"/>
      <c r="O370" s="141"/>
      <c r="S370" s="94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9"/>
      <c r="L371" s="140"/>
      <c r="N371" s="138"/>
      <c r="O371" s="141"/>
      <c r="S371" s="94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9"/>
      <c r="L372" s="140"/>
      <c r="N372" s="138"/>
      <c r="O372" s="141"/>
      <c r="S372" s="94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L373" s="140"/>
      <c r="N373" s="138"/>
      <c r="O373" s="141"/>
      <c r="S373" s="94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9"/>
      <c r="L374" s="140"/>
      <c r="N374" s="138"/>
      <c r="O374" s="141"/>
      <c r="S374" s="94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9"/>
      <c r="L375" s="140"/>
      <c r="N375" s="138"/>
      <c r="O375" s="141"/>
      <c r="S375" s="94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9"/>
      <c r="L376" s="140"/>
      <c r="N376" s="138"/>
      <c r="O376" s="141"/>
      <c r="S376" s="94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9"/>
      <c r="L377" s="140"/>
      <c r="N377" s="138"/>
      <c r="O377" s="141"/>
      <c r="S377" s="94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9"/>
      <c r="L378" s="140"/>
      <c r="N378" s="138"/>
      <c r="O378" s="141"/>
      <c r="S378" s="94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9"/>
      <c r="L379" s="140"/>
      <c r="N379" s="138"/>
      <c r="O379" s="141"/>
      <c r="S379" s="94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9"/>
      <c r="L380" s="140"/>
      <c r="N380" s="138"/>
      <c r="O380" s="141"/>
      <c r="S380" s="94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9"/>
      <c r="L381" s="140"/>
      <c r="N381" s="138"/>
      <c r="O381" s="141"/>
      <c r="S381" s="94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9"/>
      <c r="L382" s="140"/>
      <c r="N382" s="138"/>
      <c r="O382" s="141"/>
      <c r="S382" s="94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9"/>
      <c r="L383" s="140"/>
      <c r="N383" s="138"/>
      <c r="O383" s="141"/>
      <c r="S383" s="94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9"/>
      <c r="L384" s="140"/>
      <c r="N384" s="138"/>
      <c r="O384" s="141"/>
      <c r="S384" s="94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9"/>
      <c r="L385" s="140"/>
      <c r="N385" s="138"/>
      <c r="O385" s="141"/>
      <c r="S385" s="94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9"/>
      <c r="L386" s="140"/>
      <c r="N386" s="138"/>
      <c r="O386" s="141"/>
      <c r="S386" s="94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9"/>
      <c r="L387" s="140"/>
      <c r="N387" s="138"/>
      <c r="O387" s="141"/>
      <c r="S387" s="94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9"/>
      <c r="L388" s="140"/>
      <c r="N388" s="138"/>
      <c r="O388" s="141"/>
      <c r="S388" s="94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9"/>
      <c r="L389" s="140"/>
      <c r="N389" s="138"/>
      <c r="O389" s="141"/>
      <c r="S389" s="94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9"/>
      <c r="L390" s="140"/>
      <c r="N390" s="138"/>
      <c r="O390" s="141"/>
      <c r="S390" s="94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9"/>
      <c r="L391" s="140"/>
      <c r="N391" s="138"/>
      <c r="O391" s="141"/>
      <c r="S391" s="94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9"/>
      <c r="L392" s="140"/>
      <c r="N392" s="138"/>
      <c r="O392" s="141"/>
      <c r="S392" s="94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9"/>
      <c r="L393" s="140"/>
      <c r="N393" s="138"/>
      <c r="O393" s="141"/>
      <c r="S393" s="94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9"/>
      <c r="L394" s="140"/>
      <c r="N394" s="138"/>
      <c r="O394" s="141"/>
      <c r="S394" s="94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9"/>
      <c r="L395" s="140"/>
      <c r="N395" s="138"/>
      <c r="O395" s="141"/>
      <c r="S395" s="94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9"/>
      <c r="L396" s="140"/>
      <c r="N396" s="138"/>
      <c r="O396" s="141"/>
      <c r="S396" s="94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9"/>
      <c r="L397" s="140"/>
      <c r="N397" s="138"/>
      <c r="O397" s="141"/>
      <c r="S397" s="94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9"/>
      <c r="L398" s="140"/>
      <c r="N398" s="138"/>
      <c r="O398" s="141"/>
      <c r="S398" s="94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9"/>
      <c r="L399" s="140"/>
      <c r="N399" s="138"/>
      <c r="O399" s="141"/>
      <c r="S399" s="94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9"/>
      <c r="L400" s="140"/>
      <c r="N400" s="138"/>
      <c r="O400" s="141"/>
      <c r="S400" s="94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9"/>
      <c r="L401" s="140"/>
      <c r="N401" s="138"/>
      <c r="O401" s="141"/>
      <c r="S401" s="94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9"/>
      <c r="L402" s="140"/>
      <c r="N402" s="138"/>
      <c r="O402" s="141"/>
      <c r="S402" s="94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9"/>
      <c r="L403" s="140"/>
      <c r="N403" s="138"/>
      <c r="O403" s="141"/>
      <c r="S403" s="94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L404" s="140"/>
      <c r="N404" s="138"/>
      <c r="O404" s="141"/>
      <c r="S404" s="94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9"/>
      <c r="L405" s="140"/>
      <c r="N405" s="138"/>
      <c r="O405" s="141"/>
      <c r="S405" s="94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9"/>
      <c r="L406" s="140"/>
      <c r="N406" s="138"/>
      <c r="O406" s="141"/>
      <c r="S406" s="94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9"/>
      <c r="L407" s="140"/>
      <c r="N407" s="138"/>
      <c r="O407" s="141"/>
      <c r="S407" s="94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9"/>
      <c r="L408" s="140"/>
      <c r="N408" s="138"/>
      <c r="O408" s="141"/>
      <c r="S408" s="94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9"/>
      <c r="L409" s="140"/>
      <c r="N409" s="138"/>
      <c r="O409" s="141"/>
      <c r="S409" s="94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L410" s="140"/>
      <c r="N410" s="138"/>
      <c r="O410" s="141"/>
      <c r="S410" s="94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9"/>
      <c r="L411" s="140"/>
      <c r="N411" s="138"/>
      <c r="O411" s="141"/>
      <c r="S411" s="94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9"/>
      <c r="L412" s="140"/>
      <c r="N412" s="138"/>
      <c r="O412" s="141"/>
      <c r="S412" s="94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9"/>
      <c r="L413" s="140"/>
      <c r="N413" s="138"/>
      <c r="O413" s="141"/>
      <c r="S413" s="94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9"/>
      <c r="L414" s="140"/>
      <c r="N414" s="138"/>
      <c r="O414" s="141"/>
      <c r="S414" s="94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9"/>
      <c r="L415" s="140"/>
      <c r="N415" s="138"/>
      <c r="O415" s="141"/>
      <c r="S415" s="94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9"/>
      <c r="L416" s="140"/>
      <c r="N416" s="138"/>
      <c r="O416" s="141"/>
      <c r="S416" s="94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9"/>
      <c r="L417" s="140"/>
      <c r="N417" s="138"/>
      <c r="O417" s="141"/>
      <c r="S417" s="94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9"/>
      <c r="L418" s="140"/>
      <c r="N418" s="138"/>
      <c r="O418" s="141"/>
      <c r="S418" s="94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9"/>
      <c r="L419" s="140"/>
      <c r="N419" s="138"/>
      <c r="O419" s="141"/>
      <c r="S419" s="94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9"/>
      <c r="L420" s="140"/>
      <c r="N420" s="138"/>
      <c r="O420" s="141"/>
      <c r="S420" s="94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9"/>
      <c r="L421" s="140"/>
      <c r="N421" s="138"/>
      <c r="O421" s="141"/>
      <c r="S421" s="94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9"/>
      <c r="L422" s="140"/>
      <c r="N422" s="138"/>
      <c r="O422" s="141"/>
      <c r="S422" s="94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9"/>
      <c r="L423" s="140"/>
      <c r="N423" s="138"/>
      <c r="O423" s="141"/>
      <c r="S423" s="94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9"/>
      <c r="L424" s="140"/>
      <c r="N424" s="138"/>
      <c r="O424" s="141"/>
      <c r="S424" s="94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9"/>
      <c r="L425" s="140"/>
      <c r="N425" s="138"/>
      <c r="O425" s="141"/>
      <c r="S425" s="94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9"/>
      <c r="L426" s="140"/>
      <c r="N426" s="138"/>
      <c r="O426" s="141"/>
      <c r="S426" s="94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9"/>
      <c r="L427" s="140"/>
      <c r="N427" s="138"/>
      <c r="O427" s="141"/>
      <c r="S427" s="94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9"/>
      <c r="L428" s="140"/>
      <c r="N428" s="138"/>
      <c r="O428" s="141"/>
      <c r="S428" s="94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9"/>
      <c r="L429" s="140"/>
      <c r="N429" s="138"/>
      <c r="O429" s="141"/>
      <c r="S429" s="94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9"/>
      <c r="L430" s="140"/>
      <c r="N430" s="138"/>
      <c r="O430" s="141"/>
      <c r="S430" s="94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9"/>
      <c r="L431" s="140"/>
      <c r="N431" s="138"/>
      <c r="O431" s="141"/>
      <c r="S431" s="94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9"/>
      <c r="L432" s="140"/>
      <c r="N432" s="138"/>
      <c r="O432" s="141"/>
      <c r="S432" s="94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9"/>
      <c r="L433" s="140"/>
      <c r="N433" s="138"/>
      <c r="O433" s="141"/>
      <c r="S433" s="94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9"/>
      <c r="L434" s="140"/>
      <c r="N434" s="138"/>
      <c r="O434" s="141"/>
      <c r="S434" s="94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9"/>
      <c r="L435" s="140"/>
      <c r="N435" s="138"/>
      <c r="O435" s="141"/>
      <c r="S435" s="94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9"/>
      <c r="L436" s="140"/>
      <c r="N436" s="138"/>
      <c r="O436" s="141"/>
      <c r="S436" s="94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9"/>
      <c r="L437" s="140"/>
      <c r="N437" s="138"/>
      <c r="O437" s="141"/>
      <c r="S437" s="94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9"/>
      <c r="L438" s="140"/>
      <c r="N438" s="138"/>
      <c r="O438" s="141"/>
      <c r="S438" s="94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9"/>
      <c r="L439" s="140"/>
      <c r="N439" s="138"/>
      <c r="O439" s="141"/>
      <c r="S439" s="94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9"/>
      <c r="L440" s="140"/>
      <c r="N440" s="138"/>
      <c r="O440" s="141"/>
      <c r="S440" s="94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L441" s="140"/>
      <c r="N441" s="138"/>
      <c r="O441" s="141"/>
      <c r="S441" s="94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9"/>
      <c r="L442" s="140"/>
      <c r="N442" s="138"/>
      <c r="O442" s="141"/>
      <c r="S442" s="94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9"/>
      <c r="L443" s="140"/>
      <c r="N443" s="138"/>
      <c r="O443" s="141"/>
      <c r="S443" s="94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9"/>
      <c r="L444" s="140"/>
      <c r="N444" s="138"/>
      <c r="O444" s="141"/>
      <c r="S444" s="94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9"/>
      <c r="L445" s="140"/>
      <c r="N445" s="138"/>
      <c r="O445" s="141"/>
      <c r="S445" s="94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9"/>
      <c r="L446" s="140"/>
      <c r="N446" s="138"/>
      <c r="O446" s="141"/>
      <c r="S446" s="94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L447" s="140"/>
      <c r="N447" s="138"/>
      <c r="O447" s="141"/>
      <c r="S447" s="94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9"/>
      <c r="L448" s="140"/>
      <c r="N448" s="138"/>
      <c r="O448" s="141"/>
      <c r="S448" s="94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9"/>
      <c r="L449" s="140"/>
      <c r="N449" s="138"/>
      <c r="O449" s="141"/>
      <c r="S449" s="94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9"/>
      <c r="L450" s="140"/>
      <c r="N450" s="138"/>
      <c r="O450" s="141"/>
      <c r="S450" s="94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9"/>
      <c r="L451" s="140"/>
      <c r="N451" s="138"/>
      <c r="O451" s="141"/>
      <c r="S451" s="94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9"/>
      <c r="L452" s="140"/>
      <c r="N452" s="138"/>
      <c r="O452" s="141"/>
      <c r="S452" s="94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9"/>
      <c r="L453" s="140"/>
      <c r="N453" s="138"/>
      <c r="O453" s="141"/>
      <c r="S453" s="94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9"/>
      <c r="L454" s="140"/>
      <c r="N454" s="138"/>
      <c r="O454" s="141"/>
      <c r="S454" s="94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9"/>
      <c r="L455" s="140"/>
      <c r="N455" s="138"/>
      <c r="O455" s="141"/>
      <c r="S455" s="94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9"/>
      <c r="L456" s="140"/>
      <c r="N456" s="138"/>
      <c r="O456" s="141"/>
      <c r="S456" s="94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9"/>
      <c r="L457" s="140"/>
      <c r="N457" s="138"/>
      <c r="O457" s="141"/>
      <c r="S457" s="94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9"/>
      <c r="L458" s="140"/>
      <c r="N458" s="138"/>
      <c r="O458" s="141"/>
      <c r="S458" s="94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9"/>
      <c r="L459" s="140"/>
      <c r="N459" s="138"/>
      <c r="O459" s="141"/>
      <c r="S459" s="94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9"/>
      <c r="L460" s="140"/>
      <c r="N460" s="138"/>
      <c r="O460" s="141"/>
      <c r="S460" s="94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9"/>
      <c r="L461" s="140"/>
      <c r="N461" s="138"/>
      <c r="O461" s="141"/>
      <c r="S461" s="94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9"/>
      <c r="L462" s="140"/>
      <c r="N462" s="138"/>
      <c r="O462" s="141"/>
      <c r="S462" s="94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9"/>
      <c r="L463" s="140"/>
      <c r="N463" s="138"/>
      <c r="O463" s="141"/>
      <c r="S463" s="94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9"/>
      <c r="L464" s="140"/>
      <c r="N464" s="138"/>
      <c r="O464" s="141"/>
      <c r="S464" s="94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9"/>
      <c r="L465" s="140"/>
      <c r="N465" s="138"/>
      <c r="O465" s="141"/>
      <c r="S465" s="94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9"/>
      <c r="L466" s="140"/>
      <c r="N466" s="138"/>
      <c r="O466" s="141"/>
      <c r="S466" s="94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9"/>
      <c r="L467" s="140"/>
      <c r="N467" s="138"/>
      <c r="O467" s="141"/>
      <c r="S467" s="94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9"/>
      <c r="L468" s="140"/>
      <c r="N468" s="138"/>
      <c r="O468" s="141"/>
      <c r="S468" s="94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9"/>
      <c r="L469" s="140"/>
      <c r="N469" s="138"/>
      <c r="O469" s="141"/>
      <c r="S469" s="94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9"/>
      <c r="L470" s="140"/>
      <c r="N470" s="138"/>
      <c r="O470" s="141"/>
      <c r="S470" s="94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9"/>
      <c r="L471" s="140"/>
      <c r="N471" s="138"/>
      <c r="O471" s="141"/>
      <c r="S471" s="94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9"/>
      <c r="L472" s="140"/>
      <c r="N472" s="138"/>
      <c r="O472" s="141"/>
      <c r="S472" s="94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9"/>
      <c r="L473" s="140"/>
      <c r="N473" s="138"/>
      <c r="O473" s="141"/>
      <c r="S473" s="94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9"/>
      <c r="L474" s="140"/>
      <c r="N474" s="138"/>
      <c r="O474" s="141"/>
      <c r="S474" s="94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9"/>
      <c r="L475" s="140"/>
      <c r="N475" s="138"/>
      <c r="O475" s="141"/>
      <c r="S475" s="94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9"/>
      <c r="L476" s="140"/>
      <c r="N476" s="138"/>
      <c r="O476" s="141"/>
      <c r="S476" s="94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9"/>
      <c r="L477" s="140"/>
      <c r="N477" s="138"/>
      <c r="O477" s="141"/>
      <c r="S477" s="94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L478" s="140"/>
      <c r="N478" s="138"/>
      <c r="O478" s="141"/>
      <c r="S478" s="94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9"/>
      <c r="L479" s="140"/>
      <c r="N479" s="138"/>
      <c r="O479" s="141"/>
      <c r="S479" s="94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9"/>
      <c r="L480" s="140"/>
      <c r="N480" s="138"/>
      <c r="O480" s="141"/>
      <c r="S480" s="94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9"/>
      <c r="L481" s="140"/>
      <c r="N481" s="138"/>
      <c r="O481" s="141"/>
      <c r="S481" s="94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9"/>
      <c r="L482" s="140"/>
      <c r="N482" s="138"/>
      <c r="O482" s="141"/>
      <c r="S482" s="94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9"/>
      <c r="L483" s="140"/>
      <c r="N483" s="138"/>
      <c r="O483" s="141"/>
      <c r="S483" s="94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L484" s="140"/>
      <c r="N484" s="138"/>
      <c r="O484" s="141"/>
      <c r="S484" s="94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9"/>
      <c r="L485" s="140"/>
      <c r="N485" s="138"/>
      <c r="O485" s="141"/>
      <c r="S485" s="94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9"/>
      <c r="L486" s="140"/>
      <c r="N486" s="138"/>
      <c r="O486" s="141"/>
      <c r="S486" s="94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9"/>
      <c r="L487" s="140"/>
      <c r="N487" s="138"/>
      <c r="O487" s="141"/>
      <c r="S487" s="94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9"/>
      <c r="L488" s="140"/>
      <c r="N488" s="138"/>
      <c r="O488" s="141"/>
      <c r="S488" s="94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9"/>
      <c r="L489" s="140"/>
      <c r="N489" s="138"/>
      <c r="O489" s="141"/>
      <c r="S489" s="94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9"/>
      <c r="L490" s="140"/>
      <c r="N490" s="138"/>
      <c r="O490" s="141"/>
      <c r="S490" s="94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9"/>
      <c r="L491" s="140"/>
      <c r="N491" s="138"/>
      <c r="O491" s="141"/>
      <c r="S491" s="94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9"/>
      <c r="L492" s="140"/>
      <c r="N492" s="138"/>
      <c r="O492" s="141"/>
      <c r="S492" s="94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9"/>
      <c r="L493" s="140"/>
      <c r="N493" s="138"/>
      <c r="O493" s="141"/>
      <c r="S493" s="94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9"/>
      <c r="L494" s="140"/>
      <c r="N494" s="138"/>
      <c r="O494" s="141"/>
      <c r="S494" s="94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9"/>
      <c r="L495" s="140"/>
      <c r="N495" s="138"/>
      <c r="O495" s="141"/>
      <c r="S495" s="94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9"/>
      <c r="L496" s="140"/>
      <c r="N496" s="138"/>
      <c r="O496" s="141"/>
      <c r="S496" s="94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9"/>
      <c r="L497" s="140"/>
      <c r="N497" s="138"/>
      <c r="O497" s="141"/>
      <c r="S497" s="94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9"/>
      <c r="L498" s="140"/>
      <c r="N498" s="138"/>
      <c r="O498" s="141"/>
      <c r="S498" s="94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9"/>
      <c r="L499" s="140"/>
      <c r="N499" s="138"/>
      <c r="O499" s="141"/>
      <c r="S499" s="94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9"/>
      <c r="L500" s="140"/>
      <c r="N500" s="138"/>
      <c r="O500" s="141"/>
      <c r="S500" s="94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9"/>
      <c r="L501" s="140"/>
      <c r="N501" s="138"/>
      <c r="O501" s="141"/>
      <c r="S501" s="94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9"/>
      <c r="L502" s="140"/>
      <c r="N502" s="138"/>
      <c r="O502" s="141"/>
      <c r="S502" s="94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9"/>
      <c r="L503" s="140"/>
      <c r="N503" s="138"/>
      <c r="O503" s="141"/>
      <c r="S503" s="94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9"/>
      <c r="L504" s="140"/>
      <c r="N504" s="138"/>
      <c r="O504" s="141"/>
      <c r="S504" s="94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9"/>
      <c r="L505" s="140"/>
      <c r="N505" s="138"/>
      <c r="O505" s="141"/>
      <c r="S505" s="94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9"/>
      <c r="L506" s="140"/>
      <c r="N506" s="138"/>
      <c r="O506" s="141"/>
      <c r="S506" s="94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9"/>
      <c r="L507" s="140"/>
      <c r="N507" s="138"/>
      <c r="O507" s="141"/>
      <c r="S507" s="94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9"/>
      <c r="L508" s="140"/>
      <c r="N508" s="138"/>
      <c r="O508" s="141"/>
      <c r="S508" s="94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9"/>
      <c r="L509" s="140"/>
      <c r="N509" s="138"/>
      <c r="O509" s="141"/>
      <c r="S509" s="94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9"/>
      <c r="L510" s="140"/>
      <c r="N510" s="138"/>
      <c r="O510" s="141"/>
      <c r="S510" s="94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9"/>
      <c r="L511" s="140"/>
      <c r="N511" s="138"/>
      <c r="O511" s="141"/>
      <c r="S511" s="94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9"/>
      <c r="L512" s="140"/>
      <c r="N512" s="138"/>
      <c r="O512" s="141"/>
      <c r="S512" s="94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9"/>
      <c r="L513" s="140"/>
      <c r="N513" s="138"/>
      <c r="O513" s="141"/>
      <c r="S513" s="94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9"/>
      <c r="L514" s="140"/>
      <c r="N514" s="138"/>
      <c r="O514" s="141"/>
      <c r="S514" s="94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L515" s="140"/>
      <c r="N515" s="138"/>
      <c r="O515" s="141"/>
      <c r="S515" s="94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9"/>
      <c r="L516" s="140"/>
      <c r="N516" s="138"/>
      <c r="O516" s="141"/>
      <c r="S516" s="94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9"/>
      <c r="L517" s="140"/>
      <c r="N517" s="138"/>
      <c r="O517" s="141"/>
      <c r="S517" s="94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9"/>
      <c r="L518" s="140"/>
      <c r="N518" s="138"/>
      <c r="O518" s="141"/>
      <c r="S518" s="94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9"/>
      <c r="L519" s="140"/>
      <c r="N519" s="138"/>
      <c r="O519" s="141"/>
      <c r="S519" s="94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9"/>
      <c r="L520" s="140"/>
      <c r="N520" s="138"/>
      <c r="O520" s="141"/>
      <c r="S520" s="94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L521" s="140"/>
      <c r="N521" s="138"/>
      <c r="O521" s="141"/>
      <c r="S521" s="94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9"/>
      <c r="L522" s="140"/>
      <c r="N522" s="138"/>
      <c r="O522" s="141"/>
      <c r="S522" s="94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9"/>
      <c r="L523" s="140"/>
      <c r="N523" s="138"/>
      <c r="O523" s="141"/>
      <c r="S523" s="94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9"/>
      <c r="L524" s="140"/>
      <c r="N524" s="138"/>
      <c r="O524" s="141"/>
      <c r="S524" s="94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9"/>
      <c r="L525" s="140"/>
      <c r="N525" s="138"/>
      <c r="O525" s="141"/>
      <c r="S525" s="94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9"/>
      <c r="L526" s="140"/>
      <c r="N526" s="138"/>
      <c r="O526" s="141"/>
      <c r="S526" s="94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9"/>
      <c r="L527" s="140"/>
      <c r="N527" s="138"/>
      <c r="O527" s="141"/>
      <c r="S527" s="94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9"/>
      <c r="L528" s="140"/>
      <c r="N528" s="138"/>
      <c r="O528" s="141"/>
      <c r="S528" s="94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9"/>
      <c r="L529" s="140"/>
      <c r="N529" s="138"/>
      <c r="O529" s="141"/>
      <c r="S529" s="94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9"/>
      <c r="L530" s="140"/>
      <c r="N530" s="138"/>
      <c r="O530" s="141"/>
      <c r="S530" s="94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9"/>
      <c r="L531" s="140"/>
      <c r="N531" s="138"/>
      <c r="O531" s="141"/>
      <c r="S531" s="94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9"/>
      <c r="L532" s="140"/>
      <c r="N532" s="138"/>
      <c r="O532" s="141"/>
      <c r="S532" s="94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9"/>
      <c r="L533" s="140"/>
      <c r="N533" s="138"/>
      <c r="O533" s="141"/>
      <c r="S533" s="94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9"/>
      <c r="L534" s="140"/>
      <c r="N534" s="138"/>
      <c r="O534" s="141"/>
      <c r="S534" s="94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9"/>
      <c r="L535" s="140"/>
      <c r="N535" s="138"/>
      <c r="O535" s="141"/>
      <c r="S535" s="94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9"/>
      <c r="L536" s="140"/>
      <c r="N536" s="138"/>
      <c r="O536" s="141"/>
      <c r="S536" s="94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9"/>
      <c r="L537" s="140"/>
      <c r="N537" s="138"/>
      <c r="O537" s="141"/>
      <c r="S537" s="94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9"/>
      <c r="L538" s="140"/>
      <c r="N538" s="138"/>
      <c r="O538" s="141"/>
      <c r="S538" s="94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9"/>
      <c r="L539" s="140"/>
      <c r="N539" s="138"/>
      <c r="O539" s="141"/>
      <c r="S539" s="94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9"/>
      <c r="L540" s="140"/>
      <c r="N540" s="138"/>
      <c r="O540" s="141"/>
      <c r="S540" s="94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9"/>
      <c r="L541" s="140"/>
      <c r="N541" s="138"/>
      <c r="O541" s="141"/>
      <c r="S541" s="94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9"/>
      <c r="L542" s="140"/>
      <c r="N542" s="138"/>
      <c r="O542" s="141"/>
      <c r="S542" s="94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9"/>
      <c r="L543" s="140"/>
      <c r="N543" s="138"/>
      <c r="O543" s="141"/>
      <c r="S543" s="94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9"/>
      <c r="L544" s="140"/>
      <c r="N544" s="138"/>
      <c r="O544" s="141"/>
      <c r="S544" s="94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9"/>
      <c r="L545" s="140"/>
      <c r="N545" s="138"/>
      <c r="O545" s="141"/>
      <c r="S545" s="94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9"/>
      <c r="L546" s="140"/>
      <c r="N546" s="138"/>
      <c r="O546" s="141"/>
      <c r="S546" s="94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9"/>
      <c r="L547" s="140"/>
      <c r="N547" s="138"/>
      <c r="O547" s="141"/>
      <c r="S547" s="94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9"/>
      <c r="L548" s="140"/>
      <c r="N548" s="138"/>
      <c r="O548" s="141"/>
      <c r="S548" s="94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9"/>
      <c r="L549" s="140"/>
      <c r="N549" s="138"/>
      <c r="O549" s="141"/>
      <c r="S549" s="94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9"/>
      <c r="L550" s="140"/>
      <c r="N550" s="138"/>
      <c r="O550" s="141"/>
      <c r="S550" s="94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9"/>
      <c r="L551" s="140"/>
      <c r="N551" s="138"/>
      <c r="O551" s="141"/>
      <c r="S551" s="94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L552" s="140"/>
      <c r="N552" s="138"/>
      <c r="O552" s="141"/>
      <c r="S552" s="94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9"/>
      <c r="L553" s="140"/>
      <c r="N553" s="138"/>
      <c r="O553" s="141"/>
      <c r="S553" s="94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9"/>
      <c r="L554" s="140"/>
      <c r="N554" s="138"/>
      <c r="O554" s="141"/>
      <c r="S554" s="94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9"/>
      <c r="L555" s="140"/>
      <c r="N555" s="138"/>
      <c r="O555" s="141"/>
      <c r="S555" s="94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9"/>
      <c r="L556" s="140"/>
      <c r="N556" s="138"/>
      <c r="O556" s="141"/>
      <c r="S556" s="94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9"/>
      <c r="L557" s="140"/>
      <c r="N557" s="138"/>
      <c r="O557" s="141"/>
      <c r="S557" s="94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L558" s="140"/>
      <c r="N558" s="138"/>
      <c r="O558" s="141"/>
      <c r="S558" s="94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9"/>
      <c r="L559" s="140"/>
      <c r="N559" s="138"/>
      <c r="O559" s="141"/>
      <c r="S559" s="94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9"/>
      <c r="L560" s="140"/>
      <c r="N560" s="138"/>
      <c r="O560" s="141"/>
      <c r="S560" s="94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9"/>
      <c r="L561" s="140"/>
      <c r="N561" s="138"/>
      <c r="O561" s="141"/>
      <c r="S561" s="94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9"/>
      <c r="L562" s="140"/>
      <c r="N562" s="138"/>
      <c r="O562" s="141"/>
      <c r="S562" s="94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9"/>
      <c r="L563" s="140"/>
      <c r="N563" s="138"/>
      <c r="O563" s="141"/>
      <c r="S563" s="94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9"/>
      <c r="L564" s="140"/>
      <c r="N564" s="138"/>
      <c r="O564" s="141"/>
      <c r="S564" s="94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9"/>
      <c r="L565" s="140"/>
      <c r="N565" s="138"/>
      <c r="O565" s="141"/>
      <c r="S565" s="94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9"/>
      <c r="L566" s="140"/>
      <c r="N566" s="138"/>
      <c r="O566" s="141"/>
      <c r="S566" s="94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9"/>
      <c r="L567" s="140"/>
      <c r="N567" s="138"/>
      <c r="O567" s="141"/>
      <c r="S567" s="94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9"/>
      <c r="L568" s="140"/>
      <c r="N568" s="138"/>
      <c r="O568" s="141"/>
      <c r="S568" s="94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9"/>
      <c r="L569" s="140"/>
      <c r="N569" s="138"/>
      <c r="O569" s="141"/>
      <c r="S569" s="94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9"/>
      <c r="L570" s="140"/>
      <c r="N570" s="138"/>
      <c r="O570" s="141"/>
      <c r="S570" s="94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9"/>
      <c r="L571" s="140"/>
      <c r="N571" s="138"/>
      <c r="O571" s="141"/>
      <c r="S571" s="94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9"/>
      <c r="L572" s="140"/>
      <c r="N572" s="138"/>
      <c r="O572" s="141"/>
      <c r="S572" s="94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9"/>
      <c r="L573" s="140"/>
      <c r="N573" s="138"/>
      <c r="O573" s="141"/>
      <c r="S573" s="94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9"/>
      <c r="L574" s="140"/>
      <c r="N574" s="138"/>
      <c r="O574" s="141"/>
      <c r="S574" s="94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9"/>
      <c r="L575" s="140"/>
      <c r="N575" s="138"/>
      <c r="O575" s="141"/>
      <c r="S575" s="94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9"/>
      <c r="L576" s="140"/>
      <c r="N576" s="138"/>
      <c r="O576" s="141"/>
      <c r="S576" s="94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9"/>
      <c r="L577" s="140"/>
      <c r="N577" s="138"/>
      <c r="O577" s="141"/>
      <c r="S577" s="94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9"/>
      <c r="L578" s="140"/>
      <c r="N578" s="138"/>
      <c r="O578" s="141"/>
      <c r="S578" s="94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9"/>
      <c r="L579" s="140"/>
      <c r="N579" s="138"/>
      <c r="O579" s="141"/>
      <c r="S579" s="94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9"/>
      <c r="L580" s="140"/>
      <c r="N580" s="138"/>
      <c r="O580" s="141"/>
      <c r="S580" s="94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9"/>
      <c r="L581" s="140"/>
      <c r="N581" s="138"/>
      <c r="O581" s="141"/>
      <c r="S581" s="94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9"/>
      <c r="L582" s="140"/>
      <c r="N582" s="138"/>
      <c r="O582" s="141"/>
      <c r="S582" s="94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9"/>
      <c r="L583" s="140"/>
      <c r="N583" s="138"/>
      <c r="O583" s="141"/>
      <c r="S583" s="94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9"/>
      <c r="L584" s="140"/>
      <c r="N584" s="138"/>
      <c r="O584" s="141"/>
      <c r="S584" s="94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9"/>
      <c r="L585" s="140"/>
      <c r="N585" s="138"/>
      <c r="O585" s="141"/>
      <c r="S585" s="94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9"/>
      <c r="L586" s="140"/>
      <c r="N586" s="138"/>
      <c r="O586" s="141"/>
      <c r="S586" s="94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9"/>
      <c r="L587" s="140"/>
      <c r="N587" s="138"/>
      <c r="O587" s="141"/>
      <c r="S587" s="94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9"/>
      <c r="L588" s="140"/>
      <c r="N588" s="138"/>
      <c r="O588" s="141"/>
      <c r="S588" s="94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L589" s="140"/>
      <c r="N589" s="138"/>
      <c r="O589" s="141"/>
      <c r="S589" s="94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9"/>
      <c r="L590" s="140"/>
      <c r="N590" s="138"/>
      <c r="O590" s="141"/>
      <c r="S590" s="94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9"/>
      <c r="L591" s="140"/>
      <c r="N591" s="138"/>
      <c r="O591" s="141"/>
      <c r="S591" s="94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9"/>
      <c r="L592" s="140"/>
      <c r="N592" s="138"/>
      <c r="O592" s="141"/>
      <c r="S592" s="94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9"/>
      <c r="L593" s="140"/>
      <c r="N593" s="138"/>
      <c r="O593" s="141"/>
      <c r="S593" s="94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9"/>
      <c r="L594" s="140"/>
      <c r="N594" s="138"/>
      <c r="O594" s="141"/>
      <c r="S594" s="94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L595" s="140"/>
      <c r="N595" s="138"/>
      <c r="O595" s="141"/>
      <c r="S595" s="94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9"/>
      <c r="L596" s="140"/>
      <c r="N596" s="138"/>
      <c r="O596" s="141"/>
      <c r="S596" s="94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9"/>
      <c r="L597" s="140"/>
      <c r="N597" s="138"/>
      <c r="O597" s="141"/>
      <c r="S597" s="94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9"/>
      <c r="L598" s="140"/>
      <c r="N598" s="138"/>
      <c r="O598" s="141"/>
      <c r="S598" s="94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9"/>
      <c r="L599" s="140"/>
      <c r="N599" s="138"/>
      <c r="O599" s="141"/>
      <c r="S599" s="94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9"/>
      <c r="L600" s="140"/>
      <c r="N600" s="138"/>
      <c r="O600" s="141"/>
      <c r="S600" s="94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9"/>
      <c r="L601" s="140"/>
      <c r="N601" s="138"/>
      <c r="O601" s="141"/>
      <c r="S601" s="94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9"/>
      <c r="L602" s="140"/>
      <c r="N602" s="138"/>
      <c r="O602" s="141"/>
      <c r="S602" s="94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9"/>
      <c r="L603" s="140"/>
      <c r="N603" s="138"/>
      <c r="O603" s="141"/>
      <c r="S603" s="94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9"/>
      <c r="L604" s="140"/>
      <c r="N604" s="138"/>
      <c r="O604" s="141"/>
      <c r="S604" s="94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9"/>
      <c r="L605" s="140"/>
      <c r="N605" s="138"/>
      <c r="O605" s="141"/>
      <c r="S605" s="94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9"/>
      <c r="L606" s="140"/>
      <c r="N606" s="138"/>
      <c r="O606" s="141"/>
      <c r="S606" s="94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9"/>
      <c r="L607" s="140"/>
      <c r="N607" s="138"/>
      <c r="O607" s="141"/>
      <c r="S607" s="94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9"/>
      <c r="L608" s="140"/>
      <c r="N608" s="138"/>
      <c r="O608" s="141"/>
      <c r="S608" s="94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9"/>
      <c r="L609" s="140"/>
      <c r="N609" s="138"/>
      <c r="O609" s="141"/>
      <c r="S609" s="94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9"/>
      <c r="L610" s="140"/>
      <c r="N610" s="138"/>
      <c r="O610" s="141"/>
      <c r="S610" s="94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9"/>
      <c r="L611" s="140"/>
      <c r="N611" s="138"/>
      <c r="O611" s="141"/>
      <c r="S611" s="94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9"/>
      <c r="L612" s="140"/>
      <c r="N612" s="138"/>
      <c r="O612" s="141"/>
      <c r="S612" s="94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9"/>
      <c r="L613" s="140"/>
      <c r="N613" s="138"/>
      <c r="O613" s="141"/>
      <c r="S613" s="94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9"/>
      <c r="L614" s="140"/>
      <c r="N614" s="138"/>
      <c r="O614" s="141"/>
      <c r="S614" s="94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9"/>
      <c r="L615" s="140"/>
      <c r="N615" s="138"/>
      <c r="O615" s="141"/>
      <c r="S615" s="94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9"/>
      <c r="L616" s="140"/>
      <c r="N616" s="138"/>
      <c r="O616" s="141"/>
      <c r="S616" s="94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9"/>
      <c r="L617" s="140"/>
      <c r="N617" s="138"/>
      <c r="O617" s="141"/>
      <c r="S617" s="94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9"/>
      <c r="L618" s="140"/>
      <c r="N618" s="138"/>
      <c r="O618" s="141"/>
      <c r="S618" s="94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9"/>
      <c r="L619" s="140"/>
      <c r="N619" s="138"/>
      <c r="O619" s="141"/>
      <c r="S619" s="94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9"/>
      <c r="L620" s="140"/>
      <c r="N620" s="138"/>
      <c r="O620" s="141"/>
      <c r="S620" s="94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9"/>
      <c r="L621" s="140"/>
      <c r="N621" s="138"/>
      <c r="O621" s="141"/>
      <c r="S621" s="94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9"/>
      <c r="L622" s="140"/>
      <c r="N622" s="138"/>
      <c r="O622" s="141"/>
      <c r="S622" s="94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9"/>
      <c r="L623" s="140"/>
      <c r="N623" s="138"/>
      <c r="O623" s="141"/>
      <c r="S623" s="94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9"/>
      <c r="L624" s="140"/>
      <c r="N624" s="138"/>
      <c r="O624" s="141"/>
      <c r="S624" s="94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9"/>
      <c r="L625" s="140"/>
      <c r="N625" s="138"/>
      <c r="O625" s="141"/>
      <c r="S625" s="94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L626" s="140"/>
      <c r="N626" s="138"/>
      <c r="O626" s="141"/>
      <c r="S626" s="94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9"/>
      <c r="L627" s="140"/>
      <c r="N627" s="138"/>
      <c r="O627" s="141"/>
      <c r="S627" s="94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9"/>
      <c r="L628" s="140"/>
      <c r="N628" s="138"/>
      <c r="O628" s="141"/>
      <c r="S628" s="94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9"/>
      <c r="L629" s="140"/>
      <c r="N629" s="138"/>
      <c r="O629" s="141"/>
      <c r="S629" s="94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9"/>
      <c r="L630" s="140"/>
      <c r="N630" s="138"/>
      <c r="O630" s="141"/>
      <c r="S630" s="94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9"/>
      <c r="L631" s="140"/>
      <c r="N631" s="138"/>
      <c r="O631" s="141"/>
      <c r="S631" s="94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L632" s="140"/>
      <c r="N632" s="138"/>
      <c r="O632" s="141"/>
      <c r="S632" s="94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9"/>
      <c r="L633" s="140"/>
      <c r="N633" s="138"/>
      <c r="O633" s="141"/>
      <c r="S633" s="94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9"/>
      <c r="L634" s="140"/>
      <c r="N634" s="138"/>
      <c r="O634" s="141"/>
      <c r="S634" s="94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9"/>
      <c r="L635" s="140"/>
      <c r="N635" s="138"/>
      <c r="O635" s="141"/>
      <c r="S635" s="94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9"/>
      <c r="L636" s="140"/>
      <c r="N636" s="138"/>
      <c r="O636" s="141"/>
      <c r="S636" s="94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9"/>
      <c r="L637" s="140"/>
      <c r="N637" s="138"/>
      <c r="O637" s="141"/>
      <c r="S637" s="94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9"/>
      <c r="L638" s="140"/>
      <c r="N638" s="138"/>
      <c r="O638" s="141"/>
      <c r="S638" s="94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9"/>
      <c r="L639" s="140"/>
      <c r="N639" s="138"/>
      <c r="O639" s="141"/>
      <c r="S639" s="94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9"/>
      <c r="L640" s="140"/>
      <c r="N640" s="138"/>
      <c r="O640" s="141"/>
      <c r="S640" s="94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9"/>
      <c r="L641" s="140"/>
      <c r="N641" s="138"/>
      <c r="O641" s="141"/>
      <c r="S641" s="94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9"/>
      <c r="L642" s="140"/>
      <c r="N642" s="138"/>
      <c r="O642" s="141"/>
      <c r="S642" s="94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9"/>
      <c r="L643" s="140"/>
      <c r="N643" s="138"/>
      <c r="O643" s="141"/>
      <c r="S643" s="94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9"/>
      <c r="L644" s="140"/>
      <c r="N644" s="138"/>
      <c r="O644" s="141"/>
      <c r="S644" s="94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9"/>
      <c r="L645" s="140"/>
      <c r="N645" s="138"/>
      <c r="O645" s="141"/>
      <c r="S645" s="94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9"/>
      <c r="L646" s="140"/>
      <c r="N646" s="138"/>
      <c r="O646" s="141"/>
      <c r="S646" s="94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9"/>
      <c r="L647" s="140"/>
      <c r="N647" s="138"/>
      <c r="O647" s="141"/>
      <c r="S647" s="94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9"/>
      <c r="L648" s="140"/>
      <c r="N648" s="138"/>
      <c r="O648" s="141"/>
      <c r="S648" s="94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9"/>
      <c r="L649" s="140"/>
      <c r="N649" s="138"/>
      <c r="O649" s="141"/>
      <c r="S649" s="94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9"/>
      <c r="L650" s="140"/>
      <c r="N650" s="138"/>
      <c r="O650" s="141"/>
      <c r="S650" s="94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9"/>
      <c r="L651" s="140"/>
      <c r="N651" s="138"/>
      <c r="O651" s="141"/>
      <c r="S651" s="94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9"/>
      <c r="L652" s="140"/>
      <c r="N652" s="138"/>
      <c r="O652" s="141"/>
      <c r="S652" s="94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9"/>
      <c r="L653" s="140"/>
      <c r="N653" s="138"/>
      <c r="O653" s="141"/>
      <c r="S653" s="94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9"/>
      <c r="L654" s="140"/>
      <c r="N654" s="138"/>
      <c r="O654" s="141"/>
      <c r="S654" s="94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9"/>
      <c r="L655" s="140"/>
      <c r="N655" s="138"/>
      <c r="O655" s="141"/>
      <c r="S655" s="94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9"/>
      <c r="L656" s="140"/>
      <c r="N656" s="138"/>
      <c r="O656" s="141"/>
      <c r="S656" s="94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9"/>
      <c r="L657" s="140"/>
      <c r="N657" s="138"/>
      <c r="O657" s="141"/>
      <c r="S657" s="94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9"/>
      <c r="L658" s="140"/>
      <c r="N658" s="138"/>
      <c r="O658" s="141"/>
      <c r="S658" s="94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9"/>
      <c r="L659" s="140"/>
      <c r="N659" s="138"/>
      <c r="O659" s="141"/>
      <c r="S659" s="94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9"/>
      <c r="L660" s="140"/>
      <c r="N660" s="138"/>
      <c r="O660" s="141"/>
      <c r="S660" s="94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9"/>
      <c r="L661" s="140"/>
      <c r="N661" s="138"/>
      <c r="O661" s="141"/>
      <c r="S661" s="94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9"/>
      <c r="L662" s="140"/>
      <c r="N662" s="138"/>
      <c r="O662" s="141"/>
      <c r="S662" s="94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L663" s="140"/>
      <c r="N663" s="138"/>
      <c r="O663" s="141"/>
      <c r="S663" s="94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9"/>
      <c r="L664" s="140"/>
      <c r="N664" s="138"/>
      <c r="O664" s="141"/>
      <c r="S664" s="94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9"/>
      <c r="L665" s="140"/>
      <c r="N665" s="138"/>
      <c r="O665" s="141"/>
      <c r="S665" s="94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9"/>
      <c r="L666" s="140"/>
      <c r="N666" s="138"/>
      <c r="O666" s="141"/>
      <c r="S666" s="94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9"/>
      <c r="L667" s="140"/>
      <c r="N667" s="138"/>
      <c r="O667" s="141"/>
      <c r="S667" s="94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9"/>
      <c r="L668" s="140"/>
      <c r="N668" s="138"/>
      <c r="O668" s="141"/>
      <c r="S668" s="94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L669" s="140"/>
      <c r="N669" s="138"/>
      <c r="O669" s="141"/>
      <c r="S669" s="94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9"/>
      <c r="L670" s="140"/>
      <c r="N670" s="138"/>
      <c r="O670" s="141"/>
      <c r="S670" s="94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9"/>
      <c r="L671" s="140"/>
      <c r="N671" s="138"/>
      <c r="O671" s="141"/>
      <c r="S671" s="94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9"/>
      <c r="L672" s="140"/>
      <c r="N672" s="138"/>
      <c r="O672" s="141"/>
      <c r="S672" s="94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9"/>
      <c r="L673" s="140"/>
      <c r="N673" s="138"/>
      <c r="O673" s="141"/>
      <c r="S673" s="94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9"/>
      <c r="L674" s="140"/>
      <c r="N674" s="138"/>
      <c r="O674" s="141"/>
      <c r="S674" s="94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9"/>
      <c r="L675" s="140"/>
      <c r="N675" s="138"/>
      <c r="O675" s="141"/>
      <c r="S675" s="94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9"/>
      <c r="L676" s="140"/>
      <c r="N676" s="138"/>
      <c r="O676" s="141"/>
      <c r="S676" s="94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9"/>
      <c r="L677" s="140"/>
      <c r="N677" s="138"/>
      <c r="O677" s="141"/>
      <c r="S677" s="94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9"/>
      <c r="L678" s="140"/>
      <c r="N678" s="138"/>
      <c r="O678" s="141"/>
      <c r="S678" s="94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9"/>
      <c r="L679" s="140"/>
      <c r="N679" s="138"/>
      <c r="O679" s="141"/>
      <c r="S679" s="94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9"/>
      <c r="L680" s="140"/>
      <c r="N680" s="138"/>
      <c r="O680" s="141"/>
      <c r="S680" s="94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9"/>
      <c r="L681" s="140"/>
      <c r="N681" s="138"/>
      <c r="O681" s="141"/>
      <c r="S681" s="94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9"/>
      <c r="L682" s="140"/>
      <c r="N682" s="138"/>
      <c r="O682" s="141"/>
      <c r="S682" s="94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9"/>
      <c r="L683" s="140"/>
      <c r="N683" s="138"/>
      <c r="O683" s="141"/>
      <c r="S683" s="94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9"/>
      <c r="L684" s="140"/>
      <c r="N684" s="138"/>
      <c r="O684" s="141"/>
      <c r="S684" s="94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9"/>
      <c r="L685" s="140"/>
      <c r="N685" s="138"/>
      <c r="O685" s="141"/>
      <c r="S685" s="94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9"/>
      <c r="L686" s="140"/>
      <c r="N686" s="138"/>
      <c r="O686" s="141"/>
      <c r="S686" s="94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9"/>
      <c r="L687" s="140"/>
      <c r="N687" s="138"/>
      <c r="O687" s="141"/>
      <c r="S687" s="94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9"/>
      <c r="L688" s="140"/>
      <c r="N688" s="138"/>
      <c r="O688" s="141"/>
      <c r="S688" s="94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9"/>
      <c r="L689" s="140"/>
      <c r="N689" s="138"/>
      <c r="O689" s="141"/>
      <c r="S689" s="94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9"/>
      <c r="L690" s="140"/>
      <c r="N690" s="138"/>
      <c r="O690" s="141"/>
      <c r="S690" s="94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9"/>
      <c r="L691" s="140"/>
      <c r="N691" s="138"/>
      <c r="O691" s="141"/>
      <c r="S691" s="94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9"/>
      <c r="L692" s="140"/>
      <c r="N692" s="138"/>
      <c r="O692" s="141"/>
      <c r="S692" s="94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9"/>
      <c r="L693" s="140"/>
      <c r="N693" s="138"/>
      <c r="O693" s="141"/>
      <c r="S693" s="94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9"/>
      <c r="L694" s="140"/>
      <c r="N694" s="138"/>
      <c r="O694" s="141"/>
      <c r="S694" s="94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9"/>
      <c r="L695" s="140"/>
      <c r="N695" s="138"/>
      <c r="O695" s="141"/>
      <c r="S695" s="94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9"/>
      <c r="L696" s="140"/>
      <c r="N696" s="138"/>
      <c r="O696" s="141"/>
      <c r="S696" s="94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9"/>
      <c r="L697" s="140"/>
      <c r="N697" s="138"/>
      <c r="O697" s="141"/>
      <c r="S697" s="94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9"/>
      <c r="L698" s="140"/>
      <c r="N698" s="138"/>
      <c r="O698" s="141"/>
      <c r="S698" s="94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9"/>
      <c r="L699" s="140"/>
      <c r="N699" s="138"/>
      <c r="O699" s="141"/>
      <c r="S699" s="94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L700" s="140"/>
      <c r="N700" s="138"/>
      <c r="O700" s="141"/>
      <c r="S700" s="94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9"/>
      <c r="L701" s="140"/>
      <c r="N701" s="138"/>
      <c r="O701" s="141"/>
      <c r="S701" s="94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9"/>
      <c r="L702" s="140"/>
      <c r="N702" s="138"/>
      <c r="O702" s="141"/>
      <c r="S702" s="94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9"/>
      <c r="L703" s="140"/>
      <c r="N703" s="138"/>
      <c r="O703" s="141"/>
      <c r="S703" s="94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9"/>
      <c r="L704" s="140"/>
      <c r="N704" s="138"/>
      <c r="O704" s="141"/>
      <c r="S704" s="94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9"/>
      <c r="L705" s="140"/>
      <c r="N705" s="138"/>
      <c r="O705" s="141"/>
      <c r="S705" s="94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L706" s="140"/>
      <c r="N706" s="138"/>
      <c r="O706" s="141"/>
      <c r="S706" s="94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9"/>
      <c r="L707" s="140"/>
      <c r="N707" s="138"/>
      <c r="O707" s="141"/>
      <c r="S707" s="94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9"/>
      <c r="L708" s="140"/>
      <c r="N708" s="138"/>
      <c r="O708" s="141"/>
      <c r="S708" s="94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9"/>
      <c r="L709" s="140"/>
      <c r="N709" s="138"/>
      <c r="O709" s="141"/>
      <c r="S709" s="94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9"/>
      <c r="L710" s="140"/>
      <c r="N710" s="138"/>
      <c r="O710" s="141"/>
      <c r="S710" s="94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9"/>
      <c r="L711" s="140"/>
      <c r="N711" s="138"/>
      <c r="O711" s="141"/>
      <c r="S711" s="94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9"/>
      <c r="L712" s="140"/>
      <c r="N712" s="138"/>
      <c r="O712" s="141"/>
      <c r="S712" s="94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9"/>
      <c r="L713" s="140"/>
      <c r="N713" s="138"/>
      <c r="O713" s="141"/>
      <c r="S713" s="94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9"/>
      <c r="L714" s="140"/>
      <c r="N714" s="138"/>
      <c r="O714" s="141"/>
      <c r="S714" s="94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9"/>
      <c r="L715" s="140"/>
      <c r="N715" s="138"/>
      <c r="O715" s="141"/>
      <c r="S715" s="94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9"/>
      <c r="L716" s="140"/>
      <c r="N716" s="138"/>
      <c r="O716" s="141"/>
      <c r="S716" s="94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9"/>
      <c r="L717" s="140"/>
      <c r="N717" s="138"/>
      <c r="O717" s="141"/>
      <c r="S717" s="94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9"/>
      <c r="L718" s="140"/>
      <c r="N718" s="138"/>
      <c r="O718" s="141"/>
      <c r="S718" s="94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9"/>
      <c r="L719" s="140"/>
      <c r="N719" s="138"/>
      <c r="O719" s="141"/>
      <c r="S719" s="94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9"/>
      <c r="L720" s="140"/>
      <c r="N720" s="138"/>
      <c r="O720" s="141"/>
      <c r="S720" s="94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9"/>
      <c r="L721" s="140"/>
      <c r="N721" s="138"/>
      <c r="O721" s="141"/>
      <c r="S721" s="94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9"/>
      <c r="L722" s="140"/>
      <c r="N722" s="138"/>
      <c r="O722" s="141"/>
      <c r="S722" s="94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9"/>
      <c r="L723" s="140"/>
      <c r="N723" s="138"/>
      <c r="O723" s="141"/>
      <c r="S723" s="94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9"/>
      <c r="L724" s="140"/>
      <c r="N724" s="138"/>
      <c r="O724" s="141"/>
      <c r="S724" s="94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9"/>
      <c r="L725" s="140"/>
      <c r="N725" s="138"/>
      <c r="O725" s="141"/>
      <c r="S725" s="94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9"/>
      <c r="L726" s="140"/>
      <c r="N726" s="138"/>
      <c r="O726" s="141"/>
      <c r="S726" s="94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9"/>
      <c r="L727" s="140"/>
      <c r="N727" s="138"/>
      <c r="O727" s="141"/>
      <c r="S727" s="94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9"/>
      <c r="L728" s="140"/>
      <c r="N728" s="138"/>
      <c r="O728" s="141"/>
      <c r="S728" s="94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9"/>
      <c r="L729" s="140"/>
      <c r="N729" s="138"/>
      <c r="O729" s="141"/>
      <c r="S729" s="94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9"/>
      <c r="L730" s="140"/>
      <c r="N730" s="138"/>
      <c r="O730" s="141"/>
      <c r="S730" s="94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9"/>
      <c r="L731" s="140"/>
      <c r="N731" s="138"/>
      <c r="O731" s="141"/>
      <c r="S731" s="94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9"/>
      <c r="L732" s="140"/>
      <c r="N732" s="138"/>
      <c r="O732" s="141"/>
      <c r="S732" s="94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9"/>
      <c r="L733" s="140"/>
      <c r="N733" s="138"/>
      <c r="O733" s="141"/>
      <c r="S733" s="94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9"/>
      <c r="L734" s="140"/>
      <c r="N734" s="138"/>
      <c r="O734" s="141"/>
      <c r="S734" s="94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9"/>
      <c r="L735" s="140"/>
      <c r="N735" s="138"/>
      <c r="O735" s="141"/>
      <c r="S735" s="94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9"/>
      <c r="L736" s="140"/>
      <c r="N736" s="138"/>
      <c r="O736" s="141"/>
      <c r="S736" s="94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L737" s="140"/>
      <c r="N737" s="138"/>
      <c r="O737" s="141"/>
      <c r="S737" s="94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9"/>
      <c r="L738" s="140"/>
      <c r="N738" s="138"/>
      <c r="O738" s="141"/>
      <c r="S738" s="94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9"/>
      <c r="L739" s="140"/>
      <c r="N739" s="138"/>
      <c r="O739" s="141"/>
      <c r="S739" s="94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9"/>
      <c r="L740" s="140"/>
      <c r="N740" s="138"/>
      <c r="O740" s="141"/>
      <c r="S740" s="94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9"/>
      <c r="L741" s="140"/>
      <c r="N741" s="138"/>
      <c r="O741" s="141"/>
      <c r="S741" s="94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9"/>
      <c r="L742" s="140"/>
      <c r="N742" s="138"/>
      <c r="O742" s="141"/>
      <c r="S742" s="94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L743" s="140"/>
      <c r="N743" s="138"/>
      <c r="O743" s="141"/>
      <c r="S743" s="94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9"/>
      <c r="L744" s="140"/>
      <c r="N744" s="138"/>
      <c r="O744" s="141"/>
      <c r="S744" s="94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9"/>
      <c r="L745" s="140"/>
      <c r="N745" s="138"/>
      <c r="O745" s="141"/>
      <c r="S745" s="94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9"/>
      <c r="L746" s="140"/>
      <c r="N746" s="138"/>
      <c r="O746" s="141"/>
      <c r="S746" s="94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9"/>
      <c r="L747" s="140"/>
      <c r="N747" s="138"/>
      <c r="O747" s="141"/>
      <c r="S747" s="94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9"/>
      <c r="L748" s="140"/>
      <c r="N748" s="138"/>
      <c r="O748" s="141"/>
      <c r="S748" s="94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9"/>
      <c r="L749" s="140"/>
      <c r="N749" s="138"/>
      <c r="O749" s="141"/>
      <c r="S749" s="94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9"/>
      <c r="L750" s="140"/>
      <c r="N750" s="138"/>
      <c r="O750" s="141"/>
      <c r="S750" s="94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9"/>
      <c r="L751" s="140"/>
      <c r="N751" s="138"/>
      <c r="O751" s="141"/>
      <c r="S751" s="94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9"/>
      <c r="L752" s="140"/>
      <c r="N752" s="138"/>
      <c r="O752" s="141"/>
      <c r="S752" s="94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9"/>
      <c r="L753" s="140"/>
      <c r="N753" s="138"/>
      <c r="O753" s="141"/>
      <c r="S753" s="94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9"/>
      <c r="L754" s="140"/>
      <c r="N754" s="138"/>
      <c r="O754" s="141"/>
      <c r="S754" s="94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9"/>
      <c r="L755" s="140"/>
      <c r="N755" s="138"/>
      <c r="O755" s="141"/>
      <c r="S755" s="94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9"/>
      <c r="L756" s="140"/>
      <c r="N756" s="138"/>
      <c r="O756" s="141"/>
      <c r="S756" s="94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9"/>
      <c r="L757" s="140"/>
      <c r="N757" s="138"/>
      <c r="O757" s="141"/>
      <c r="S757" s="94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9"/>
      <c r="L758" s="140"/>
      <c r="N758" s="138"/>
      <c r="O758" s="141"/>
      <c r="S758" s="94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9"/>
      <c r="L759" s="140"/>
      <c r="N759" s="138"/>
      <c r="O759" s="141"/>
      <c r="S759" s="94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9"/>
      <c r="L760" s="140"/>
      <c r="N760" s="138"/>
      <c r="O760" s="141"/>
      <c r="S760" s="94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9"/>
      <c r="L761" s="140"/>
      <c r="N761" s="138"/>
      <c r="O761" s="141"/>
      <c r="S761" s="94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9"/>
      <c r="L762" s="140"/>
      <c r="N762" s="138"/>
      <c r="O762" s="141"/>
      <c r="S762" s="94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9"/>
      <c r="L763" s="140"/>
      <c r="N763" s="138"/>
      <c r="O763" s="141"/>
      <c r="S763" s="94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9"/>
      <c r="L764" s="140"/>
      <c r="N764" s="138"/>
      <c r="O764" s="141"/>
      <c r="S764" s="94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9"/>
      <c r="L765" s="140"/>
      <c r="N765" s="138"/>
      <c r="O765" s="141"/>
      <c r="S765" s="94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9"/>
      <c r="L766" s="140"/>
      <c r="N766" s="138"/>
      <c r="O766" s="141"/>
      <c r="S766" s="94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9"/>
      <c r="L767" s="140"/>
      <c r="N767" s="138"/>
      <c r="O767" s="141"/>
      <c r="S767" s="94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9"/>
      <c r="L768" s="140"/>
      <c r="N768" s="138"/>
      <c r="O768" s="141"/>
      <c r="S768" s="94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9"/>
      <c r="L769" s="140"/>
      <c r="N769" s="138"/>
      <c r="O769" s="141"/>
      <c r="S769" s="94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9"/>
      <c r="L770" s="140"/>
      <c r="N770" s="138"/>
      <c r="O770" s="141"/>
      <c r="S770" s="94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9"/>
      <c r="L771" s="140"/>
      <c r="N771" s="138"/>
      <c r="O771" s="141"/>
      <c r="S771" s="94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9"/>
      <c r="L772" s="140"/>
      <c r="N772" s="138"/>
      <c r="O772" s="141"/>
      <c r="S772" s="94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9"/>
      <c r="L773" s="140"/>
      <c r="N773" s="138"/>
      <c r="O773" s="141"/>
      <c r="S773" s="94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L774" s="140"/>
      <c r="N774" s="138"/>
      <c r="O774" s="141"/>
      <c r="S774" s="94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9"/>
      <c r="L775" s="140"/>
      <c r="N775" s="138"/>
      <c r="O775" s="141"/>
      <c r="S775" s="94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9"/>
      <c r="L776" s="140"/>
      <c r="N776" s="138"/>
      <c r="O776" s="141"/>
      <c r="S776" s="94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9"/>
      <c r="L777" s="140"/>
      <c r="N777" s="138"/>
      <c r="O777" s="141"/>
      <c r="S777" s="94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9"/>
      <c r="L778" s="140"/>
      <c r="N778" s="138"/>
      <c r="O778" s="141"/>
      <c r="S778" s="94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9"/>
      <c r="L779" s="140"/>
      <c r="N779" s="138"/>
      <c r="O779" s="141"/>
      <c r="S779" s="94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L780" s="140"/>
      <c r="N780" s="138"/>
      <c r="O780" s="141"/>
      <c r="S780" s="94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9"/>
      <c r="L781" s="140"/>
      <c r="N781" s="138"/>
      <c r="O781" s="141"/>
      <c r="S781" s="94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9"/>
      <c r="L782" s="140"/>
      <c r="N782" s="138"/>
      <c r="O782" s="141"/>
      <c r="S782" s="94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9"/>
      <c r="L783" s="140"/>
      <c r="N783" s="138"/>
      <c r="O783" s="141"/>
      <c r="S783" s="94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9"/>
      <c r="L784" s="140"/>
      <c r="N784" s="138"/>
      <c r="O784" s="141"/>
      <c r="S784" s="94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9"/>
      <c r="L785" s="140"/>
      <c r="N785" s="138"/>
      <c r="O785" s="141"/>
      <c r="S785" s="94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9"/>
      <c r="L786" s="140"/>
      <c r="N786" s="138"/>
      <c r="O786" s="141"/>
      <c r="S786" s="94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9"/>
      <c r="L787" s="140"/>
      <c r="N787" s="138"/>
      <c r="O787" s="141"/>
      <c r="S787" s="94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9"/>
      <c r="L788" s="140"/>
      <c r="N788" s="138"/>
      <c r="O788" s="141"/>
      <c r="S788" s="94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9"/>
      <c r="L789" s="140"/>
      <c r="N789" s="138"/>
      <c r="O789" s="141"/>
      <c r="S789" s="94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9"/>
      <c r="L790" s="140"/>
      <c r="N790" s="138"/>
      <c r="O790" s="141"/>
      <c r="S790" s="94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9"/>
      <c r="L791" s="140"/>
      <c r="N791" s="138"/>
      <c r="O791" s="141"/>
      <c r="S791" s="94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9"/>
      <c r="L792" s="140"/>
      <c r="N792" s="138"/>
      <c r="O792" s="141"/>
      <c r="S792" s="94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9"/>
      <c r="L793" s="140"/>
      <c r="N793" s="138"/>
      <c r="O793" s="141"/>
      <c r="S793" s="94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9"/>
      <c r="L794" s="140"/>
      <c r="N794" s="138"/>
      <c r="O794" s="141"/>
      <c r="S794" s="94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9"/>
      <c r="L795" s="140"/>
      <c r="N795" s="138"/>
      <c r="O795" s="141"/>
      <c r="S795" s="94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9"/>
      <c r="L796" s="140"/>
      <c r="N796" s="138"/>
      <c r="O796" s="141"/>
      <c r="S796" s="94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9"/>
      <c r="L797" s="140"/>
      <c r="N797" s="138"/>
      <c r="O797" s="141"/>
      <c r="S797" s="94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9"/>
      <c r="L798" s="140"/>
      <c r="N798" s="138"/>
      <c r="O798" s="141"/>
      <c r="S798" s="94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9"/>
      <c r="L799" s="140"/>
      <c r="N799" s="138"/>
      <c r="O799" s="141"/>
      <c r="S799" s="94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9"/>
      <c r="L800" s="140"/>
      <c r="N800" s="138"/>
      <c r="O800" s="141"/>
      <c r="S800" s="94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9"/>
      <c r="L801" s="140"/>
      <c r="N801" s="138"/>
      <c r="O801" s="141"/>
      <c r="S801" s="94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9"/>
      <c r="L802" s="140"/>
      <c r="N802" s="138"/>
      <c r="O802" s="141"/>
      <c r="S802" s="94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9"/>
      <c r="L803" s="140"/>
      <c r="N803" s="138"/>
      <c r="O803" s="141"/>
      <c r="S803" s="94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9"/>
      <c r="L804" s="140"/>
      <c r="N804" s="138"/>
      <c r="O804" s="141"/>
      <c r="S804" s="94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9"/>
      <c r="L805" s="140"/>
      <c r="N805" s="138"/>
      <c r="O805" s="141"/>
      <c r="S805" s="94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9"/>
      <c r="L806" s="140"/>
      <c r="N806" s="138"/>
      <c r="O806" s="141"/>
      <c r="S806" s="94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9"/>
      <c r="L807" s="140"/>
      <c r="N807" s="138"/>
      <c r="O807" s="141"/>
      <c r="S807" s="94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9"/>
      <c r="L808" s="140"/>
      <c r="N808" s="138"/>
      <c r="O808" s="141"/>
      <c r="S808" s="94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9"/>
      <c r="L809" s="140"/>
      <c r="N809" s="138"/>
      <c r="O809" s="141"/>
      <c r="S809" s="94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9"/>
      <c r="L810" s="140"/>
      <c r="N810" s="138"/>
      <c r="O810" s="141"/>
      <c r="S810" s="94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L811" s="140"/>
      <c r="N811" s="138"/>
      <c r="O811" s="141"/>
      <c r="S811" s="94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9"/>
      <c r="L812" s="140"/>
      <c r="N812" s="138"/>
      <c r="O812" s="141"/>
      <c r="S812" s="94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9"/>
      <c r="L813" s="140"/>
      <c r="N813" s="138"/>
      <c r="O813" s="141"/>
      <c r="S813" s="94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9"/>
      <c r="L814" s="140"/>
      <c r="N814" s="138"/>
      <c r="O814" s="141"/>
      <c r="S814" s="94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9"/>
      <c r="L815" s="140"/>
      <c r="N815" s="138"/>
      <c r="O815" s="141"/>
      <c r="S815" s="94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9"/>
      <c r="L816" s="140"/>
      <c r="N816" s="138"/>
      <c r="O816" s="141"/>
      <c r="S816" s="94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L817" s="140"/>
      <c r="N817" s="138"/>
      <c r="O817" s="141"/>
      <c r="S817" s="94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9"/>
      <c r="L818" s="140"/>
      <c r="N818" s="138"/>
      <c r="O818" s="141"/>
      <c r="S818" s="94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9"/>
      <c r="L819" s="140"/>
      <c r="N819" s="138"/>
      <c r="O819" s="141"/>
      <c r="S819" s="94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9"/>
      <c r="L820" s="140"/>
      <c r="N820" s="138"/>
      <c r="O820" s="141"/>
      <c r="S820" s="94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9"/>
      <c r="L821" s="140"/>
      <c r="N821" s="138"/>
      <c r="O821" s="141"/>
      <c r="S821" s="94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9"/>
      <c r="L822" s="140"/>
      <c r="N822" s="138"/>
      <c r="O822" s="141"/>
      <c r="S822" s="94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9"/>
      <c r="L823" s="140"/>
      <c r="N823" s="138"/>
      <c r="O823" s="141"/>
      <c r="S823" s="94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9"/>
      <c r="L824" s="140"/>
      <c r="N824" s="138"/>
      <c r="O824" s="141"/>
      <c r="S824" s="94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9"/>
      <c r="L825" s="140"/>
      <c r="N825" s="138"/>
      <c r="O825" s="141"/>
      <c r="S825" s="94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9"/>
      <c r="L826" s="140"/>
      <c r="N826" s="138"/>
      <c r="O826" s="141"/>
      <c r="S826" s="94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9"/>
      <c r="L827" s="140"/>
      <c r="N827" s="138"/>
      <c r="O827" s="141"/>
      <c r="S827" s="94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9"/>
      <c r="L828" s="140"/>
      <c r="N828" s="138"/>
      <c r="O828" s="141"/>
      <c r="S828" s="94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9"/>
      <c r="L829" s="140"/>
      <c r="N829" s="138"/>
      <c r="O829" s="141"/>
      <c r="S829" s="94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9"/>
      <c r="L830" s="140"/>
      <c r="N830" s="138"/>
      <c r="O830" s="141"/>
      <c r="S830" s="94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9"/>
      <c r="L831" s="140"/>
      <c r="N831" s="138"/>
      <c r="O831" s="141"/>
      <c r="S831" s="94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9"/>
      <c r="L832" s="140"/>
      <c r="N832" s="138"/>
      <c r="O832" s="141"/>
      <c r="S832" s="94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9"/>
      <c r="L833" s="140"/>
      <c r="N833" s="138"/>
      <c r="O833" s="141"/>
      <c r="S833" s="94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9"/>
      <c r="L834" s="140"/>
      <c r="N834" s="138"/>
      <c r="O834" s="141"/>
      <c r="S834" s="94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9"/>
      <c r="L835" s="140"/>
      <c r="N835" s="138"/>
      <c r="O835" s="141"/>
      <c r="S835" s="94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9"/>
      <c r="L836" s="140"/>
      <c r="N836" s="138"/>
      <c r="O836" s="141"/>
      <c r="S836" s="94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9"/>
      <c r="L837" s="140"/>
      <c r="N837" s="138"/>
      <c r="O837" s="141"/>
      <c r="S837" s="94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9"/>
      <c r="L838" s="140"/>
      <c r="N838" s="138"/>
      <c r="O838" s="141"/>
      <c r="S838" s="94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9"/>
      <c r="L839" s="140"/>
      <c r="N839" s="138"/>
      <c r="O839" s="141"/>
      <c r="S839" s="94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9"/>
      <c r="L840" s="140"/>
      <c r="N840" s="138"/>
      <c r="O840" s="141"/>
      <c r="S840" s="94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9"/>
      <c r="L841" s="140"/>
      <c r="N841" s="138"/>
      <c r="O841" s="141"/>
      <c r="S841" s="94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9"/>
      <c r="L842" s="140"/>
      <c r="N842" s="138"/>
      <c r="O842" s="141"/>
      <c r="S842" s="94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9"/>
      <c r="L843" s="140"/>
      <c r="N843" s="138"/>
      <c r="O843" s="141"/>
      <c r="S843" s="94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9"/>
      <c r="L844" s="140"/>
      <c r="N844" s="138"/>
      <c r="O844" s="141"/>
      <c r="S844" s="94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9"/>
      <c r="L845" s="140"/>
      <c r="N845" s="138"/>
      <c r="O845" s="141"/>
      <c r="S845" s="94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9"/>
      <c r="L846" s="140"/>
      <c r="N846" s="138"/>
      <c r="O846" s="141"/>
      <c r="S846" s="94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9"/>
      <c r="L847" s="140"/>
      <c r="N847" s="138"/>
      <c r="O847" s="141"/>
      <c r="S847" s="94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9"/>
      <c r="L848" s="140"/>
      <c r="N848" s="138"/>
      <c r="O848" s="141"/>
      <c r="S848" s="94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9"/>
      <c r="L849" s="140"/>
      <c r="N849" s="138"/>
      <c r="O849" s="141"/>
      <c r="S849" s="94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9"/>
      <c r="L850" s="140"/>
      <c r="N850" s="138"/>
      <c r="O850" s="141"/>
      <c r="S850" s="94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9"/>
      <c r="L851" s="140"/>
      <c r="N851" s="138"/>
      <c r="O851" s="141"/>
      <c r="S851" s="94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9"/>
      <c r="L852" s="140"/>
      <c r="N852" s="138"/>
      <c r="O852" s="141"/>
      <c r="S852" s="94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9"/>
      <c r="L853" s="140"/>
      <c r="N853" s="138"/>
      <c r="O853" s="141"/>
      <c r="S853" s="94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9"/>
      <c r="L854" s="140"/>
      <c r="N854" s="138"/>
      <c r="O854" s="141"/>
      <c r="S854" s="94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9"/>
      <c r="L855" s="140"/>
      <c r="N855" s="138"/>
      <c r="O855" s="141"/>
      <c r="S855" s="94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9"/>
      <c r="L856" s="140"/>
      <c r="N856" s="138"/>
      <c r="O856" s="141"/>
      <c r="S856" s="94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9"/>
      <c r="L857" s="140"/>
      <c r="N857" s="138"/>
      <c r="O857" s="141"/>
      <c r="S857" s="94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9"/>
      <c r="L858" s="140"/>
      <c r="N858" s="138"/>
      <c r="O858" s="141"/>
      <c r="S858" s="94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9"/>
      <c r="L859" s="140"/>
      <c r="N859" s="138"/>
      <c r="O859" s="141"/>
      <c r="S859" s="94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9"/>
      <c r="L860" s="140"/>
      <c r="N860" s="138"/>
      <c r="O860" s="141"/>
      <c r="S860" s="94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9"/>
      <c r="L861" s="140"/>
      <c r="N861" s="138"/>
      <c r="O861" s="141"/>
      <c r="S861" s="94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9"/>
      <c r="L862" s="140"/>
      <c r="N862" s="138"/>
      <c r="O862" s="141"/>
      <c r="S862" s="94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9"/>
      <c r="L863" s="140"/>
      <c r="N863" s="138"/>
      <c r="O863" s="141"/>
      <c r="S863" s="94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9"/>
      <c r="L864" s="140"/>
      <c r="N864" s="138"/>
      <c r="O864" s="141"/>
      <c r="S864" s="94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9"/>
      <c r="L865" s="140"/>
      <c r="N865" s="138"/>
      <c r="O865" s="141"/>
      <c r="S865" s="94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9"/>
      <c r="L866" s="140"/>
      <c r="N866" s="138"/>
      <c r="O866" s="141"/>
      <c r="S866" s="94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9"/>
      <c r="L867" s="140"/>
      <c r="N867" s="138"/>
      <c r="O867" s="141"/>
      <c r="S867" s="94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9"/>
      <c r="L868" s="140"/>
      <c r="N868" s="138"/>
      <c r="O868" s="141"/>
      <c r="S868" s="94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9"/>
      <c r="L869" s="140"/>
      <c r="N869" s="138"/>
      <c r="O869" s="141"/>
      <c r="S869" s="94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9"/>
      <c r="L870" s="140"/>
      <c r="N870" s="138"/>
      <c r="O870" s="141"/>
      <c r="S870" s="94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9"/>
      <c r="L871" s="140"/>
      <c r="N871" s="138"/>
      <c r="O871" s="141"/>
      <c r="S871" s="94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9"/>
      <c r="L872" s="140"/>
      <c r="N872" s="138"/>
      <c r="O872" s="141"/>
      <c r="S872" s="94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9"/>
      <c r="L873" s="140"/>
      <c r="N873" s="138"/>
      <c r="O873" s="141"/>
      <c r="S873" s="94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9"/>
      <c r="L874" s="140"/>
      <c r="N874" s="138"/>
      <c r="O874" s="141"/>
      <c r="S874" s="94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9"/>
      <c r="L875" s="140"/>
      <c r="N875" s="138"/>
      <c r="O875" s="141"/>
      <c r="S875" s="94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9"/>
      <c r="L876" s="140"/>
      <c r="N876" s="138"/>
      <c r="O876" s="141"/>
      <c r="S876" s="94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9"/>
      <c r="L877" s="140"/>
      <c r="N877" s="138"/>
      <c r="O877" s="141"/>
      <c r="S877" s="94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9"/>
      <c r="L878" s="140"/>
      <c r="N878" s="138"/>
      <c r="O878" s="141"/>
      <c r="S878" s="94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9"/>
      <c r="L879" s="140"/>
      <c r="N879" s="138"/>
      <c r="O879" s="141"/>
      <c r="S879" s="94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9"/>
      <c r="L880" s="140"/>
      <c r="N880" s="138"/>
      <c r="O880" s="141"/>
      <c r="S880" s="94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9"/>
      <c r="L881" s="140"/>
      <c r="N881" s="138"/>
      <c r="O881" s="141"/>
      <c r="S881" s="94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9"/>
      <c r="L882" s="140"/>
      <c r="N882" s="138"/>
      <c r="O882" s="141"/>
      <c r="S882" s="94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9"/>
      <c r="L883" s="140"/>
      <c r="N883" s="138"/>
      <c r="O883" s="141"/>
      <c r="S883" s="94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9"/>
      <c r="L884" s="140"/>
      <c r="N884" s="138"/>
      <c r="O884" s="141"/>
      <c r="S884" s="94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9"/>
      <c r="L885" s="140"/>
      <c r="N885" s="138"/>
      <c r="O885" s="141"/>
      <c r="S885" s="94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9"/>
      <c r="L886" s="140"/>
      <c r="N886" s="138"/>
      <c r="O886" s="141"/>
      <c r="S886" s="94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9"/>
      <c r="L887" s="140"/>
      <c r="N887" s="138"/>
      <c r="O887" s="141"/>
      <c r="S887" s="94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9"/>
      <c r="L888" s="140"/>
      <c r="N888" s="138"/>
      <c r="O888" s="141"/>
      <c r="S888" s="94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9"/>
      <c r="L889" s="140"/>
      <c r="N889" s="138"/>
      <c r="O889" s="141"/>
      <c r="S889" s="94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9"/>
      <c r="L890" s="140"/>
      <c r="N890" s="138"/>
      <c r="O890" s="141"/>
      <c r="S890" s="94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9"/>
      <c r="L891" s="140"/>
      <c r="N891" s="138"/>
      <c r="O891" s="141"/>
      <c r="S891" s="94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9"/>
      <c r="L892" s="140"/>
      <c r="N892" s="138"/>
      <c r="O892" s="141"/>
      <c r="S892" s="94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9"/>
      <c r="L893" s="140"/>
      <c r="N893" s="138"/>
      <c r="O893" s="141"/>
      <c r="S893" s="94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9"/>
      <c r="L894" s="140"/>
      <c r="N894" s="138"/>
      <c r="O894" s="141"/>
      <c r="S894" s="94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9"/>
      <c r="L895" s="140"/>
      <c r="N895" s="138"/>
      <c r="O895" s="141"/>
      <c r="S895" s="94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9"/>
      <c r="L896" s="140"/>
      <c r="N896" s="138"/>
      <c r="O896" s="141"/>
      <c r="S896" s="94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9"/>
      <c r="L897" s="140"/>
      <c r="N897" s="138"/>
      <c r="O897" s="141"/>
      <c r="S897" s="94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9"/>
      <c r="L898" s="140"/>
      <c r="N898" s="138"/>
      <c r="O898" s="141"/>
      <c r="S898" s="94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9"/>
      <c r="L899" s="140"/>
      <c r="N899" s="138"/>
      <c r="O899" s="141"/>
      <c r="S899" s="94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9"/>
      <c r="L900" s="140"/>
      <c r="N900" s="138"/>
      <c r="O900" s="141"/>
      <c r="S900" s="94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9"/>
      <c r="L901" s="140"/>
      <c r="N901" s="138"/>
      <c r="O901" s="141"/>
      <c r="S901" s="94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9"/>
      <c r="L902" s="140"/>
      <c r="N902" s="138"/>
      <c r="O902" s="141"/>
      <c r="S902" s="94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9"/>
      <c r="L903" s="140"/>
      <c r="N903" s="138"/>
      <c r="O903" s="141"/>
      <c r="S903" s="94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9"/>
      <c r="L904" s="140"/>
      <c r="N904" s="138"/>
      <c r="O904" s="141"/>
      <c r="S904" s="94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9"/>
      <c r="L905" s="140"/>
      <c r="N905" s="138"/>
      <c r="O905" s="141"/>
      <c r="S905" s="94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9"/>
      <c r="L906" s="140"/>
      <c r="N906" s="138"/>
      <c r="O906" s="141"/>
      <c r="S906" s="94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9"/>
      <c r="L907" s="140"/>
      <c r="N907" s="138"/>
      <c r="O907" s="141"/>
      <c r="S907" s="94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9"/>
      <c r="L908" s="140"/>
      <c r="N908" s="138"/>
      <c r="O908" s="141"/>
      <c r="S908" s="94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9"/>
      <c r="L909" s="140"/>
      <c r="N909" s="138"/>
      <c r="O909" s="141"/>
      <c r="S909" s="94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9"/>
      <c r="L910" s="140"/>
      <c r="N910" s="138"/>
      <c r="O910" s="141"/>
      <c r="S910" s="94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9"/>
      <c r="L911" s="140"/>
      <c r="N911" s="138"/>
      <c r="O911" s="141"/>
      <c r="S911" s="94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9"/>
      <c r="L912" s="140"/>
      <c r="N912" s="138"/>
      <c r="O912" s="141"/>
      <c r="S912" s="94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9"/>
      <c r="L913" s="140"/>
      <c r="N913" s="138"/>
      <c r="O913" s="141"/>
      <c r="S913" s="94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9"/>
      <c r="L914" s="140"/>
      <c r="N914" s="138"/>
      <c r="O914" s="141"/>
      <c r="S914" s="94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9"/>
      <c r="L915" s="140"/>
      <c r="N915" s="138"/>
      <c r="O915" s="141"/>
      <c r="S915" s="94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9"/>
      <c r="L916" s="140"/>
      <c r="N916" s="138"/>
      <c r="O916" s="141"/>
      <c r="S916" s="94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9"/>
      <c r="L917" s="140"/>
      <c r="N917" s="138"/>
      <c r="O917" s="141"/>
      <c r="S917" s="94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9"/>
      <c r="L918" s="140"/>
      <c r="N918" s="138"/>
      <c r="O918" s="141"/>
      <c r="S918" s="94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9"/>
      <c r="L919" s="140"/>
      <c r="N919" s="138"/>
      <c r="O919" s="141"/>
      <c r="S919" s="94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9"/>
      <c r="L920" s="140"/>
      <c r="N920" s="138"/>
      <c r="O920" s="141"/>
      <c r="S920" s="94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9"/>
      <c r="L921" s="140"/>
      <c r="N921" s="138"/>
      <c r="O921" s="141"/>
      <c r="S921" s="94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9"/>
      <c r="L922" s="140"/>
      <c r="N922" s="138"/>
      <c r="O922" s="141"/>
      <c r="S922" s="94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9"/>
      <c r="L923" s="140"/>
      <c r="N923" s="138"/>
      <c r="O923" s="141"/>
      <c r="S923" s="94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9"/>
      <c r="L924" s="140"/>
      <c r="N924" s="138"/>
      <c r="O924" s="141"/>
      <c r="S924" s="94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9"/>
      <c r="L925" s="140"/>
      <c r="N925" s="138"/>
      <c r="O925" s="141"/>
      <c r="S925" s="94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9"/>
      <c r="L926" s="140"/>
      <c r="N926" s="138"/>
      <c r="O926" s="141"/>
      <c r="S926" s="94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9"/>
      <c r="L927" s="140"/>
      <c r="N927" s="138"/>
      <c r="O927" s="141"/>
      <c r="S927" s="94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9"/>
      <c r="L928" s="140"/>
      <c r="N928" s="138"/>
      <c r="O928" s="141"/>
      <c r="S928" s="94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9"/>
      <c r="L929" s="140"/>
      <c r="N929" s="138"/>
      <c r="O929" s="141"/>
      <c r="S929" s="94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9"/>
      <c r="L930" s="140"/>
      <c r="N930" s="138"/>
      <c r="O930" s="141"/>
      <c r="S930" s="94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9"/>
      <c r="L931" s="140"/>
      <c r="N931" s="138"/>
      <c r="O931" s="141"/>
      <c r="S931" s="94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9"/>
      <c r="L932" s="140"/>
      <c r="N932" s="138"/>
      <c r="O932" s="141"/>
      <c r="S932" s="94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9"/>
      <c r="L933" s="140"/>
      <c r="N933" s="138"/>
      <c r="O933" s="141"/>
      <c r="S933" s="94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9"/>
      <c r="L934" s="140"/>
      <c r="N934" s="138"/>
      <c r="O934" s="141"/>
      <c r="S934" s="94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9"/>
      <c r="L935" s="140"/>
      <c r="N935" s="138"/>
      <c r="O935" s="141"/>
      <c r="S935" s="94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9"/>
      <c r="L936" s="140"/>
      <c r="N936" s="138"/>
      <c r="O936" s="141"/>
      <c r="S936" s="94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9"/>
      <c r="L937" s="140"/>
      <c r="N937" s="138"/>
      <c r="O937" s="141"/>
      <c r="S937" s="94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9"/>
      <c r="L938" s="140"/>
      <c r="N938" s="138"/>
      <c r="O938" s="141"/>
      <c r="S938" s="94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9"/>
      <c r="L939" s="140"/>
      <c r="N939" s="138"/>
      <c r="O939" s="141"/>
      <c r="S939" s="94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9"/>
      <c r="L940" s="140"/>
      <c r="N940" s="138"/>
      <c r="O940" s="141"/>
      <c r="S940" s="94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9"/>
      <c r="L941" s="140"/>
      <c r="N941" s="138"/>
      <c r="O941" s="141"/>
      <c r="S941" s="94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9"/>
      <c r="L942" s="140"/>
      <c r="N942" s="138"/>
      <c r="O942" s="141"/>
      <c r="S942" s="94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9"/>
      <c r="L943" s="140"/>
      <c r="N943" s="138"/>
      <c r="O943" s="141"/>
      <c r="S943" s="94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9"/>
      <c r="L944" s="140"/>
      <c r="N944" s="138"/>
      <c r="O944" s="141"/>
      <c r="S944" s="94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9"/>
      <c r="L945" s="140"/>
      <c r="N945" s="138"/>
      <c r="O945" s="141"/>
      <c r="S945" s="94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9"/>
      <c r="L946" s="140"/>
      <c r="N946" s="138"/>
      <c r="O946" s="141"/>
      <c r="S946" s="94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9"/>
      <c r="L947" s="140"/>
      <c r="N947" s="138"/>
      <c r="O947" s="141"/>
      <c r="S947" s="94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9"/>
      <c r="L948" s="140"/>
      <c r="N948" s="138"/>
      <c r="O948" s="141"/>
      <c r="S948" s="94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9"/>
      <c r="L949" s="140"/>
      <c r="N949" s="138"/>
      <c r="O949" s="141"/>
      <c r="S949" s="94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9"/>
      <c r="L950" s="140"/>
      <c r="N950" s="138"/>
      <c r="O950" s="141"/>
      <c r="S950" s="94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9"/>
      <c r="L951" s="140"/>
      <c r="N951" s="138"/>
      <c r="O951" s="141"/>
      <c r="S951" s="94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9"/>
      <c r="L952" s="140"/>
      <c r="N952" s="138"/>
      <c r="O952" s="141"/>
      <c r="S952" s="94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9"/>
      <c r="L953" s="140"/>
      <c r="N953" s="138"/>
      <c r="O953" s="141"/>
      <c r="S953" s="94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9"/>
      <c r="L954" s="140"/>
      <c r="N954" s="138"/>
      <c r="O954" s="141"/>
      <c r="S954" s="94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9"/>
      <c r="L955" s="140"/>
      <c r="N955" s="138"/>
      <c r="O955" s="141"/>
      <c r="S955" s="94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9"/>
      <c r="L956" s="140"/>
      <c r="N956" s="138"/>
      <c r="O956" s="141"/>
      <c r="S956" s="94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9"/>
      <c r="L957" s="140"/>
      <c r="N957" s="138"/>
      <c r="O957" s="141"/>
      <c r="S957" s="94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9"/>
      <c r="L958" s="140"/>
      <c r="N958" s="138"/>
      <c r="O958" s="141"/>
      <c r="S958" s="94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9"/>
      <c r="L959" s="140"/>
      <c r="N959" s="138"/>
      <c r="O959" s="141"/>
      <c r="S959" s="94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9"/>
      <c r="L960" s="140"/>
      <c r="N960" s="138"/>
      <c r="O960" s="141"/>
      <c r="S960" s="94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9"/>
      <c r="L961" s="140"/>
      <c r="N961" s="138"/>
      <c r="O961" s="141"/>
      <c r="S961" s="94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9"/>
      <c r="L962" s="140"/>
      <c r="N962" s="138"/>
      <c r="O962" s="141"/>
      <c r="S962" s="94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9"/>
      <c r="L963" s="140"/>
      <c r="N963" s="138"/>
      <c r="O963" s="141"/>
      <c r="S963" s="94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9"/>
      <c r="L964" s="140"/>
      <c r="N964" s="138"/>
      <c r="O964" s="141"/>
      <c r="S964" s="94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9"/>
      <c r="L965" s="140"/>
      <c r="N965" s="138"/>
      <c r="O965" s="141"/>
      <c r="S965" s="94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9"/>
      <c r="L966" s="140"/>
      <c r="N966" s="138"/>
      <c r="O966" s="141"/>
      <c r="S966" s="94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9"/>
      <c r="L967" s="140"/>
      <c r="N967" s="138"/>
      <c r="O967" s="141"/>
      <c r="S967" s="94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9"/>
      <c r="L968" s="140"/>
      <c r="N968" s="138"/>
      <c r="O968" s="141"/>
      <c r="S968" s="94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9"/>
      <c r="L969" s="140"/>
      <c r="N969" s="138"/>
      <c r="O969" s="141"/>
      <c r="S969" s="94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9"/>
      <c r="L970" s="140"/>
      <c r="N970" s="138"/>
      <c r="O970" s="141"/>
      <c r="S970" s="94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9"/>
      <c r="L971" s="140"/>
      <c r="N971" s="138"/>
      <c r="O971" s="141"/>
      <c r="S971" s="94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9"/>
      <c r="L972" s="140"/>
      <c r="N972" s="138"/>
      <c r="O972" s="141"/>
      <c r="S972" s="94"/>
    </row>
  </sheetData>
  <mergeCells count="11">
    <mergeCell ref="R37:S37"/>
    <mergeCell ref="R38:S38"/>
    <mergeCell ref="R70:S70"/>
    <mergeCell ref="R102:S102"/>
    <mergeCell ref="B1:D1"/>
    <mergeCell ref="E1:G1"/>
    <mergeCell ref="H1:J1"/>
    <mergeCell ref="K1:M1"/>
    <mergeCell ref="N1:P1"/>
    <mergeCell ref="R5:S5"/>
    <mergeCell ref="R6:S6"/>
  </mergeCells>
  <conditionalFormatting sqref="J3:J132">
    <cfRule type="cellIs" dxfId="5" priority="1" operator="lessThan">
      <formula>I3:I98</formula>
    </cfRule>
  </conditionalFormatting>
  <conditionalFormatting sqref="J3:J132">
    <cfRule type="cellIs" dxfId="11" priority="2" operator="greaterThan">
      <formula>I4:I98</formula>
    </cfRule>
  </conditionalFormatting>
  <conditionalFormatting sqref="D3:D132">
    <cfRule type="cellIs" dxfId="12" priority="3" operator="equal">
      <formula>0</formula>
    </cfRule>
  </conditionalFormatting>
  <conditionalFormatting sqref="D3:D132">
    <cfRule type="cellIs" dxfId="5" priority="4" operator="lessThan">
      <formula>C3:C123</formula>
    </cfRule>
  </conditionalFormatting>
  <conditionalFormatting sqref="D3:D132">
    <cfRule type="cellIs" dxfId="4" priority="5" operator="greaterThanOrEqual">
      <formula>C3:C123</formula>
    </cfRule>
  </conditionalFormatting>
  <conditionalFormatting sqref="F3:F137">
    <cfRule type="notContainsBlanks" dxfId="14" priority="6">
      <formula>LEN(TRIM(F3))&gt;0</formula>
    </cfRule>
  </conditionalFormatting>
  <conditionalFormatting sqref="G3:G132">
    <cfRule type="cellIs" dxfId="12" priority="7" operator="equal">
      <formula>0</formula>
    </cfRule>
  </conditionalFormatting>
  <conditionalFormatting sqref="G3:G132">
    <cfRule type="cellIs" dxfId="5" priority="8" operator="lessThan">
      <formula>F3:F134</formula>
    </cfRule>
  </conditionalFormatting>
  <conditionalFormatting sqref="J18">
    <cfRule type="notContainsBlanks" dxfId="7" priority="9">
      <formula>LEN(TRIM(J18))&gt;0</formula>
    </cfRule>
  </conditionalFormatting>
  <conditionalFormatting sqref="G3:G132">
    <cfRule type="cellIs" dxfId="4" priority="10" operator="greaterThan">
      <formula>F3:F134</formula>
    </cfRule>
  </conditionalFormatting>
  <conditionalFormatting sqref="P2:P972">
    <cfRule type="cellIs" dxfId="4" priority="11" operator="greaterThan">
      <formula>0</formula>
    </cfRule>
  </conditionalFormatting>
  <conditionalFormatting sqref="P2:P972">
    <cfRule type="cellIs" dxfId="5" priority="12" operator="lessThan">
      <formula>0</formula>
    </cfRule>
  </conditionalFormatting>
  <conditionalFormatting sqref="M2:M972">
    <cfRule type="cellIs" dxfId="4" priority="13" operator="greaterThan">
      <formula>50%</formula>
    </cfRule>
  </conditionalFormatting>
  <conditionalFormatting sqref="M2:M972">
    <cfRule type="cellIs" dxfId="5" priority="14" operator="lessThan">
      <formula>50%</formula>
    </cfRule>
  </conditionalFormatting>
  <drawing r:id="rId1"/>
  <tableParts count="5">
    <tablePart r:id="rId7"/>
    <tablePart r:id="rId8"/>
    <tablePart r:id="rId9"/>
    <tablePart r:id="rId10"/>
    <tablePart r:id="r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 outlineLevelRow="2"/>
  <cols>
    <col customWidth="1" min="1" max="1" width="11.13"/>
    <col customWidth="1" min="2" max="2" width="9.25"/>
    <col customWidth="1" min="3" max="3" width="4.75"/>
    <col customWidth="1" min="4" max="4" width="5.13"/>
    <col customWidth="1" min="5" max="5" width="9.25"/>
    <col customWidth="1" min="6" max="6" width="5.63"/>
    <col customWidth="1" min="7" max="7" width="5.75"/>
    <col customWidth="1" min="8" max="8" width="11.13"/>
    <col customWidth="1" min="9" max="9" width="11.88"/>
    <col customWidth="1" min="10" max="10" width="11.13"/>
    <col customWidth="1" min="11" max="11" width="12.0"/>
    <col customWidth="1" min="12" max="12" width="4.75"/>
    <col customWidth="1" min="13" max="13" width="7.0"/>
    <col customWidth="1" min="14" max="14" width="11.0"/>
    <col customWidth="1" min="15" max="15" width="6.38"/>
    <col customWidth="1" min="16" max="16" width="8.75"/>
    <col customWidth="1" min="18" max="18" width="16.25"/>
  </cols>
  <sheetData>
    <row r="1">
      <c r="A1" s="337"/>
      <c r="B1" s="337" t="s">
        <v>1</v>
      </c>
      <c r="E1" s="337" t="s">
        <v>2</v>
      </c>
      <c r="H1" s="337" t="s">
        <v>3</v>
      </c>
      <c r="K1" s="337" t="s">
        <v>4</v>
      </c>
      <c r="N1" s="337" t="s">
        <v>5</v>
      </c>
      <c r="Q1" s="90"/>
      <c r="R1" s="90"/>
      <c r="S1" s="91"/>
      <c r="T1" s="90"/>
      <c r="U1" s="90"/>
      <c r="V1" s="90"/>
      <c r="W1" s="90"/>
      <c r="X1" s="90"/>
      <c r="Y1" s="90"/>
      <c r="Z1" s="90"/>
      <c r="AA1" s="90"/>
      <c r="AB1" s="90"/>
    </row>
    <row r="2">
      <c r="A2" s="337"/>
      <c r="B2" s="337" t="s">
        <v>7</v>
      </c>
      <c r="C2" s="337" t="s">
        <v>8</v>
      </c>
      <c r="D2" s="337" t="s">
        <v>9</v>
      </c>
      <c r="E2" s="337" t="s">
        <v>7</v>
      </c>
      <c r="F2" s="337" t="s">
        <v>8</v>
      </c>
      <c r="G2" s="337" t="s">
        <v>9</v>
      </c>
      <c r="H2" s="337" t="s">
        <v>7</v>
      </c>
      <c r="I2" s="337" t="s">
        <v>8</v>
      </c>
      <c r="J2" s="337" t="s">
        <v>9</v>
      </c>
      <c r="K2" s="337" t="s">
        <v>7</v>
      </c>
      <c r="L2" s="338" t="s">
        <v>8</v>
      </c>
      <c r="M2" s="337" t="s">
        <v>9</v>
      </c>
      <c r="N2" s="337" t="s">
        <v>7</v>
      </c>
      <c r="O2" s="339" t="s">
        <v>8</v>
      </c>
      <c r="P2" s="337" t="s">
        <v>9</v>
      </c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>
      <c r="A3" s="340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2"/>
      <c r="P3" s="341"/>
      <c r="S3" s="94"/>
    </row>
    <row r="4">
      <c r="A4" s="340" t="s">
        <v>13</v>
      </c>
      <c r="B4" s="359">
        <f t="shared" ref="B4:G4" si="1">B5+B36+B67</f>
        <v>1339</v>
      </c>
      <c r="C4" s="359">
        <f t="shared" si="1"/>
        <v>2850</v>
      </c>
      <c r="D4" s="343">
        <f t="shared" si="1"/>
        <v>-1317</v>
      </c>
      <c r="E4" s="359">
        <f t="shared" si="1"/>
        <v>827</v>
      </c>
      <c r="F4" s="359">
        <f t="shared" si="1"/>
        <v>540</v>
      </c>
      <c r="G4" s="359">
        <f t="shared" si="1"/>
        <v>150</v>
      </c>
      <c r="H4" s="360">
        <f t="shared" ref="H4:I4" si="2">H5+H36+H67+H98</f>
        <v>240450.97</v>
      </c>
      <c r="I4" s="361">
        <f t="shared" si="2"/>
        <v>300000</v>
      </c>
      <c r="J4" s="344">
        <f>J5+J36+J67</f>
        <v>-59747.73</v>
      </c>
      <c r="K4" s="181">
        <f t="shared" ref="K4:K98" si="4">E4/B4</f>
        <v>0.6176250934</v>
      </c>
      <c r="L4" s="362">
        <v>0.5</v>
      </c>
      <c r="M4" s="363">
        <f>K4-L4</f>
        <v>0.1176250934</v>
      </c>
      <c r="N4" s="360">
        <f t="shared" ref="N4:N5" si="5">H4/E4</f>
        <v>290.7508706</v>
      </c>
      <c r="O4" s="364">
        <v>250.0</v>
      </c>
      <c r="P4" s="344">
        <f t="shared" ref="P4:P128" si="6">N4-O4</f>
        <v>40.75087062</v>
      </c>
      <c r="S4" s="94"/>
    </row>
    <row r="5" outlineLevel="1" collapsed="1">
      <c r="A5" s="100" t="s">
        <v>59</v>
      </c>
      <c r="B5" s="100">
        <f>SUM(B6:B35)</f>
        <v>373</v>
      </c>
      <c r="C5" s="100">
        <v>1200.0</v>
      </c>
      <c r="D5" s="100">
        <f t="shared" ref="D5:J5" si="3">SUM(D6:D35)</f>
        <v>-727</v>
      </c>
      <c r="E5" s="100">
        <f t="shared" si="3"/>
        <v>276</v>
      </c>
      <c r="F5" s="100">
        <f t="shared" si="3"/>
        <v>270</v>
      </c>
      <c r="G5" s="100">
        <f t="shared" si="3"/>
        <v>6</v>
      </c>
      <c r="H5" s="102">
        <f t="shared" si="3"/>
        <v>82860.68</v>
      </c>
      <c r="I5" s="101">
        <f t="shared" si="3"/>
        <v>100000</v>
      </c>
      <c r="J5" s="102">
        <f t="shared" si="3"/>
        <v>-17139.32</v>
      </c>
      <c r="K5" s="181">
        <f t="shared" si="4"/>
        <v>0.7399463807</v>
      </c>
      <c r="L5" s="103">
        <v>0.7</v>
      </c>
      <c r="M5" s="103">
        <f t="shared" ref="M5:M128" si="7">L5-K5</f>
        <v>-0.0399463807</v>
      </c>
      <c r="N5" s="102">
        <f t="shared" si="5"/>
        <v>300.2198551</v>
      </c>
      <c r="O5" s="104">
        <v>250.0</v>
      </c>
      <c r="P5" s="102">
        <f t="shared" si="6"/>
        <v>50.21985507</v>
      </c>
    </row>
    <row r="6" hidden="1" outlineLevel="2">
      <c r="A6" s="105">
        <v>45962.0</v>
      </c>
      <c r="B6" s="106">
        <v>4.0</v>
      </c>
      <c r="C6" s="107">
        <v>28.0</v>
      </c>
      <c r="D6" s="107">
        <f t="shared" ref="D6:D35" si="8">B6-C6</f>
        <v>-24</v>
      </c>
      <c r="E6" s="106">
        <v>3.0</v>
      </c>
      <c r="F6" s="107">
        <v>6.0</v>
      </c>
      <c r="G6" s="107">
        <f t="shared" ref="G6:G35" si="9">E6-F6</f>
        <v>-3</v>
      </c>
      <c r="H6" s="108">
        <v>264.31</v>
      </c>
      <c r="I6" s="109">
        <v>0.0</v>
      </c>
      <c r="J6" s="109">
        <f t="shared" ref="J6:J35" si="10">H6-I6</f>
        <v>264.31</v>
      </c>
      <c r="K6" s="181">
        <f t="shared" si="4"/>
        <v>0.75</v>
      </c>
      <c r="L6" s="111">
        <v>0.0</v>
      </c>
      <c r="M6" s="111">
        <f t="shared" si="7"/>
        <v>-0.75</v>
      </c>
      <c r="N6" s="191">
        <f t="shared" ref="N6:N35" si="11">IFERROR(H6/E6,"")</f>
        <v>88.10333333</v>
      </c>
      <c r="O6" s="112"/>
      <c r="P6" s="109">
        <f t="shared" si="6"/>
        <v>88.10333333</v>
      </c>
      <c r="R6" s="113" t="s">
        <v>60</v>
      </c>
    </row>
    <row r="7" hidden="1" outlineLevel="2">
      <c r="A7" s="105">
        <v>45963.0</v>
      </c>
      <c r="B7" s="106"/>
      <c r="C7" s="107">
        <v>0.0</v>
      </c>
      <c r="D7" s="107">
        <f t="shared" si="8"/>
        <v>0</v>
      </c>
      <c r="E7" s="106">
        <v>0.0</v>
      </c>
      <c r="F7" s="107">
        <v>0.0</v>
      </c>
      <c r="G7" s="107">
        <f t="shared" si="9"/>
        <v>0</v>
      </c>
      <c r="H7" s="108">
        <v>0.0</v>
      </c>
      <c r="I7" s="109">
        <v>0.0</v>
      </c>
      <c r="J7" s="109">
        <f t="shared" si="10"/>
        <v>0</v>
      </c>
      <c r="K7" s="181" t="str">
        <f t="shared" si="4"/>
        <v>#DIV/0!</v>
      </c>
      <c r="L7" s="111">
        <v>0.0</v>
      </c>
      <c r="M7" s="114" t="str">
        <f t="shared" si="7"/>
        <v>#DIV/0!</v>
      </c>
      <c r="N7" s="191" t="str">
        <f t="shared" si="11"/>
        <v/>
      </c>
      <c r="O7" s="112"/>
      <c r="P7" s="109">
        <f t="shared" si="6"/>
        <v>0</v>
      </c>
      <c r="R7" s="115" t="s">
        <v>136</v>
      </c>
    </row>
    <row r="8" hidden="1" outlineLevel="2">
      <c r="A8" s="105">
        <v>45964.0</v>
      </c>
      <c r="B8" s="106">
        <v>34.0</v>
      </c>
      <c r="C8" s="107">
        <v>48.0</v>
      </c>
      <c r="D8" s="107">
        <f t="shared" si="8"/>
        <v>-14</v>
      </c>
      <c r="E8" s="106">
        <v>22.0</v>
      </c>
      <c r="F8" s="107">
        <v>12.0</v>
      </c>
      <c r="G8" s="107">
        <f t="shared" si="9"/>
        <v>10</v>
      </c>
      <c r="H8" s="108">
        <v>6123.3</v>
      </c>
      <c r="I8" s="109">
        <v>5000.0</v>
      </c>
      <c r="J8" s="109">
        <f t="shared" si="10"/>
        <v>1123.3</v>
      </c>
      <c r="K8" s="181">
        <f t="shared" si="4"/>
        <v>0.6470588235</v>
      </c>
      <c r="L8" s="111">
        <v>0.7</v>
      </c>
      <c r="M8" s="111">
        <f t="shared" si="7"/>
        <v>0.05294117647</v>
      </c>
      <c r="N8" s="191">
        <f t="shared" si="11"/>
        <v>278.3318182</v>
      </c>
      <c r="O8" s="112">
        <v>250.0</v>
      </c>
      <c r="P8" s="109">
        <f t="shared" si="6"/>
        <v>28.33181818</v>
      </c>
      <c r="R8" s="113" t="s">
        <v>8</v>
      </c>
      <c r="S8" s="116">
        <v>100000.0</v>
      </c>
    </row>
    <row r="9" hidden="1" outlineLevel="2">
      <c r="A9" s="105">
        <v>45965.0</v>
      </c>
      <c r="B9" s="106">
        <v>27.0</v>
      </c>
      <c r="C9" s="107">
        <v>48.0</v>
      </c>
      <c r="D9" s="107">
        <f t="shared" si="8"/>
        <v>-21</v>
      </c>
      <c r="E9" s="106">
        <v>18.0</v>
      </c>
      <c r="F9" s="107">
        <v>12.0</v>
      </c>
      <c r="G9" s="107">
        <f t="shared" si="9"/>
        <v>6</v>
      </c>
      <c r="H9" s="108">
        <v>4423.55</v>
      </c>
      <c r="I9" s="109">
        <v>5000.0</v>
      </c>
      <c r="J9" s="109">
        <f t="shared" si="10"/>
        <v>-576.45</v>
      </c>
      <c r="K9" s="181">
        <f t="shared" si="4"/>
        <v>0.6666666667</v>
      </c>
      <c r="L9" s="111">
        <v>0.7</v>
      </c>
      <c r="M9" s="111">
        <f t="shared" si="7"/>
        <v>0.03333333333</v>
      </c>
      <c r="N9" s="191">
        <f t="shared" si="11"/>
        <v>245.7527778</v>
      </c>
      <c r="O9" s="112">
        <v>250.0</v>
      </c>
      <c r="P9" s="109">
        <f t="shared" si="6"/>
        <v>-4.247222222</v>
      </c>
      <c r="R9" s="113" t="s">
        <v>45</v>
      </c>
      <c r="S9" s="117">
        <f>S8/30</f>
        <v>3333.333333</v>
      </c>
    </row>
    <row r="10" hidden="1" outlineLevel="2">
      <c r="A10" s="105">
        <v>45966.0</v>
      </c>
      <c r="B10" s="106">
        <v>24.0</v>
      </c>
      <c r="C10" s="107">
        <v>48.0</v>
      </c>
      <c r="D10" s="107">
        <f t="shared" si="8"/>
        <v>-24</v>
      </c>
      <c r="E10" s="106">
        <v>18.0</v>
      </c>
      <c r="F10" s="107">
        <v>12.0</v>
      </c>
      <c r="G10" s="107">
        <f t="shared" si="9"/>
        <v>6</v>
      </c>
      <c r="H10" s="108">
        <v>3903.52</v>
      </c>
      <c r="I10" s="109">
        <v>5000.0</v>
      </c>
      <c r="J10" s="109">
        <f t="shared" si="10"/>
        <v>-1096.48</v>
      </c>
      <c r="K10" s="181">
        <f t="shared" si="4"/>
        <v>0.75</v>
      </c>
      <c r="L10" s="111">
        <v>0.7</v>
      </c>
      <c r="M10" s="111">
        <f t="shared" si="7"/>
        <v>-0.05</v>
      </c>
      <c r="N10" s="191">
        <f t="shared" si="11"/>
        <v>216.8622222</v>
      </c>
      <c r="O10" s="112">
        <v>250.0</v>
      </c>
      <c r="P10" s="109">
        <f t="shared" si="6"/>
        <v>-33.13777778</v>
      </c>
      <c r="R10" s="113" t="s">
        <v>46</v>
      </c>
      <c r="S10" s="117">
        <f>S8/20</f>
        <v>5000</v>
      </c>
    </row>
    <row r="11" hidden="1" outlineLevel="2">
      <c r="A11" s="105">
        <v>45967.0</v>
      </c>
      <c r="B11" s="106">
        <v>17.0</v>
      </c>
      <c r="C11" s="107">
        <v>48.0</v>
      </c>
      <c r="D11" s="107">
        <f t="shared" si="8"/>
        <v>-31</v>
      </c>
      <c r="E11" s="106">
        <v>12.0</v>
      </c>
      <c r="F11" s="107">
        <v>12.0</v>
      </c>
      <c r="G11" s="107">
        <f t="shared" si="9"/>
        <v>0</v>
      </c>
      <c r="H11" s="108">
        <v>2559.69</v>
      </c>
      <c r="I11" s="109">
        <v>5000.0</v>
      </c>
      <c r="J11" s="109">
        <f t="shared" si="10"/>
        <v>-2440.31</v>
      </c>
      <c r="K11" s="181">
        <f t="shared" si="4"/>
        <v>0.7058823529</v>
      </c>
      <c r="L11" s="111">
        <v>0.7</v>
      </c>
      <c r="M11" s="111">
        <f t="shared" si="7"/>
        <v>-0.005882352941</v>
      </c>
      <c r="N11" s="191">
        <f t="shared" si="11"/>
        <v>213.3075</v>
      </c>
      <c r="O11" s="112">
        <v>250.0</v>
      </c>
      <c r="P11" s="109">
        <f t="shared" si="6"/>
        <v>-36.6925</v>
      </c>
      <c r="R11" s="113" t="s">
        <v>7</v>
      </c>
      <c r="S11" s="117">
        <f>H5</f>
        <v>82860.68</v>
      </c>
      <c r="T11" s="118">
        <f>S8-S11</f>
        <v>17139.32</v>
      </c>
    </row>
    <row r="12" hidden="1" outlineLevel="2">
      <c r="A12" s="105">
        <v>45968.0</v>
      </c>
      <c r="B12" s="106">
        <v>22.0</v>
      </c>
      <c r="C12" s="107">
        <v>48.0</v>
      </c>
      <c r="D12" s="107">
        <f t="shared" si="8"/>
        <v>-26</v>
      </c>
      <c r="E12" s="106">
        <v>17.0</v>
      </c>
      <c r="F12" s="107">
        <v>12.0</v>
      </c>
      <c r="G12" s="107">
        <f t="shared" si="9"/>
        <v>5</v>
      </c>
      <c r="H12" s="108">
        <v>4582.33</v>
      </c>
      <c r="I12" s="109">
        <v>5000.0</v>
      </c>
      <c r="J12" s="109">
        <f t="shared" si="10"/>
        <v>-417.67</v>
      </c>
      <c r="K12" s="181">
        <f t="shared" si="4"/>
        <v>0.7727272727</v>
      </c>
      <c r="L12" s="111">
        <v>0.7</v>
      </c>
      <c r="M12" s="111">
        <f t="shared" si="7"/>
        <v>-0.07272727273</v>
      </c>
      <c r="N12" s="191">
        <f t="shared" si="11"/>
        <v>269.5488235</v>
      </c>
      <c r="O12" s="112">
        <v>250.0</v>
      </c>
      <c r="P12" s="109">
        <f t="shared" si="6"/>
        <v>19.54882353</v>
      </c>
      <c r="R12" s="113" t="s">
        <v>47</v>
      </c>
      <c r="S12" s="119">
        <f>S11/S8</f>
        <v>0.8286068</v>
      </c>
    </row>
    <row r="13" hidden="1" outlineLevel="2">
      <c r="A13" s="105">
        <v>45969.0</v>
      </c>
      <c r="B13" s="106">
        <v>6.0</v>
      </c>
      <c r="C13" s="107">
        <v>28.0</v>
      </c>
      <c r="D13" s="107">
        <f t="shared" si="8"/>
        <v>-22</v>
      </c>
      <c r="E13" s="106">
        <v>5.0</v>
      </c>
      <c r="F13" s="107">
        <v>6.0</v>
      </c>
      <c r="G13" s="107">
        <f t="shared" si="9"/>
        <v>-1</v>
      </c>
      <c r="H13" s="108">
        <v>842.8</v>
      </c>
      <c r="I13" s="109">
        <v>0.0</v>
      </c>
      <c r="J13" s="109">
        <f t="shared" si="10"/>
        <v>842.8</v>
      </c>
      <c r="K13" s="181">
        <f t="shared" si="4"/>
        <v>0.8333333333</v>
      </c>
      <c r="L13" s="111">
        <v>0.0</v>
      </c>
      <c r="M13" s="111">
        <f t="shared" si="7"/>
        <v>-0.8333333333</v>
      </c>
      <c r="N13" s="191">
        <f t="shared" si="11"/>
        <v>168.56</v>
      </c>
      <c r="O13" s="112"/>
      <c r="P13" s="109">
        <f t="shared" si="6"/>
        <v>168.56</v>
      </c>
      <c r="R13" s="113" t="s">
        <v>48</v>
      </c>
      <c r="S13" s="120">
        <v>1.0</v>
      </c>
    </row>
    <row r="14" hidden="1" outlineLevel="2">
      <c r="A14" s="105">
        <v>45970.0</v>
      </c>
      <c r="B14" s="106"/>
      <c r="C14" s="107">
        <v>0.0</v>
      </c>
      <c r="D14" s="107">
        <f t="shared" si="8"/>
        <v>0</v>
      </c>
      <c r="E14" s="106">
        <v>0.0</v>
      </c>
      <c r="F14" s="107">
        <v>0.0</v>
      </c>
      <c r="G14" s="107">
        <f t="shared" si="9"/>
        <v>0</v>
      </c>
      <c r="H14" s="108">
        <v>0.0</v>
      </c>
      <c r="I14" s="109">
        <v>0.0</v>
      </c>
      <c r="J14" s="109">
        <f t="shared" si="10"/>
        <v>0</v>
      </c>
      <c r="K14" s="181" t="str">
        <f t="shared" si="4"/>
        <v>#DIV/0!</v>
      </c>
      <c r="L14" s="111">
        <v>0.0</v>
      </c>
      <c r="M14" s="114" t="str">
        <f t="shared" si="7"/>
        <v>#DIV/0!</v>
      </c>
      <c r="N14" s="191" t="str">
        <f t="shared" si="11"/>
        <v/>
      </c>
      <c r="O14" s="112"/>
      <c r="P14" s="109">
        <f t="shared" si="6"/>
        <v>0</v>
      </c>
      <c r="R14" s="113" t="s">
        <v>49</v>
      </c>
      <c r="S14" s="121">
        <f>(S8-S11)/S13</f>
        <v>17139.32</v>
      </c>
    </row>
    <row r="15" hidden="1" outlineLevel="2">
      <c r="A15" s="105">
        <v>45971.0</v>
      </c>
      <c r="B15" s="106">
        <v>22.0</v>
      </c>
      <c r="C15" s="107">
        <v>48.0</v>
      </c>
      <c r="D15" s="107">
        <f t="shared" si="8"/>
        <v>-26</v>
      </c>
      <c r="E15" s="106">
        <v>16.0</v>
      </c>
      <c r="F15" s="107">
        <v>12.0</v>
      </c>
      <c r="G15" s="107">
        <f t="shared" si="9"/>
        <v>4</v>
      </c>
      <c r="H15" s="108">
        <v>5120.54</v>
      </c>
      <c r="I15" s="109">
        <v>5000.0</v>
      </c>
      <c r="J15" s="109">
        <f t="shared" si="10"/>
        <v>120.54</v>
      </c>
      <c r="K15" s="181">
        <f t="shared" si="4"/>
        <v>0.7272727273</v>
      </c>
      <c r="L15" s="111">
        <v>0.7</v>
      </c>
      <c r="M15" s="111">
        <f t="shared" si="7"/>
        <v>-0.02727272727</v>
      </c>
      <c r="N15" s="191">
        <f t="shared" si="11"/>
        <v>320.03375</v>
      </c>
      <c r="O15" s="112">
        <v>250.0</v>
      </c>
      <c r="P15" s="109">
        <f t="shared" si="6"/>
        <v>70.03375</v>
      </c>
      <c r="R15" s="113" t="s">
        <v>50</v>
      </c>
      <c r="S15" s="122">
        <f>N5</f>
        <v>300.2198551</v>
      </c>
    </row>
    <row r="16" hidden="1" outlineLevel="2">
      <c r="A16" s="105">
        <v>45972.0</v>
      </c>
      <c r="B16" s="106">
        <v>18.0</v>
      </c>
      <c r="C16" s="107">
        <v>48.0</v>
      </c>
      <c r="D16" s="107">
        <f t="shared" si="8"/>
        <v>-30</v>
      </c>
      <c r="E16" s="106">
        <v>18.0</v>
      </c>
      <c r="F16" s="107">
        <v>12.0</v>
      </c>
      <c r="G16" s="107">
        <f t="shared" si="9"/>
        <v>6</v>
      </c>
      <c r="H16" s="108">
        <v>5362.7</v>
      </c>
      <c r="I16" s="109">
        <v>5000.0</v>
      </c>
      <c r="J16" s="109">
        <f t="shared" si="10"/>
        <v>362.7</v>
      </c>
      <c r="K16" s="181">
        <f t="shared" si="4"/>
        <v>1</v>
      </c>
      <c r="L16" s="111">
        <v>0.7</v>
      </c>
      <c r="M16" s="125">
        <f t="shared" si="7"/>
        <v>-0.3</v>
      </c>
      <c r="N16" s="191">
        <f t="shared" si="11"/>
        <v>297.9277778</v>
      </c>
      <c r="O16" s="126">
        <v>250.0</v>
      </c>
      <c r="P16" s="124">
        <f t="shared" si="6"/>
        <v>47.92777778</v>
      </c>
      <c r="R16" s="113" t="s">
        <v>51</v>
      </c>
      <c r="S16" s="128">
        <f>B5</f>
        <v>373</v>
      </c>
    </row>
    <row r="17" hidden="1" outlineLevel="2">
      <c r="A17" s="105">
        <v>45973.0</v>
      </c>
      <c r="B17" s="106">
        <v>22.0</v>
      </c>
      <c r="C17" s="107">
        <v>48.0</v>
      </c>
      <c r="D17" s="107">
        <f t="shared" si="8"/>
        <v>-26</v>
      </c>
      <c r="E17" s="106">
        <v>11.0</v>
      </c>
      <c r="F17" s="107">
        <v>12.0</v>
      </c>
      <c r="G17" s="107">
        <f t="shared" si="9"/>
        <v>-1</v>
      </c>
      <c r="H17" s="108">
        <v>4121.23</v>
      </c>
      <c r="I17" s="109">
        <v>5000.0</v>
      </c>
      <c r="J17" s="109">
        <f t="shared" si="10"/>
        <v>-878.77</v>
      </c>
      <c r="K17" s="181">
        <f t="shared" si="4"/>
        <v>0.5</v>
      </c>
      <c r="L17" s="111">
        <v>0.7</v>
      </c>
      <c r="M17" s="125">
        <f t="shared" si="7"/>
        <v>0.2</v>
      </c>
      <c r="N17" s="191">
        <f t="shared" si="11"/>
        <v>374.6572727</v>
      </c>
      <c r="O17" s="126">
        <v>250.0</v>
      </c>
      <c r="P17" s="124">
        <f t="shared" si="6"/>
        <v>124.6572727</v>
      </c>
      <c r="R17" s="113" t="s">
        <v>52</v>
      </c>
      <c r="S17" s="128">
        <f>E5</f>
        <v>276</v>
      </c>
    </row>
    <row r="18" hidden="1" outlineLevel="2">
      <c r="A18" s="105">
        <v>45974.0</v>
      </c>
      <c r="B18" s="106">
        <v>17.0</v>
      </c>
      <c r="C18" s="107">
        <v>48.0</v>
      </c>
      <c r="D18" s="107">
        <f t="shared" si="8"/>
        <v>-31</v>
      </c>
      <c r="E18" s="106">
        <v>19.0</v>
      </c>
      <c r="F18" s="107">
        <v>12.0</v>
      </c>
      <c r="G18" s="107">
        <f t="shared" si="9"/>
        <v>7</v>
      </c>
      <c r="H18" s="108">
        <v>5398.36</v>
      </c>
      <c r="I18" s="109">
        <v>5000.0</v>
      </c>
      <c r="J18" s="109">
        <f t="shared" si="10"/>
        <v>398.36</v>
      </c>
      <c r="K18" s="181">
        <f t="shared" si="4"/>
        <v>1.117647059</v>
      </c>
      <c r="L18" s="111">
        <v>0.7</v>
      </c>
      <c r="M18" s="125">
        <f t="shared" si="7"/>
        <v>-0.4176470588</v>
      </c>
      <c r="N18" s="191">
        <f t="shared" si="11"/>
        <v>284.1242105</v>
      </c>
      <c r="O18" s="126">
        <v>250.0</v>
      </c>
      <c r="P18" s="124">
        <f t="shared" si="6"/>
        <v>34.12421053</v>
      </c>
      <c r="R18" s="113" t="s">
        <v>4</v>
      </c>
      <c r="S18" s="119">
        <f>E5/B5</f>
        <v>0.7399463807</v>
      </c>
    </row>
    <row r="19" hidden="1" outlineLevel="2">
      <c r="A19" s="105">
        <v>45975.0</v>
      </c>
      <c r="B19" s="106">
        <v>8.0</v>
      </c>
      <c r="C19" s="107">
        <v>48.0</v>
      </c>
      <c r="D19" s="107">
        <f t="shared" si="8"/>
        <v>-40</v>
      </c>
      <c r="E19" s="106">
        <v>13.0</v>
      </c>
      <c r="F19" s="107">
        <v>12.0</v>
      </c>
      <c r="G19" s="107">
        <f t="shared" si="9"/>
        <v>1</v>
      </c>
      <c r="H19" s="108">
        <v>3660.71</v>
      </c>
      <c r="I19" s="109">
        <v>5000.0</v>
      </c>
      <c r="J19" s="124">
        <f t="shared" si="10"/>
        <v>-1339.29</v>
      </c>
      <c r="K19" s="181">
        <f t="shared" si="4"/>
        <v>1.625</v>
      </c>
      <c r="L19" s="111">
        <v>0.7</v>
      </c>
      <c r="M19" s="125">
        <f t="shared" si="7"/>
        <v>-0.925</v>
      </c>
      <c r="N19" s="191">
        <f t="shared" si="11"/>
        <v>281.5930769</v>
      </c>
      <c r="O19" s="126">
        <v>250.0</v>
      </c>
      <c r="P19" s="124">
        <f t="shared" si="6"/>
        <v>31.59307692</v>
      </c>
    </row>
    <row r="20" hidden="1" outlineLevel="2">
      <c r="A20" s="105">
        <v>45976.0</v>
      </c>
      <c r="B20" s="106"/>
      <c r="C20" s="123">
        <v>28.0</v>
      </c>
      <c r="D20" s="107">
        <f t="shared" si="8"/>
        <v>-28</v>
      </c>
      <c r="E20" s="106">
        <v>0.0</v>
      </c>
      <c r="F20" s="107">
        <v>6.0</v>
      </c>
      <c r="G20" s="107">
        <f t="shared" si="9"/>
        <v>-6</v>
      </c>
      <c r="H20" s="108">
        <v>0.0</v>
      </c>
      <c r="I20" s="109">
        <v>0.0</v>
      </c>
      <c r="J20" s="124">
        <f t="shared" si="10"/>
        <v>0</v>
      </c>
      <c r="K20" s="181" t="str">
        <f t="shared" si="4"/>
        <v>#DIV/0!</v>
      </c>
      <c r="L20" s="111">
        <v>0.0</v>
      </c>
      <c r="M20" s="129" t="str">
        <f t="shared" si="7"/>
        <v>#DIV/0!</v>
      </c>
      <c r="N20" s="191" t="str">
        <f t="shared" si="11"/>
        <v/>
      </c>
      <c r="O20" s="126"/>
      <c r="P20" s="124">
        <f t="shared" si="6"/>
        <v>0</v>
      </c>
    </row>
    <row r="21" hidden="1" outlineLevel="2">
      <c r="A21" s="105">
        <v>45977.0</v>
      </c>
      <c r="B21" s="106"/>
      <c r="C21" s="123">
        <v>0.0</v>
      </c>
      <c r="D21" s="107">
        <f t="shared" si="8"/>
        <v>0</v>
      </c>
      <c r="E21" s="106">
        <v>0.0</v>
      </c>
      <c r="F21" s="107">
        <v>0.0</v>
      </c>
      <c r="G21" s="107">
        <f t="shared" si="9"/>
        <v>0</v>
      </c>
      <c r="H21" s="108">
        <v>0.0</v>
      </c>
      <c r="I21" s="109">
        <v>0.0</v>
      </c>
      <c r="J21" s="124">
        <f t="shared" si="10"/>
        <v>0</v>
      </c>
      <c r="K21" s="181" t="str">
        <f t="shared" si="4"/>
        <v>#DIV/0!</v>
      </c>
      <c r="L21" s="111">
        <v>0.0</v>
      </c>
      <c r="M21" s="129" t="str">
        <f t="shared" si="7"/>
        <v>#DIV/0!</v>
      </c>
      <c r="N21" s="191" t="str">
        <f t="shared" si="11"/>
        <v/>
      </c>
      <c r="O21" s="126"/>
      <c r="P21" s="124">
        <f t="shared" si="6"/>
        <v>0</v>
      </c>
    </row>
    <row r="22" hidden="1" outlineLevel="2">
      <c r="A22" s="105">
        <v>45978.0</v>
      </c>
      <c r="B22" s="106">
        <v>15.0</v>
      </c>
      <c r="C22" s="123">
        <v>48.0</v>
      </c>
      <c r="D22" s="107">
        <f t="shared" si="8"/>
        <v>-33</v>
      </c>
      <c r="E22" s="106">
        <v>14.0</v>
      </c>
      <c r="F22" s="107">
        <v>12.0</v>
      </c>
      <c r="G22" s="107">
        <f t="shared" si="9"/>
        <v>2</v>
      </c>
      <c r="H22" s="108">
        <v>3659.78</v>
      </c>
      <c r="I22" s="109">
        <v>5000.0</v>
      </c>
      <c r="J22" s="124">
        <f t="shared" si="10"/>
        <v>-1340.22</v>
      </c>
      <c r="K22" s="181">
        <f t="shared" si="4"/>
        <v>0.9333333333</v>
      </c>
      <c r="L22" s="111">
        <v>0.7</v>
      </c>
      <c r="M22" s="125">
        <f t="shared" si="7"/>
        <v>-0.2333333333</v>
      </c>
      <c r="N22" s="191">
        <f t="shared" si="11"/>
        <v>261.4128571</v>
      </c>
      <c r="O22" s="126">
        <v>250.0</v>
      </c>
      <c r="P22" s="124">
        <f t="shared" si="6"/>
        <v>11.41285714</v>
      </c>
    </row>
    <row r="23" hidden="1" outlineLevel="2">
      <c r="A23" s="105">
        <v>45979.0</v>
      </c>
      <c r="B23" s="106">
        <v>14.0</v>
      </c>
      <c r="C23" s="123">
        <v>48.0</v>
      </c>
      <c r="D23" s="107">
        <f t="shared" si="8"/>
        <v>-34</v>
      </c>
      <c r="E23" s="106">
        <v>7.0</v>
      </c>
      <c r="F23" s="107">
        <v>12.0</v>
      </c>
      <c r="G23" s="107">
        <f t="shared" si="9"/>
        <v>-5</v>
      </c>
      <c r="H23" s="108">
        <v>1784.5</v>
      </c>
      <c r="I23" s="109">
        <v>5000.0</v>
      </c>
      <c r="J23" s="124">
        <f t="shared" si="10"/>
        <v>-3215.5</v>
      </c>
      <c r="K23" s="181">
        <f t="shared" si="4"/>
        <v>0.5</v>
      </c>
      <c r="L23" s="111">
        <v>0.7</v>
      </c>
      <c r="M23" s="125">
        <f t="shared" si="7"/>
        <v>0.2</v>
      </c>
      <c r="N23" s="191">
        <f t="shared" si="11"/>
        <v>254.9285714</v>
      </c>
      <c r="O23" s="126">
        <v>250.0</v>
      </c>
      <c r="P23" s="124">
        <f t="shared" si="6"/>
        <v>4.928571429</v>
      </c>
      <c r="S23" s="94"/>
    </row>
    <row r="24" hidden="1" outlineLevel="2">
      <c r="A24" s="105">
        <v>45980.0</v>
      </c>
      <c r="B24" s="106">
        <v>23.0</v>
      </c>
      <c r="C24" s="123">
        <v>48.0</v>
      </c>
      <c r="D24" s="107">
        <f t="shared" si="8"/>
        <v>-25</v>
      </c>
      <c r="E24" s="106">
        <v>22.0</v>
      </c>
      <c r="F24" s="107">
        <v>12.0</v>
      </c>
      <c r="G24" s="107">
        <f t="shared" si="9"/>
        <v>10</v>
      </c>
      <c r="H24" s="108">
        <v>5811.98</v>
      </c>
      <c r="I24" s="109">
        <v>5000.0</v>
      </c>
      <c r="J24" s="124">
        <f t="shared" si="10"/>
        <v>811.98</v>
      </c>
      <c r="K24" s="181">
        <f t="shared" si="4"/>
        <v>0.9565217391</v>
      </c>
      <c r="L24" s="111">
        <v>0.7</v>
      </c>
      <c r="M24" s="125">
        <f t="shared" si="7"/>
        <v>-0.2565217391</v>
      </c>
      <c r="N24" s="191">
        <f t="shared" si="11"/>
        <v>264.1809091</v>
      </c>
      <c r="O24" s="126">
        <v>250.0</v>
      </c>
      <c r="P24" s="124">
        <f t="shared" si="6"/>
        <v>14.18090909</v>
      </c>
      <c r="S24" s="94"/>
    </row>
    <row r="25" hidden="1" outlineLevel="2">
      <c r="A25" s="105">
        <v>45981.0</v>
      </c>
      <c r="B25" s="106">
        <v>7.0</v>
      </c>
      <c r="C25" s="123">
        <v>48.0</v>
      </c>
      <c r="D25" s="107">
        <f t="shared" si="8"/>
        <v>-41</v>
      </c>
      <c r="E25" s="106">
        <v>4.0</v>
      </c>
      <c r="F25" s="107">
        <v>12.0</v>
      </c>
      <c r="G25" s="107">
        <f t="shared" si="9"/>
        <v>-8</v>
      </c>
      <c r="H25" s="108">
        <v>977.07</v>
      </c>
      <c r="I25" s="109">
        <v>5000.0</v>
      </c>
      <c r="J25" s="124">
        <f t="shared" si="10"/>
        <v>-4022.93</v>
      </c>
      <c r="K25" s="181">
        <f t="shared" si="4"/>
        <v>0.5714285714</v>
      </c>
      <c r="L25" s="111">
        <v>0.7</v>
      </c>
      <c r="M25" s="125">
        <f t="shared" si="7"/>
        <v>0.1285714286</v>
      </c>
      <c r="N25" s="191">
        <f t="shared" si="11"/>
        <v>244.2675</v>
      </c>
      <c r="O25" s="126">
        <v>250.0</v>
      </c>
      <c r="P25" s="124">
        <f t="shared" si="6"/>
        <v>-5.7325</v>
      </c>
      <c r="S25" s="94"/>
    </row>
    <row r="26" hidden="1" outlineLevel="2">
      <c r="A26" s="105">
        <v>45982.0</v>
      </c>
      <c r="B26" s="106">
        <v>8.0</v>
      </c>
      <c r="C26" s="123">
        <v>48.0</v>
      </c>
      <c r="D26" s="107">
        <f t="shared" si="8"/>
        <v>-40</v>
      </c>
      <c r="E26" s="106"/>
      <c r="F26" s="107">
        <v>12.0</v>
      </c>
      <c r="G26" s="107">
        <f t="shared" si="9"/>
        <v>-12</v>
      </c>
      <c r="H26" s="108">
        <v>2850.7</v>
      </c>
      <c r="I26" s="109">
        <v>5000.0</v>
      </c>
      <c r="J26" s="124">
        <f t="shared" si="10"/>
        <v>-2149.3</v>
      </c>
      <c r="K26" s="181">
        <f t="shared" si="4"/>
        <v>0</v>
      </c>
      <c r="L26" s="111">
        <v>0.7</v>
      </c>
      <c r="M26" s="125">
        <f t="shared" si="7"/>
        <v>0.7</v>
      </c>
      <c r="N26" s="191" t="str">
        <f t="shared" si="11"/>
        <v/>
      </c>
      <c r="O26" s="126">
        <v>250.0</v>
      </c>
      <c r="P26" s="124">
        <f t="shared" si="6"/>
        <v>-250</v>
      </c>
      <c r="S26" s="94"/>
    </row>
    <row r="27" hidden="1" outlineLevel="2">
      <c r="A27" s="105">
        <v>45983.0</v>
      </c>
      <c r="B27" s="106">
        <v>1.0</v>
      </c>
      <c r="C27" s="123">
        <v>28.0</v>
      </c>
      <c r="D27" s="107">
        <f t="shared" si="8"/>
        <v>-27</v>
      </c>
      <c r="E27" s="106"/>
      <c r="F27" s="107">
        <v>6.0</v>
      </c>
      <c r="G27" s="107">
        <f t="shared" si="9"/>
        <v>-6</v>
      </c>
      <c r="H27" s="108">
        <v>1151.94</v>
      </c>
      <c r="I27" s="109">
        <v>0.0</v>
      </c>
      <c r="J27" s="124">
        <f t="shared" si="10"/>
        <v>1151.94</v>
      </c>
      <c r="K27" s="181">
        <f t="shared" si="4"/>
        <v>0</v>
      </c>
      <c r="L27" s="111">
        <v>0.0</v>
      </c>
      <c r="M27" s="125">
        <f t="shared" si="7"/>
        <v>0</v>
      </c>
      <c r="N27" s="191" t="str">
        <f t="shared" si="11"/>
        <v/>
      </c>
      <c r="O27" s="126"/>
      <c r="P27" s="124">
        <f t="shared" si="6"/>
        <v>0</v>
      </c>
      <c r="S27" s="94"/>
    </row>
    <row r="28" hidden="1" outlineLevel="2">
      <c r="A28" s="105">
        <v>45984.0</v>
      </c>
      <c r="B28" s="106"/>
      <c r="C28" s="123">
        <v>0.0</v>
      </c>
      <c r="D28" s="107">
        <f t="shared" si="8"/>
        <v>0</v>
      </c>
      <c r="E28" s="106">
        <v>0.0</v>
      </c>
      <c r="F28" s="107">
        <v>0.0</v>
      </c>
      <c r="G28" s="107">
        <f t="shared" si="9"/>
        <v>0</v>
      </c>
      <c r="H28" s="108">
        <v>0.0</v>
      </c>
      <c r="I28" s="109">
        <v>0.0</v>
      </c>
      <c r="J28" s="124">
        <f t="shared" si="10"/>
        <v>0</v>
      </c>
      <c r="K28" s="181" t="str">
        <f t="shared" si="4"/>
        <v>#DIV/0!</v>
      </c>
      <c r="L28" s="111">
        <v>0.0</v>
      </c>
      <c r="M28" s="129" t="str">
        <f t="shared" si="7"/>
        <v>#DIV/0!</v>
      </c>
      <c r="N28" s="191" t="str">
        <f t="shared" si="11"/>
        <v/>
      </c>
      <c r="O28" s="126"/>
      <c r="P28" s="124">
        <f t="shared" si="6"/>
        <v>0</v>
      </c>
      <c r="S28" s="94"/>
    </row>
    <row r="29" hidden="1" outlineLevel="2">
      <c r="A29" s="105">
        <v>45985.0</v>
      </c>
      <c r="B29" s="106">
        <v>9.0</v>
      </c>
      <c r="C29" s="123">
        <v>48.0</v>
      </c>
      <c r="D29" s="107">
        <f t="shared" si="8"/>
        <v>-39</v>
      </c>
      <c r="E29" s="106"/>
      <c r="F29" s="107">
        <v>12.0</v>
      </c>
      <c r="G29" s="107">
        <f t="shared" si="9"/>
        <v>-12</v>
      </c>
      <c r="H29" s="108">
        <v>3964.73</v>
      </c>
      <c r="I29" s="109">
        <v>5000.0</v>
      </c>
      <c r="J29" s="124">
        <f t="shared" si="10"/>
        <v>-1035.27</v>
      </c>
      <c r="K29" s="181">
        <f t="shared" si="4"/>
        <v>0</v>
      </c>
      <c r="L29" s="111">
        <v>0.7</v>
      </c>
      <c r="M29" s="125">
        <f t="shared" si="7"/>
        <v>0.7</v>
      </c>
      <c r="N29" s="191" t="str">
        <f t="shared" si="11"/>
        <v/>
      </c>
      <c r="O29" s="126">
        <v>250.0</v>
      </c>
      <c r="P29" s="124">
        <f t="shared" si="6"/>
        <v>-250</v>
      </c>
      <c r="S29" s="94"/>
    </row>
    <row r="30" hidden="1" outlineLevel="2">
      <c r="A30" s="105">
        <v>45986.0</v>
      </c>
      <c r="B30" s="106">
        <v>9.0</v>
      </c>
      <c r="C30" s="123">
        <v>48.0</v>
      </c>
      <c r="D30" s="107">
        <f t="shared" si="8"/>
        <v>-39</v>
      </c>
      <c r="E30" s="106">
        <v>10.0</v>
      </c>
      <c r="F30" s="107">
        <v>12.0</v>
      </c>
      <c r="G30" s="107">
        <f t="shared" si="9"/>
        <v>-2</v>
      </c>
      <c r="H30" s="108">
        <v>3233.24</v>
      </c>
      <c r="I30" s="109">
        <v>5000.0</v>
      </c>
      <c r="J30" s="124">
        <f t="shared" si="10"/>
        <v>-1766.76</v>
      </c>
      <c r="K30" s="181">
        <f t="shared" si="4"/>
        <v>1.111111111</v>
      </c>
      <c r="L30" s="111">
        <v>0.7</v>
      </c>
      <c r="M30" s="125">
        <f t="shared" si="7"/>
        <v>-0.4111111111</v>
      </c>
      <c r="N30" s="191">
        <f t="shared" si="11"/>
        <v>323.324</v>
      </c>
      <c r="O30" s="126">
        <v>250.0</v>
      </c>
      <c r="P30" s="124">
        <f t="shared" si="6"/>
        <v>73.324</v>
      </c>
      <c r="S30" s="94"/>
    </row>
    <row r="31" hidden="1" outlineLevel="2">
      <c r="A31" s="105">
        <v>45987.0</v>
      </c>
      <c r="B31" s="106">
        <v>18.0</v>
      </c>
      <c r="C31" s="123">
        <v>48.0</v>
      </c>
      <c r="D31" s="107">
        <f t="shared" si="8"/>
        <v>-30</v>
      </c>
      <c r="E31" s="106">
        <v>13.0</v>
      </c>
      <c r="F31" s="107">
        <v>12.0</v>
      </c>
      <c r="G31" s="107">
        <f t="shared" si="9"/>
        <v>1</v>
      </c>
      <c r="H31" s="108">
        <v>3953.83</v>
      </c>
      <c r="I31" s="109">
        <v>5000.0</v>
      </c>
      <c r="J31" s="124">
        <f t="shared" si="10"/>
        <v>-1046.17</v>
      </c>
      <c r="K31" s="181">
        <f t="shared" si="4"/>
        <v>0.7222222222</v>
      </c>
      <c r="L31" s="111">
        <v>0.7</v>
      </c>
      <c r="M31" s="125">
        <f t="shared" si="7"/>
        <v>-0.02222222222</v>
      </c>
      <c r="N31" s="191">
        <f t="shared" si="11"/>
        <v>304.1407692</v>
      </c>
      <c r="O31" s="126">
        <v>250.0</v>
      </c>
      <c r="P31" s="124">
        <f t="shared" si="6"/>
        <v>54.14076923</v>
      </c>
      <c r="S31" s="94"/>
    </row>
    <row r="32" hidden="1" outlineLevel="2">
      <c r="A32" s="105">
        <v>45988.0</v>
      </c>
      <c r="B32" s="106">
        <v>20.0</v>
      </c>
      <c r="C32" s="123">
        <v>48.0</v>
      </c>
      <c r="D32" s="107">
        <f t="shared" si="8"/>
        <v>-28</v>
      </c>
      <c r="E32" s="106">
        <v>13.0</v>
      </c>
      <c r="F32" s="107">
        <v>12.0</v>
      </c>
      <c r="G32" s="107">
        <f t="shared" si="9"/>
        <v>1</v>
      </c>
      <c r="H32" s="108">
        <v>4588.69</v>
      </c>
      <c r="I32" s="109">
        <v>5000.0</v>
      </c>
      <c r="J32" s="124">
        <f t="shared" si="10"/>
        <v>-411.31</v>
      </c>
      <c r="K32" s="181">
        <f t="shared" si="4"/>
        <v>0.65</v>
      </c>
      <c r="L32" s="111">
        <v>0.7</v>
      </c>
      <c r="M32" s="125">
        <f t="shared" si="7"/>
        <v>0.05</v>
      </c>
      <c r="N32" s="191">
        <f t="shared" si="11"/>
        <v>352.9761538</v>
      </c>
      <c r="O32" s="126">
        <v>250.0</v>
      </c>
      <c r="P32" s="124">
        <f t="shared" si="6"/>
        <v>102.9761538</v>
      </c>
      <c r="S32" s="94"/>
    </row>
    <row r="33" hidden="1" outlineLevel="2">
      <c r="A33" s="105">
        <v>45989.0</v>
      </c>
      <c r="B33" s="106">
        <v>14.0</v>
      </c>
      <c r="C33" s="123">
        <v>48.0</v>
      </c>
      <c r="D33" s="107">
        <f t="shared" si="8"/>
        <v>-34</v>
      </c>
      <c r="E33" s="106">
        <v>13.0</v>
      </c>
      <c r="F33" s="107">
        <v>12.0</v>
      </c>
      <c r="G33" s="107">
        <f t="shared" si="9"/>
        <v>1</v>
      </c>
      <c r="H33" s="108">
        <v>3367.2</v>
      </c>
      <c r="I33" s="109">
        <v>5000.0</v>
      </c>
      <c r="J33" s="124">
        <f t="shared" si="10"/>
        <v>-1632.8</v>
      </c>
      <c r="K33" s="181">
        <f t="shared" si="4"/>
        <v>0.9285714286</v>
      </c>
      <c r="L33" s="111">
        <v>0.7</v>
      </c>
      <c r="M33" s="125">
        <f t="shared" si="7"/>
        <v>-0.2285714286</v>
      </c>
      <c r="N33" s="191">
        <f t="shared" si="11"/>
        <v>259.0153846</v>
      </c>
      <c r="O33" s="126">
        <v>250.0</v>
      </c>
      <c r="P33" s="124">
        <f t="shared" si="6"/>
        <v>9.015384615</v>
      </c>
      <c r="S33" s="94"/>
    </row>
    <row r="34" hidden="1" outlineLevel="2">
      <c r="A34" s="105">
        <v>45990.0</v>
      </c>
      <c r="B34" s="106">
        <v>14.0</v>
      </c>
      <c r="C34" s="123">
        <v>28.0</v>
      </c>
      <c r="D34" s="107">
        <f t="shared" si="8"/>
        <v>-14</v>
      </c>
      <c r="E34" s="106">
        <v>8.0</v>
      </c>
      <c r="F34" s="107">
        <v>6.0</v>
      </c>
      <c r="G34" s="107">
        <f t="shared" si="9"/>
        <v>2</v>
      </c>
      <c r="H34" s="108">
        <v>1153.98</v>
      </c>
      <c r="I34" s="109">
        <v>0.0</v>
      </c>
      <c r="J34" s="124">
        <f t="shared" si="10"/>
        <v>1153.98</v>
      </c>
      <c r="K34" s="181">
        <f t="shared" si="4"/>
        <v>0.5714285714</v>
      </c>
      <c r="L34" s="111">
        <v>0.0</v>
      </c>
      <c r="M34" s="125">
        <f t="shared" si="7"/>
        <v>-0.5714285714</v>
      </c>
      <c r="N34" s="191">
        <f t="shared" si="11"/>
        <v>144.2475</v>
      </c>
      <c r="O34" s="126"/>
      <c r="P34" s="124">
        <f t="shared" si="6"/>
        <v>144.2475</v>
      </c>
      <c r="S34" s="94"/>
    </row>
    <row r="35" hidden="1" outlineLevel="2">
      <c r="A35" s="105">
        <v>45991.0</v>
      </c>
      <c r="B35" s="106"/>
      <c r="C35" s="123">
        <v>0.0</v>
      </c>
      <c r="D35" s="107">
        <f t="shared" si="8"/>
        <v>0</v>
      </c>
      <c r="E35" s="106">
        <v>0.0</v>
      </c>
      <c r="F35" s="107">
        <v>0.0</v>
      </c>
      <c r="G35" s="107">
        <f t="shared" si="9"/>
        <v>0</v>
      </c>
      <c r="H35" s="108">
        <v>0.0</v>
      </c>
      <c r="I35" s="109">
        <v>0.0</v>
      </c>
      <c r="J35" s="124">
        <f t="shared" si="10"/>
        <v>0</v>
      </c>
      <c r="K35" s="181" t="str">
        <f t="shared" si="4"/>
        <v>#DIV/0!</v>
      </c>
      <c r="L35" s="111">
        <v>0.0</v>
      </c>
      <c r="M35" s="129" t="str">
        <f t="shared" si="7"/>
        <v>#DIV/0!</v>
      </c>
      <c r="N35" s="191" t="str">
        <f t="shared" si="11"/>
        <v/>
      </c>
      <c r="O35" s="126"/>
      <c r="P35" s="124">
        <f t="shared" si="6"/>
        <v>0</v>
      </c>
      <c r="S35" s="94"/>
    </row>
    <row r="36" outlineLevel="1" collapsed="1">
      <c r="A36" s="100" t="s">
        <v>61</v>
      </c>
      <c r="B36" s="100">
        <f>SUM(B37:B66)</f>
        <v>500</v>
      </c>
      <c r="C36" s="100">
        <v>1200.0</v>
      </c>
      <c r="D36" s="100">
        <f t="shared" ref="D36:J36" si="12">SUM(D37:D66)</f>
        <v>-572</v>
      </c>
      <c r="E36" s="100">
        <f t="shared" si="12"/>
        <v>414</v>
      </c>
      <c r="F36" s="100">
        <f t="shared" si="12"/>
        <v>270</v>
      </c>
      <c r="G36" s="100">
        <f t="shared" si="12"/>
        <v>144</v>
      </c>
      <c r="H36" s="102">
        <f t="shared" si="12"/>
        <v>125092.96</v>
      </c>
      <c r="I36" s="101">
        <f t="shared" si="12"/>
        <v>150000</v>
      </c>
      <c r="J36" s="102">
        <f t="shared" si="12"/>
        <v>-24907.04</v>
      </c>
      <c r="K36" s="181">
        <f t="shared" si="4"/>
        <v>0.828</v>
      </c>
      <c r="L36" s="103">
        <v>0.7</v>
      </c>
      <c r="M36" s="103">
        <f t="shared" si="7"/>
        <v>-0.128</v>
      </c>
      <c r="N36" s="102">
        <f>H36/E36</f>
        <v>302.1569082</v>
      </c>
      <c r="O36" s="104">
        <v>250.0</v>
      </c>
      <c r="P36" s="102">
        <f t="shared" si="6"/>
        <v>52.15690821</v>
      </c>
      <c r="Q36" s="90"/>
      <c r="T36" s="90"/>
      <c r="U36" s="90"/>
      <c r="V36" s="90"/>
      <c r="W36" s="90"/>
      <c r="X36" s="90"/>
      <c r="Y36" s="90"/>
      <c r="Z36" s="90"/>
      <c r="AA36" s="90"/>
      <c r="AB36" s="90"/>
    </row>
    <row r="37" hidden="1" outlineLevel="2">
      <c r="A37" s="182">
        <v>45931.0</v>
      </c>
      <c r="B37" s="365">
        <v>3.0</v>
      </c>
      <c r="C37" s="107">
        <v>28.0</v>
      </c>
      <c r="D37" s="366">
        <f t="shared" ref="D37:D42" si="13">B37-C37</f>
        <v>-25</v>
      </c>
      <c r="E37" s="183">
        <v>2.0</v>
      </c>
      <c r="F37" s="107">
        <v>6.0</v>
      </c>
      <c r="G37" s="107">
        <f t="shared" ref="G37:G66" si="14">E37-F37</f>
        <v>-4</v>
      </c>
      <c r="H37" s="108">
        <v>284.22</v>
      </c>
      <c r="I37" s="109">
        <v>0.0</v>
      </c>
      <c r="J37" s="367">
        <f t="shared" ref="J37:J66" si="15">H37-I37</f>
        <v>284.22</v>
      </c>
      <c r="K37" s="181">
        <f t="shared" si="4"/>
        <v>0.6666666667</v>
      </c>
      <c r="L37" s="189">
        <v>0.0</v>
      </c>
      <c r="M37" s="368">
        <f t="shared" si="7"/>
        <v>-0.6666666667</v>
      </c>
      <c r="N37" s="191">
        <f t="shared" ref="N37:N128" si="16">IFERROR(H37/E37,"")</f>
        <v>142.11</v>
      </c>
      <c r="O37" s="204">
        <v>250.0</v>
      </c>
      <c r="P37" s="137">
        <f t="shared" si="6"/>
        <v>-107.89</v>
      </c>
      <c r="R37" s="267" t="s">
        <v>62</v>
      </c>
    </row>
    <row r="38" hidden="1" outlineLevel="2">
      <c r="A38" s="194">
        <v>45932.0</v>
      </c>
      <c r="B38" s="199"/>
      <c r="C38" s="107">
        <v>0.0</v>
      </c>
      <c r="D38" s="158">
        <f t="shared" si="13"/>
        <v>0</v>
      </c>
      <c r="E38" s="183">
        <v>0.0</v>
      </c>
      <c r="F38" s="107">
        <v>0.0</v>
      </c>
      <c r="G38" s="107">
        <f t="shared" si="14"/>
        <v>0</v>
      </c>
      <c r="H38" s="108">
        <v>0.0</v>
      </c>
      <c r="I38" s="109">
        <v>0.0</v>
      </c>
      <c r="J38" s="135">
        <f t="shared" si="15"/>
        <v>0</v>
      </c>
      <c r="K38" s="181" t="str">
        <f t="shared" si="4"/>
        <v>#DIV/0!</v>
      </c>
      <c r="L38" s="270">
        <v>0.0</v>
      </c>
      <c r="M38" s="369" t="str">
        <f t="shared" si="7"/>
        <v>#DIV/0!</v>
      </c>
      <c r="N38" s="191" t="str">
        <f t="shared" si="16"/>
        <v/>
      </c>
      <c r="O38" s="211">
        <v>250.0</v>
      </c>
      <c r="P38" s="135">
        <f t="shared" si="6"/>
        <v>-250</v>
      </c>
      <c r="R38" s="115" t="s">
        <v>12</v>
      </c>
    </row>
    <row r="39" hidden="1" outlineLevel="2">
      <c r="A39" s="182">
        <v>45933.0</v>
      </c>
      <c r="B39" s="365">
        <v>17.0</v>
      </c>
      <c r="C39" s="107">
        <v>48.0</v>
      </c>
      <c r="D39" s="366">
        <f t="shared" si="13"/>
        <v>-31</v>
      </c>
      <c r="E39" s="183">
        <v>13.0</v>
      </c>
      <c r="F39" s="107">
        <v>12.0</v>
      </c>
      <c r="G39" s="107">
        <f t="shared" si="14"/>
        <v>1</v>
      </c>
      <c r="H39" s="108">
        <v>7166.99</v>
      </c>
      <c r="I39" s="109">
        <v>7500.0</v>
      </c>
      <c r="J39" s="370">
        <f t="shared" si="15"/>
        <v>-333.01</v>
      </c>
      <c r="K39" s="181">
        <f t="shared" si="4"/>
        <v>0.7647058824</v>
      </c>
      <c r="L39" s="189">
        <v>0.7</v>
      </c>
      <c r="M39" s="371">
        <f t="shared" si="7"/>
        <v>-0.06470588235</v>
      </c>
      <c r="N39" s="191">
        <f t="shared" si="16"/>
        <v>551.3069231</v>
      </c>
      <c r="O39" s="192">
        <v>250.0</v>
      </c>
      <c r="P39" s="372">
        <f t="shared" si="6"/>
        <v>301.3069231</v>
      </c>
      <c r="R39" s="113" t="s">
        <v>8</v>
      </c>
      <c r="S39" s="116">
        <v>150000.0</v>
      </c>
      <c r="T39" s="118">
        <f>S39-S42</f>
        <v>24907.04</v>
      </c>
    </row>
    <row r="40" hidden="1" outlineLevel="2">
      <c r="A40" s="194">
        <v>45934.0</v>
      </c>
      <c r="B40" s="365">
        <v>28.0</v>
      </c>
      <c r="C40" s="107">
        <v>48.0</v>
      </c>
      <c r="D40" s="373">
        <f t="shared" si="13"/>
        <v>-20</v>
      </c>
      <c r="E40" s="183">
        <v>26.0</v>
      </c>
      <c r="F40" s="107">
        <v>12.0</v>
      </c>
      <c r="G40" s="107">
        <f t="shared" si="14"/>
        <v>14</v>
      </c>
      <c r="H40" s="108">
        <v>6265.25</v>
      </c>
      <c r="I40" s="109">
        <v>7500.0</v>
      </c>
      <c r="J40" s="370">
        <f t="shared" si="15"/>
        <v>-1234.75</v>
      </c>
      <c r="K40" s="181">
        <f t="shared" si="4"/>
        <v>0.9285714286</v>
      </c>
      <c r="L40" s="189">
        <v>0.7</v>
      </c>
      <c r="M40" s="374">
        <f t="shared" si="7"/>
        <v>-0.2285714286</v>
      </c>
      <c r="N40" s="191">
        <f t="shared" si="16"/>
        <v>240.9711538</v>
      </c>
      <c r="O40" s="197">
        <v>250.0</v>
      </c>
      <c r="P40" s="375">
        <f t="shared" si="6"/>
        <v>-9.028846154</v>
      </c>
      <c r="R40" s="113" t="s">
        <v>45</v>
      </c>
      <c r="S40" s="117">
        <f>S39/30</f>
        <v>5000</v>
      </c>
    </row>
    <row r="41" hidden="1" outlineLevel="2">
      <c r="A41" s="182">
        <v>45935.0</v>
      </c>
      <c r="B41" s="365">
        <v>23.0</v>
      </c>
      <c r="C41" s="107">
        <v>48.0</v>
      </c>
      <c r="D41" s="366">
        <f t="shared" si="13"/>
        <v>-25</v>
      </c>
      <c r="E41" s="183">
        <v>17.0</v>
      </c>
      <c r="F41" s="107">
        <v>12.0</v>
      </c>
      <c r="G41" s="107">
        <f t="shared" si="14"/>
        <v>5</v>
      </c>
      <c r="H41" s="108">
        <v>6577.09</v>
      </c>
      <c r="I41" s="109">
        <v>7500.0</v>
      </c>
      <c r="J41" s="372">
        <f t="shared" si="15"/>
        <v>-922.91</v>
      </c>
      <c r="K41" s="181">
        <f t="shared" si="4"/>
        <v>0.7391304348</v>
      </c>
      <c r="L41" s="189">
        <v>0.7</v>
      </c>
      <c r="M41" s="371">
        <f t="shared" si="7"/>
        <v>-0.03913043478</v>
      </c>
      <c r="N41" s="214">
        <f t="shared" si="16"/>
        <v>386.8876471</v>
      </c>
      <c r="O41" s="192">
        <v>250.0</v>
      </c>
      <c r="P41" s="372">
        <f t="shared" si="6"/>
        <v>136.8876471</v>
      </c>
      <c r="R41" s="113" t="s">
        <v>46</v>
      </c>
      <c r="S41" s="117">
        <f>S39/20</f>
        <v>7500</v>
      </c>
    </row>
    <row r="42" hidden="1" outlineLevel="2">
      <c r="A42" s="194">
        <v>45936.0</v>
      </c>
      <c r="B42" s="365">
        <v>18.0</v>
      </c>
      <c r="C42" s="107">
        <v>48.0</v>
      </c>
      <c r="D42" s="373">
        <f t="shared" si="13"/>
        <v>-30</v>
      </c>
      <c r="E42" s="183">
        <v>11.0</v>
      </c>
      <c r="F42" s="107">
        <v>12.0</v>
      </c>
      <c r="G42" s="107">
        <f t="shared" si="14"/>
        <v>-1</v>
      </c>
      <c r="H42" s="108">
        <v>5313.27</v>
      </c>
      <c r="I42" s="109">
        <v>7500.0</v>
      </c>
      <c r="J42" s="375">
        <f t="shared" si="15"/>
        <v>-2186.73</v>
      </c>
      <c r="K42" s="181">
        <f t="shared" si="4"/>
        <v>0.6111111111</v>
      </c>
      <c r="L42" s="189">
        <v>0.7</v>
      </c>
      <c r="M42" s="374">
        <f t="shared" si="7"/>
        <v>0.08888888889</v>
      </c>
      <c r="N42" s="191">
        <f t="shared" si="16"/>
        <v>483.0245455</v>
      </c>
      <c r="O42" s="197">
        <v>250.0</v>
      </c>
      <c r="P42" s="375">
        <f t="shared" si="6"/>
        <v>233.0245455</v>
      </c>
      <c r="R42" s="113" t="s">
        <v>7</v>
      </c>
      <c r="S42" s="117">
        <f>H36</f>
        <v>125092.96</v>
      </c>
    </row>
    <row r="43" hidden="1" outlineLevel="2">
      <c r="A43" s="182">
        <v>45937.0</v>
      </c>
      <c r="B43" s="365">
        <v>20.0</v>
      </c>
      <c r="C43" s="107">
        <v>48.0</v>
      </c>
      <c r="D43" s="366"/>
      <c r="E43" s="183">
        <v>13.0</v>
      </c>
      <c r="F43" s="107">
        <v>12.0</v>
      </c>
      <c r="G43" s="107">
        <f t="shared" si="14"/>
        <v>1</v>
      </c>
      <c r="H43" s="108">
        <v>3811.93</v>
      </c>
      <c r="I43" s="109">
        <v>7500.0</v>
      </c>
      <c r="J43" s="372">
        <f t="shared" si="15"/>
        <v>-3688.07</v>
      </c>
      <c r="K43" s="181">
        <f t="shared" si="4"/>
        <v>0.65</v>
      </c>
      <c r="L43" s="189">
        <v>0.7</v>
      </c>
      <c r="M43" s="371">
        <f t="shared" si="7"/>
        <v>0.05</v>
      </c>
      <c r="N43" s="191">
        <f t="shared" si="16"/>
        <v>293.2253846</v>
      </c>
      <c r="O43" s="192">
        <v>250.0</v>
      </c>
      <c r="P43" s="372">
        <f t="shared" si="6"/>
        <v>43.22538462</v>
      </c>
      <c r="R43" s="113" t="s">
        <v>47</v>
      </c>
      <c r="S43" s="119">
        <f>S42/S39</f>
        <v>0.8339530667</v>
      </c>
    </row>
    <row r="44" hidden="1" outlineLevel="2">
      <c r="A44" s="194">
        <v>45938.0</v>
      </c>
      <c r="B44" s="365">
        <v>6.0</v>
      </c>
      <c r="C44" s="107">
        <v>28.0</v>
      </c>
      <c r="D44" s="373">
        <f t="shared" ref="D44:D66" si="17">B44-C44</f>
        <v>-22</v>
      </c>
      <c r="E44" s="183">
        <v>6.0</v>
      </c>
      <c r="F44" s="107">
        <v>6.0</v>
      </c>
      <c r="G44" s="107">
        <f t="shared" si="14"/>
        <v>0</v>
      </c>
      <c r="H44" s="108">
        <v>3267.0</v>
      </c>
      <c r="I44" s="109">
        <v>0.0</v>
      </c>
      <c r="J44" s="135">
        <f t="shared" si="15"/>
        <v>3267</v>
      </c>
      <c r="K44" s="181">
        <f t="shared" si="4"/>
        <v>1</v>
      </c>
      <c r="L44" s="270">
        <v>0.0</v>
      </c>
      <c r="M44" s="369">
        <f t="shared" si="7"/>
        <v>-1</v>
      </c>
      <c r="N44" s="191">
        <f t="shared" si="16"/>
        <v>544.5</v>
      </c>
      <c r="O44" s="211">
        <v>250.0</v>
      </c>
      <c r="P44" s="135">
        <f t="shared" si="6"/>
        <v>294.5</v>
      </c>
      <c r="R44" s="113" t="s">
        <v>48</v>
      </c>
      <c r="S44" s="120">
        <v>3.0</v>
      </c>
    </row>
    <row r="45" hidden="1" outlineLevel="2">
      <c r="A45" s="182">
        <v>45939.0</v>
      </c>
      <c r="B45" s="199"/>
      <c r="C45" s="107">
        <v>0.0</v>
      </c>
      <c r="D45" s="159">
        <f t="shared" si="17"/>
        <v>0</v>
      </c>
      <c r="E45" s="183">
        <v>0.0</v>
      </c>
      <c r="F45" s="107">
        <v>0.0</v>
      </c>
      <c r="G45" s="107">
        <f t="shared" si="14"/>
        <v>0</v>
      </c>
      <c r="H45" s="108">
        <v>0.0</v>
      </c>
      <c r="I45" s="109">
        <v>0.0</v>
      </c>
      <c r="J45" s="137">
        <f t="shared" si="15"/>
        <v>0</v>
      </c>
      <c r="K45" s="181" t="str">
        <f t="shared" si="4"/>
        <v>#DIV/0!</v>
      </c>
      <c r="L45" s="189">
        <v>0.0</v>
      </c>
      <c r="M45" s="368" t="str">
        <f t="shared" si="7"/>
        <v>#DIV/0!</v>
      </c>
      <c r="N45" s="191" t="str">
        <f t="shared" si="16"/>
        <v/>
      </c>
      <c r="O45" s="204">
        <v>250.0</v>
      </c>
      <c r="P45" s="137">
        <f t="shared" si="6"/>
        <v>-250</v>
      </c>
      <c r="R45" s="113" t="s">
        <v>49</v>
      </c>
      <c r="S45" s="121">
        <f>(S39-S42)/S44</f>
        <v>8302.346667</v>
      </c>
    </row>
    <row r="46" hidden="1" outlineLevel="2">
      <c r="A46" s="194">
        <v>45940.0</v>
      </c>
      <c r="B46" s="365">
        <v>29.0</v>
      </c>
      <c r="C46" s="107">
        <v>48.0</v>
      </c>
      <c r="D46" s="373">
        <f t="shared" si="17"/>
        <v>-19</v>
      </c>
      <c r="E46" s="183">
        <v>23.0</v>
      </c>
      <c r="F46" s="107">
        <v>12.0</v>
      </c>
      <c r="G46" s="107">
        <f t="shared" si="14"/>
        <v>11</v>
      </c>
      <c r="H46" s="108">
        <v>7122.14</v>
      </c>
      <c r="I46" s="109">
        <v>7500.0</v>
      </c>
      <c r="J46" s="375">
        <f t="shared" si="15"/>
        <v>-377.86</v>
      </c>
      <c r="K46" s="181">
        <f t="shared" si="4"/>
        <v>0.7931034483</v>
      </c>
      <c r="L46" s="189">
        <v>0.7</v>
      </c>
      <c r="M46" s="374">
        <f t="shared" si="7"/>
        <v>-0.09310344828</v>
      </c>
      <c r="N46" s="191">
        <f t="shared" si="16"/>
        <v>309.6582609</v>
      </c>
      <c r="O46" s="197">
        <v>250.0</v>
      </c>
      <c r="P46" s="375">
        <f t="shared" si="6"/>
        <v>59.65826087</v>
      </c>
      <c r="R46" s="113" t="s">
        <v>50</v>
      </c>
      <c r="S46" s="122">
        <f>N36</f>
        <v>302.1569082</v>
      </c>
    </row>
    <row r="47" hidden="1" outlineLevel="2">
      <c r="A47" s="182">
        <v>45941.0</v>
      </c>
      <c r="B47" s="365">
        <v>20.0</v>
      </c>
      <c r="C47" s="107">
        <v>48.0</v>
      </c>
      <c r="D47" s="366">
        <f t="shared" si="17"/>
        <v>-28</v>
      </c>
      <c r="E47" s="183">
        <v>22.0</v>
      </c>
      <c r="F47" s="107">
        <v>12.0</v>
      </c>
      <c r="G47" s="107">
        <f t="shared" si="14"/>
        <v>10</v>
      </c>
      <c r="H47" s="108">
        <v>8043.89</v>
      </c>
      <c r="I47" s="109">
        <v>7500.0</v>
      </c>
      <c r="J47" s="375">
        <f t="shared" si="15"/>
        <v>543.89</v>
      </c>
      <c r="K47" s="181">
        <f t="shared" si="4"/>
        <v>1.1</v>
      </c>
      <c r="L47" s="189">
        <v>0.7</v>
      </c>
      <c r="M47" s="376">
        <f t="shared" si="7"/>
        <v>-0.4</v>
      </c>
      <c r="N47" s="191">
        <f t="shared" si="16"/>
        <v>365.6313636</v>
      </c>
      <c r="O47" s="377">
        <v>250.0</v>
      </c>
      <c r="P47" s="378">
        <f t="shared" si="6"/>
        <v>115.6313636</v>
      </c>
      <c r="R47" s="113" t="s">
        <v>51</v>
      </c>
      <c r="S47" s="128">
        <f>B36</f>
        <v>500</v>
      </c>
    </row>
    <row r="48" hidden="1" outlineLevel="2">
      <c r="A48" s="194">
        <v>45942.0</v>
      </c>
      <c r="B48" s="365">
        <v>22.0</v>
      </c>
      <c r="C48" s="107">
        <v>48.0</v>
      </c>
      <c r="D48" s="373">
        <f t="shared" si="17"/>
        <v>-26</v>
      </c>
      <c r="E48" s="183">
        <v>17.0</v>
      </c>
      <c r="F48" s="107">
        <v>12.0</v>
      </c>
      <c r="G48" s="107">
        <f t="shared" si="14"/>
        <v>5</v>
      </c>
      <c r="H48" s="108">
        <v>5664.96</v>
      </c>
      <c r="I48" s="109">
        <v>7500.0</v>
      </c>
      <c r="J48" s="375">
        <f t="shared" si="15"/>
        <v>-1835.04</v>
      </c>
      <c r="K48" s="181">
        <f t="shared" si="4"/>
        <v>0.7727272727</v>
      </c>
      <c r="L48" s="189">
        <v>0.7</v>
      </c>
      <c r="M48" s="379">
        <f t="shared" si="7"/>
        <v>-0.07272727273</v>
      </c>
      <c r="N48" s="214">
        <f t="shared" si="16"/>
        <v>333.2329412</v>
      </c>
      <c r="O48" s="380">
        <v>250.0</v>
      </c>
      <c r="P48" s="381">
        <f t="shared" si="6"/>
        <v>83.23294118</v>
      </c>
      <c r="R48" s="113" t="s">
        <v>52</v>
      </c>
      <c r="S48" s="128">
        <f>E36</f>
        <v>414</v>
      </c>
    </row>
    <row r="49" hidden="1" outlineLevel="2">
      <c r="A49" s="182">
        <v>45943.0</v>
      </c>
      <c r="B49" s="365">
        <v>26.0</v>
      </c>
      <c r="C49" s="107">
        <v>48.0</v>
      </c>
      <c r="D49" s="366">
        <f t="shared" si="17"/>
        <v>-22</v>
      </c>
      <c r="E49" s="183">
        <v>24.0</v>
      </c>
      <c r="F49" s="107">
        <v>12.0</v>
      </c>
      <c r="G49" s="107">
        <f t="shared" si="14"/>
        <v>12</v>
      </c>
      <c r="H49" s="108">
        <v>9232.62</v>
      </c>
      <c r="I49" s="109">
        <v>7500.0</v>
      </c>
      <c r="J49" s="372">
        <f t="shared" si="15"/>
        <v>1732.62</v>
      </c>
      <c r="K49" s="181">
        <f t="shared" si="4"/>
        <v>0.9230769231</v>
      </c>
      <c r="L49" s="189">
        <v>0.7</v>
      </c>
      <c r="M49" s="376">
        <f t="shared" si="7"/>
        <v>-0.2230769231</v>
      </c>
      <c r="N49" s="191">
        <f t="shared" si="16"/>
        <v>384.6925</v>
      </c>
      <c r="O49" s="377">
        <v>250.0</v>
      </c>
      <c r="P49" s="378">
        <f t="shared" si="6"/>
        <v>134.6925</v>
      </c>
      <c r="R49" s="113" t="s">
        <v>4</v>
      </c>
      <c r="S49" s="119">
        <f>E36/B36</f>
        <v>0.828</v>
      </c>
    </row>
    <row r="50" hidden="1" outlineLevel="2">
      <c r="A50" s="194">
        <v>45944.0</v>
      </c>
      <c r="B50" s="365">
        <v>15.0</v>
      </c>
      <c r="C50" s="107">
        <v>48.0</v>
      </c>
      <c r="D50" s="373">
        <f t="shared" si="17"/>
        <v>-33</v>
      </c>
      <c r="E50" s="183">
        <v>15.0</v>
      </c>
      <c r="F50" s="107">
        <v>12.0</v>
      </c>
      <c r="G50" s="107">
        <f t="shared" si="14"/>
        <v>3</v>
      </c>
      <c r="H50" s="108">
        <v>5782.96</v>
      </c>
      <c r="I50" s="109">
        <v>7500.0</v>
      </c>
      <c r="J50" s="381">
        <f t="shared" si="15"/>
        <v>-1717.04</v>
      </c>
      <c r="K50" s="181">
        <f t="shared" si="4"/>
        <v>1</v>
      </c>
      <c r="L50" s="189">
        <v>0.7</v>
      </c>
      <c r="M50" s="379">
        <f t="shared" si="7"/>
        <v>-0.3</v>
      </c>
      <c r="N50" s="191">
        <f t="shared" si="16"/>
        <v>385.5306667</v>
      </c>
      <c r="O50" s="380">
        <v>250.0</v>
      </c>
      <c r="P50" s="381">
        <f t="shared" si="6"/>
        <v>135.5306667</v>
      </c>
    </row>
    <row r="51" hidden="1" outlineLevel="2">
      <c r="A51" s="182">
        <v>45945.0</v>
      </c>
      <c r="B51" s="199"/>
      <c r="C51" s="123">
        <v>28.0</v>
      </c>
      <c r="D51" s="366">
        <f t="shared" si="17"/>
        <v>-28</v>
      </c>
      <c r="E51" s="183">
        <v>0.0</v>
      </c>
      <c r="F51" s="107">
        <v>6.0</v>
      </c>
      <c r="G51" s="107">
        <f t="shared" si="14"/>
        <v>-6</v>
      </c>
      <c r="H51" s="108">
        <v>0.0</v>
      </c>
      <c r="I51" s="109">
        <v>0.0</v>
      </c>
      <c r="J51" s="382">
        <f t="shared" si="15"/>
        <v>0</v>
      </c>
      <c r="K51" s="181" t="str">
        <f t="shared" si="4"/>
        <v>#DIV/0!</v>
      </c>
      <c r="L51" s="270">
        <v>0.0</v>
      </c>
      <c r="M51" s="383" t="str">
        <f t="shared" si="7"/>
        <v>#DIV/0!</v>
      </c>
      <c r="N51" s="191" t="str">
        <f t="shared" si="16"/>
        <v/>
      </c>
      <c r="O51" s="204">
        <v>250.0</v>
      </c>
      <c r="P51" s="382">
        <f t="shared" si="6"/>
        <v>-250</v>
      </c>
    </row>
    <row r="52" hidden="1" outlineLevel="2">
      <c r="A52" s="194">
        <v>45946.0</v>
      </c>
      <c r="B52" s="199"/>
      <c r="C52" s="123">
        <v>0.0</v>
      </c>
      <c r="D52" s="158">
        <f t="shared" si="17"/>
        <v>0</v>
      </c>
      <c r="E52" s="183">
        <v>0.0</v>
      </c>
      <c r="F52" s="107">
        <v>0.0</v>
      </c>
      <c r="G52" s="107">
        <f t="shared" si="14"/>
        <v>0</v>
      </c>
      <c r="H52" s="108">
        <v>0.0</v>
      </c>
      <c r="I52" s="109">
        <v>0.0</v>
      </c>
      <c r="J52" s="384">
        <f t="shared" si="15"/>
        <v>0</v>
      </c>
      <c r="K52" s="181" t="str">
        <f t="shared" si="4"/>
        <v>#DIV/0!</v>
      </c>
      <c r="L52" s="189">
        <v>0.0</v>
      </c>
      <c r="M52" s="385" t="str">
        <f t="shared" si="7"/>
        <v>#DIV/0!</v>
      </c>
      <c r="N52" s="191" t="str">
        <f t="shared" si="16"/>
        <v/>
      </c>
      <c r="O52" s="211">
        <v>250.0</v>
      </c>
      <c r="P52" s="384">
        <f t="shared" si="6"/>
        <v>-250</v>
      </c>
      <c r="S52" s="94"/>
    </row>
    <row r="53" hidden="1" outlineLevel="2">
      <c r="A53" s="182">
        <v>45947.0</v>
      </c>
      <c r="B53" s="365">
        <v>25.0</v>
      </c>
      <c r="C53" s="123">
        <v>48.0</v>
      </c>
      <c r="D53" s="366">
        <f t="shared" si="17"/>
        <v>-23</v>
      </c>
      <c r="E53" s="183">
        <v>30.0</v>
      </c>
      <c r="F53" s="107">
        <v>12.0</v>
      </c>
      <c r="G53" s="107">
        <f t="shared" si="14"/>
        <v>18</v>
      </c>
      <c r="H53" s="108">
        <v>7262.35</v>
      </c>
      <c r="I53" s="109">
        <v>7500.0</v>
      </c>
      <c r="J53" s="378">
        <f t="shared" si="15"/>
        <v>-237.65</v>
      </c>
      <c r="K53" s="181">
        <f t="shared" si="4"/>
        <v>1.2</v>
      </c>
      <c r="L53" s="189">
        <v>0.7</v>
      </c>
      <c r="M53" s="376">
        <f t="shared" si="7"/>
        <v>-0.5</v>
      </c>
      <c r="N53" s="191">
        <f t="shared" si="16"/>
        <v>242.0783333</v>
      </c>
      <c r="O53" s="377">
        <v>250.0</v>
      </c>
      <c r="P53" s="378">
        <f t="shared" si="6"/>
        <v>-7.921666667</v>
      </c>
      <c r="S53" s="94"/>
    </row>
    <row r="54" hidden="1" outlineLevel="2">
      <c r="A54" s="194">
        <v>45948.0</v>
      </c>
      <c r="B54" s="365">
        <v>24.0</v>
      </c>
      <c r="C54" s="123">
        <v>48.0</v>
      </c>
      <c r="D54" s="373">
        <f t="shared" si="17"/>
        <v>-24</v>
      </c>
      <c r="E54" s="183">
        <v>23.0</v>
      </c>
      <c r="F54" s="107">
        <v>12.0</v>
      </c>
      <c r="G54" s="107">
        <f t="shared" si="14"/>
        <v>11</v>
      </c>
      <c r="H54" s="108">
        <v>6583.8</v>
      </c>
      <c r="I54" s="109">
        <v>7500.0</v>
      </c>
      <c r="J54" s="378">
        <f t="shared" si="15"/>
        <v>-916.2</v>
      </c>
      <c r="K54" s="181">
        <f t="shared" si="4"/>
        <v>0.9583333333</v>
      </c>
      <c r="L54" s="189">
        <v>0.7</v>
      </c>
      <c r="M54" s="379">
        <f t="shared" si="7"/>
        <v>-0.2583333333</v>
      </c>
      <c r="N54" s="191">
        <f t="shared" si="16"/>
        <v>286.2521739</v>
      </c>
      <c r="O54" s="380">
        <v>250.0</v>
      </c>
      <c r="P54" s="381">
        <f t="shared" si="6"/>
        <v>36.25217391</v>
      </c>
      <c r="S54" s="94"/>
    </row>
    <row r="55" hidden="1" outlineLevel="2">
      <c r="A55" s="182">
        <v>45949.0</v>
      </c>
      <c r="B55" s="365">
        <v>33.0</v>
      </c>
      <c r="C55" s="123">
        <v>48.0</v>
      </c>
      <c r="D55" s="366">
        <f t="shared" si="17"/>
        <v>-15</v>
      </c>
      <c r="E55" s="183">
        <v>15.0</v>
      </c>
      <c r="F55" s="107">
        <v>12.0</v>
      </c>
      <c r="G55" s="107">
        <f t="shared" si="14"/>
        <v>3</v>
      </c>
      <c r="H55" s="108">
        <v>4529.94</v>
      </c>
      <c r="I55" s="109">
        <v>7500.0</v>
      </c>
      <c r="J55" s="378">
        <f t="shared" si="15"/>
        <v>-2970.06</v>
      </c>
      <c r="K55" s="181">
        <f t="shared" si="4"/>
        <v>0.4545454545</v>
      </c>
      <c r="L55" s="189">
        <v>0.7</v>
      </c>
      <c r="M55" s="376">
        <f t="shared" si="7"/>
        <v>0.2454545455</v>
      </c>
      <c r="N55" s="214">
        <f t="shared" si="16"/>
        <v>301.996</v>
      </c>
      <c r="O55" s="377">
        <v>250.0</v>
      </c>
      <c r="P55" s="378">
        <f t="shared" si="6"/>
        <v>51.996</v>
      </c>
      <c r="S55" s="94"/>
    </row>
    <row r="56" hidden="1" outlineLevel="2">
      <c r="A56" s="194">
        <v>45950.0</v>
      </c>
      <c r="B56" s="365">
        <v>9.0</v>
      </c>
      <c r="C56" s="123">
        <v>48.0</v>
      </c>
      <c r="D56" s="373">
        <f t="shared" si="17"/>
        <v>-39</v>
      </c>
      <c r="E56" s="183">
        <v>3.0</v>
      </c>
      <c r="F56" s="107">
        <v>12.0</v>
      </c>
      <c r="G56" s="107">
        <f t="shared" si="14"/>
        <v>-9</v>
      </c>
      <c r="H56" s="108">
        <v>770.54</v>
      </c>
      <c r="I56" s="109">
        <v>7500.0</v>
      </c>
      <c r="J56" s="378">
        <f t="shared" si="15"/>
        <v>-6729.46</v>
      </c>
      <c r="K56" s="181">
        <f t="shared" si="4"/>
        <v>0.3333333333</v>
      </c>
      <c r="L56" s="189">
        <v>0.7</v>
      </c>
      <c r="M56" s="379">
        <f t="shared" si="7"/>
        <v>0.3666666667</v>
      </c>
      <c r="N56" s="191">
        <f t="shared" si="16"/>
        <v>256.8466667</v>
      </c>
      <c r="O56" s="380">
        <v>250.0</v>
      </c>
      <c r="P56" s="381">
        <f t="shared" si="6"/>
        <v>6.846666667</v>
      </c>
      <c r="S56" s="94"/>
    </row>
    <row r="57" hidden="1" outlineLevel="2">
      <c r="A57" s="182">
        <v>45951.0</v>
      </c>
      <c r="B57" s="365">
        <v>15.0</v>
      </c>
      <c r="C57" s="123">
        <v>48.0</v>
      </c>
      <c r="D57" s="366">
        <f t="shared" si="17"/>
        <v>-33</v>
      </c>
      <c r="E57" s="183">
        <v>19.0</v>
      </c>
      <c r="F57" s="107">
        <v>12.0</v>
      </c>
      <c r="G57" s="107">
        <f t="shared" si="14"/>
        <v>7</v>
      </c>
      <c r="H57" s="108">
        <v>5266.26</v>
      </c>
      <c r="I57" s="109">
        <v>7500.0</v>
      </c>
      <c r="J57" s="378">
        <f t="shared" si="15"/>
        <v>-2233.74</v>
      </c>
      <c r="K57" s="181">
        <f t="shared" si="4"/>
        <v>1.266666667</v>
      </c>
      <c r="L57" s="189">
        <v>0.7</v>
      </c>
      <c r="M57" s="376">
        <f t="shared" si="7"/>
        <v>-0.5666666667</v>
      </c>
      <c r="N57" s="191">
        <f t="shared" si="16"/>
        <v>277.1715789</v>
      </c>
      <c r="O57" s="377">
        <v>250.0</v>
      </c>
      <c r="P57" s="378">
        <f t="shared" si="6"/>
        <v>27.17157895</v>
      </c>
      <c r="S57" s="94"/>
    </row>
    <row r="58" hidden="1" outlineLevel="2">
      <c r="A58" s="194">
        <v>45952.0</v>
      </c>
      <c r="B58" s="365">
        <v>5.0</v>
      </c>
      <c r="C58" s="123">
        <v>28.0</v>
      </c>
      <c r="D58" s="373">
        <f t="shared" si="17"/>
        <v>-23</v>
      </c>
      <c r="E58" s="183">
        <v>10.0</v>
      </c>
      <c r="F58" s="107">
        <v>6.0</v>
      </c>
      <c r="G58" s="107">
        <f t="shared" si="14"/>
        <v>4</v>
      </c>
      <c r="H58" s="108">
        <v>2504.97</v>
      </c>
      <c r="I58" s="109">
        <v>0.0</v>
      </c>
      <c r="J58" s="384">
        <f t="shared" si="15"/>
        <v>2504.97</v>
      </c>
      <c r="K58" s="181">
        <f t="shared" si="4"/>
        <v>2</v>
      </c>
      <c r="L58" s="270">
        <v>0.0</v>
      </c>
      <c r="M58" s="385">
        <f t="shared" si="7"/>
        <v>-2</v>
      </c>
      <c r="N58" s="191">
        <f t="shared" si="16"/>
        <v>250.497</v>
      </c>
      <c r="O58" s="211">
        <v>250.0</v>
      </c>
      <c r="P58" s="384">
        <f t="shared" si="6"/>
        <v>0.497</v>
      </c>
      <c r="S58" s="94"/>
    </row>
    <row r="59" hidden="1" outlineLevel="2">
      <c r="A59" s="182">
        <v>45953.0</v>
      </c>
      <c r="B59" s="199"/>
      <c r="C59" s="123">
        <v>0.0</v>
      </c>
      <c r="D59" s="159">
        <f t="shared" si="17"/>
        <v>0</v>
      </c>
      <c r="E59" s="183">
        <v>0.0</v>
      </c>
      <c r="F59" s="107">
        <v>0.0</v>
      </c>
      <c r="G59" s="107">
        <f t="shared" si="14"/>
        <v>0</v>
      </c>
      <c r="H59" s="108">
        <v>0.0</v>
      </c>
      <c r="I59" s="109">
        <v>0.0</v>
      </c>
      <c r="J59" s="382">
        <f t="shared" si="15"/>
        <v>0</v>
      </c>
      <c r="K59" s="181" t="str">
        <f t="shared" si="4"/>
        <v>#DIV/0!</v>
      </c>
      <c r="L59" s="189">
        <v>0.0</v>
      </c>
      <c r="M59" s="383" t="str">
        <f t="shared" si="7"/>
        <v>#DIV/0!</v>
      </c>
      <c r="N59" s="191" t="str">
        <f t="shared" si="16"/>
        <v/>
      </c>
      <c r="O59" s="204">
        <v>250.0</v>
      </c>
      <c r="P59" s="382">
        <f t="shared" si="6"/>
        <v>-250</v>
      </c>
      <c r="S59" s="94"/>
    </row>
    <row r="60" hidden="1" outlineLevel="2">
      <c r="A60" s="194">
        <v>45954.0</v>
      </c>
      <c r="B60" s="365">
        <v>25.0</v>
      </c>
      <c r="C60" s="123">
        <v>48.0</v>
      </c>
      <c r="D60" s="373">
        <f t="shared" si="17"/>
        <v>-23</v>
      </c>
      <c r="E60" s="183">
        <v>19.0</v>
      </c>
      <c r="F60" s="107">
        <v>12.0</v>
      </c>
      <c r="G60" s="107">
        <f t="shared" si="14"/>
        <v>7</v>
      </c>
      <c r="H60" s="108">
        <v>5625.72</v>
      </c>
      <c r="I60" s="109">
        <v>7500.0</v>
      </c>
      <c r="J60" s="381">
        <f t="shared" si="15"/>
        <v>-1874.28</v>
      </c>
      <c r="K60" s="181">
        <f t="shared" si="4"/>
        <v>0.76</v>
      </c>
      <c r="L60" s="189">
        <v>0.7</v>
      </c>
      <c r="M60" s="379">
        <f t="shared" si="7"/>
        <v>-0.06</v>
      </c>
      <c r="N60" s="191">
        <f t="shared" si="16"/>
        <v>296.0905263</v>
      </c>
      <c r="O60" s="380">
        <v>250.0</v>
      </c>
      <c r="P60" s="381">
        <f t="shared" si="6"/>
        <v>46.09052632</v>
      </c>
      <c r="S60" s="94"/>
    </row>
    <row r="61" hidden="1" outlineLevel="2">
      <c r="A61" s="182">
        <v>45955.0</v>
      </c>
      <c r="B61" s="365">
        <v>31.0</v>
      </c>
      <c r="C61" s="123">
        <v>48.0</v>
      </c>
      <c r="D61" s="366">
        <f t="shared" si="17"/>
        <v>-17</v>
      </c>
      <c r="E61" s="183">
        <v>24.0</v>
      </c>
      <c r="F61" s="107">
        <v>12.0</v>
      </c>
      <c r="G61" s="107">
        <f t="shared" si="14"/>
        <v>12</v>
      </c>
      <c r="H61" s="108">
        <v>4102.16</v>
      </c>
      <c r="I61" s="109">
        <v>7500.0</v>
      </c>
      <c r="J61" s="381">
        <f t="shared" si="15"/>
        <v>-3397.84</v>
      </c>
      <c r="K61" s="181">
        <f t="shared" si="4"/>
        <v>0.7741935484</v>
      </c>
      <c r="L61" s="189">
        <v>0.7</v>
      </c>
      <c r="M61" s="376">
        <f t="shared" si="7"/>
        <v>-0.07419354839</v>
      </c>
      <c r="N61" s="191">
        <f t="shared" si="16"/>
        <v>170.9233333</v>
      </c>
      <c r="O61" s="377">
        <v>250.0</v>
      </c>
      <c r="P61" s="378">
        <f t="shared" si="6"/>
        <v>-79.07666667</v>
      </c>
      <c r="S61" s="94"/>
    </row>
    <row r="62" hidden="1" outlineLevel="2">
      <c r="A62" s="194">
        <v>45956.0</v>
      </c>
      <c r="B62" s="365">
        <v>32.0</v>
      </c>
      <c r="C62" s="123">
        <v>48.0</v>
      </c>
      <c r="D62" s="373">
        <f t="shared" si="17"/>
        <v>-16</v>
      </c>
      <c r="E62" s="183">
        <v>21.0</v>
      </c>
      <c r="F62" s="107">
        <v>12.0</v>
      </c>
      <c r="G62" s="107">
        <f t="shared" si="14"/>
        <v>9</v>
      </c>
      <c r="H62" s="108">
        <v>5451.83</v>
      </c>
      <c r="I62" s="109">
        <v>7500.0</v>
      </c>
      <c r="J62" s="381">
        <f t="shared" si="15"/>
        <v>-2048.17</v>
      </c>
      <c r="K62" s="181">
        <f t="shared" si="4"/>
        <v>0.65625</v>
      </c>
      <c r="L62" s="189">
        <v>0.7</v>
      </c>
      <c r="M62" s="379">
        <f t="shared" si="7"/>
        <v>0.04375</v>
      </c>
      <c r="N62" s="214">
        <f t="shared" si="16"/>
        <v>259.6109524</v>
      </c>
      <c r="O62" s="380">
        <v>250.0</v>
      </c>
      <c r="P62" s="381">
        <f t="shared" si="6"/>
        <v>9.610952381</v>
      </c>
      <c r="S62" s="94"/>
    </row>
    <row r="63" hidden="1" outlineLevel="2">
      <c r="A63" s="182">
        <v>45957.0</v>
      </c>
      <c r="B63" s="365">
        <v>34.0</v>
      </c>
      <c r="C63" s="123">
        <v>48.0</v>
      </c>
      <c r="D63" s="366">
        <f t="shared" si="17"/>
        <v>-14</v>
      </c>
      <c r="E63" s="183">
        <v>28.0</v>
      </c>
      <c r="F63" s="107">
        <v>12.0</v>
      </c>
      <c r="G63" s="107">
        <f t="shared" si="14"/>
        <v>16</v>
      </c>
      <c r="H63" s="108">
        <v>6288.48</v>
      </c>
      <c r="I63" s="109">
        <v>7500.0</v>
      </c>
      <c r="J63" s="381">
        <f t="shared" si="15"/>
        <v>-1211.52</v>
      </c>
      <c r="K63" s="181">
        <f t="shared" si="4"/>
        <v>0.8235294118</v>
      </c>
      <c r="L63" s="189">
        <v>0.7</v>
      </c>
      <c r="M63" s="376">
        <f t="shared" si="7"/>
        <v>-0.1235294118</v>
      </c>
      <c r="N63" s="191">
        <f t="shared" si="16"/>
        <v>224.5885714</v>
      </c>
      <c r="O63" s="377">
        <v>250.0</v>
      </c>
      <c r="P63" s="378">
        <f t="shared" si="6"/>
        <v>-25.41142857</v>
      </c>
      <c r="S63" s="94"/>
    </row>
    <row r="64" hidden="1" outlineLevel="2">
      <c r="A64" s="194">
        <v>45958.0</v>
      </c>
      <c r="B64" s="365">
        <v>40.0</v>
      </c>
      <c r="C64" s="123">
        <v>48.0</v>
      </c>
      <c r="D64" s="373">
        <f t="shared" si="17"/>
        <v>-8</v>
      </c>
      <c r="E64" s="183">
        <v>26.0</v>
      </c>
      <c r="F64" s="107">
        <v>12.0</v>
      </c>
      <c r="G64" s="107">
        <f t="shared" si="14"/>
        <v>14</v>
      </c>
      <c r="H64" s="108">
        <v>7243.44</v>
      </c>
      <c r="I64" s="109">
        <v>7500.0</v>
      </c>
      <c r="J64" s="381">
        <f t="shared" si="15"/>
        <v>-256.56</v>
      </c>
      <c r="K64" s="181">
        <f t="shared" si="4"/>
        <v>0.65</v>
      </c>
      <c r="L64" s="189">
        <v>0.7</v>
      </c>
      <c r="M64" s="379">
        <f t="shared" si="7"/>
        <v>0.05</v>
      </c>
      <c r="N64" s="191">
        <f t="shared" si="16"/>
        <v>278.5938462</v>
      </c>
      <c r="O64" s="380">
        <v>250.0</v>
      </c>
      <c r="P64" s="381">
        <f t="shared" si="6"/>
        <v>28.59384615</v>
      </c>
      <c r="S64" s="94"/>
    </row>
    <row r="65" hidden="1" outlineLevel="2">
      <c r="A65" s="182">
        <v>45959.0</v>
      </c>
      <c r="B65" s="365">
        <v>0.0</v>
      </c>
      <c r="C65" s="123">
        <v>28.0</v>
      </c>
      <c r="D65" s="366">
        <f t="shared" si="17"/>
        <v>-28</v>
      </c>
      <c r="E65" s="183">
        <v>7.0</v>
      </c>
      <c r="F65" s="107">
        <v>6.0</v>
      </c>
      <c r="G65" s="107">
        <f t="shared" si="14"/>
        <v>1</v>
      </c>
      <c r="H65" s="108">
        <v>931.15</v>
      </c>
      <c r="I65" s="109">
        <v>0.0</v>
      </c>
      <c r="J65" s="382">
        <f t="shared" si="15"/>
        <v>931.15</v>
      </c>
      <c r="K65" s="181" t="str">
        <f t="shared" si="4"/>
        <v>#DIV/0!</v>
      </c>
      <c r="L65" s="270">
        <v>0.0</v>
      </c>
      <c r="M65" s="383" t="str">
        <f t="shared" si="7"/>
        <v>#DIV/0!</v>
      </c>
      <c r="N65" s="191">
        <f t="shared" si="16"/>
        <v>133.0214286</v>
      </c>
      <c r="O65" s="204">
        <v>250.0</v>
      </c>
      <c r="P65" s="382">
        <f t="shared" si="6"/>
        <v>-116.9785714</v>
      </c>
      <c r="S65" s="94"/>
    </row>
    <row r="66" hidden="1" outlineLevel="2">
      <c r="A66" s="194">
        <v>45960.0</v>
      </c>
      <c r="B66" s="199"/>
      <c r="C66" s="123">
        <v>0.0</v>
      </c>
      <c r="D66" s="158">
        <f t="shared" si="17"/>
        <v>0</v>
      </c>
      <c r="E66" s="183">
        <v>0.0</v>
      </c>
      <c r="F66" s="107">
        <v>0.0</v>
      </c>
      <c r="G66" s="107">
        <f t="shared" si="14"/>
        <v>0</v>
      </c>
      <c r="H66" s="108">
        <v>0.0</v>
      </c>
      <c r="I66" s="109">
        <v>0.0</v>
      </c>
      <c r="J66" s="384">
        <f t="shared" si="15"/>
        <v>0</v>
      </c>
      <c r="K66" s="181" t="str">
        <f t="shared" si="4"/>
        <v>#DIV/0!</v>
      </c>
      <c r="L66" s="189">
        <v>0.0</v>
      </c>
      <c r="M66" s="385" t="str">
        <f t="shared" si="7"/>
        <v>#DIV/0!</v>
      </c>
      <c r="N66" s="191" t="str">
        <f t="shared" si="16"/>
        <v/>
      </c>
      <c r="O66" s="211">
        <v>250.0</v>
      </c>
      <c r="P66" s="384">
        <f t="shared" si="6"/>
        <v>-250</v>
      </c>
      <c r="S66" s="94"/>
    </row>
    <row r="67" outlineLevel="1" collapsed="1">
      <c r="A67" s="100" t="s">
        <v>63</v>
      </c>
      <c r="B67" s="100">
        <f t="shared" ref="B67:E67" si="18">SUM(B68:B97)</f>
        <v>466</v>
      </c>
      <c r="C67" s="100">
        <f t="shared" si="18"/>
        <v>450</v>
      </c>
      <c r="D67" s="100">
        <f t="shared" si="18"/>
        <v>-18</v>
      </c>
      <c r="E67" s="100">
        <f t="shared" si="18"/>
        <v>137</v>
      </c>
      <c r="F67" s="100"/>
      <c r="G67" s="100"/>
      <c r="H67" s="102">
        <f t="shared" ref="H67:J67" si="19">SUM(H68:H97)</f>
        <v>32298.63</v>
      </c>
      <c r="I67" s="102">
        <f t="shared" si="19"/>
        <v>50000</v>
      </c>
      <c r="J67" s="102">
        <f t="shared" si="19"/>
        <v>-17701.37</v>
      </c>
      <c r="K67" s="181">
        <f t="shared" si="4"/>
        <v>0.2939914163</v>
      </c>
      <c r="L67" s="103">
        <v>0.5</v>
      </c>
      <c r="M67" s="103">
        <f t="shared" si="7"/>
        <v>0.2060085837</v>
      </c>
      <c r="N67" s="102">
        <f t="shared" si="16"/>
        <v>235.7564234</v>
      </c>
      <c r="O67" s="104">
        <v>250.0</v>
      </c>
      <c r="P67" s="102">
        <f t="shared" si="6"/>
        <v>-14.24357664</v>
      </c>
      <c r="Q67" s="90"/>
      <c r="R67" s="90"/>
      <c r="S67" s="91"/>
      <c r="T67" s="90"/>
      <c r="U67" s="90"/>
      <c r="V67" s="90"/>
      <c r="W67" s="90"/>
      <c r="X67" s="90"/>
      <c r="Y67" s="90"/>
      <c r="Z67" s="90"/>
      <c r="AA67" s="90"/>
      <c r="AB67" s="90"/>
    </row>
    <row r="68" hidden="1" outlineLevel="2">
      <c r="A68" s="132">
        <v>45962.0</v>
      </c>
      <c r="B68" s="329">
        <v>0.0</v>
      </c>
      <c r="C68" s="123">
        <v>10.0</v>
      </c>
      <c r="D68" s="123">
        <f t="shared" ref="D68:D73" si="20">B68-C68</f>
        <v>-10</v>
      </c>
      <c r="E68" s="329">
        <v>0.0</v>
      </c>
      <c r="F68" s="123">
        <v>4.0</v>
      </c>
      <c r="G68" s="123">
        <f t="shared" ref="G68:G73" si="21">E68-F68</f>
        <v>-4</v>
      </c>
      <c r="H68" s="330">
        <v>0.0</v>
      </c>
      <c r="I68" s="124">
        <v>0.0</v>
      </c>
      <c r="J68" s="124">
        <f t="shared" ref="J68:J97" si="22">H68-I68</f>
        <v>0</v>
      </c>
      <c r="K68" s="181" t="str">
        <f t="shared" si="4"/>
        <v>#DIV/0!</v>
      </c>
      <c r="L68" s="125">
        <v>0.0</v>
      </c>
      <c r="M68" s="129" t="str">
        <f t="shared" si="7"/>
        <v>#DIV/0!</v>
      </c>
      <c r="N68" s="124" t="str">
        <f t="shared" si="16"/>
        <v/>
      </c>
      <c r="O68" s="126">
        <v>0.0</v>
      </c>
      <c r="P68" s="124">
        <f t="shared" si="6"/>
        <v>0</v>
      </c>
      <c r="R68" s="115" t="s">
        <v>12</v>
      </c>
    </row>
    <row r="69" hidden="1" outlineLevel="2">
      <c r="A69" s="132">
        <v>45963.0</v>
      </c>
      <c r="B69" s="329">
        <v>0.0</v>
      </c>
      <c r="C69" s="123">
        <v>0.0</v>
      </c>
      <c r="D69" s="123">
        <f t="shared" si="20"/>
        <v>0</v>
      </c>
      <c r="E69" s="329">
        <v>0.0</v>
      </c>
      <c r="F69" s="123">
        <v>0.0</v>
      </c>
      <c r="G69" s="123">
        <f t="shared" si="21"/>
        <v>0</v>
      </c>
      <c r="H69" s="330">
        <v>0.0</v>
      </c>
      <c r="I69" s="124">
        <v>0.0</v>
      </c>
      <c r="J69" s="124">
        <f t="shared" si="22"/>
        <v>0</v>
      </c>
      <c r="K69" s="181" t="str">
        <f t="shared" si="4"/>
        <v>#DIV/0!</v>
      </c>
      <c r="L69" s="125">
        <v>0.0</v>
      </c>
      <c r="M69" s="129" t="str">
        <f t="shared" si="7"/>
        <v>#DIV/0!</v>
      </c>
      <c r="N69" s="124" t="str">
        <f t="shared" si="16"/>
        <v/>
      </c>
      <c r="O69" s="126">
        <v>0.0</v>
      </c>
      <c r="P69" s="124">
        <f t="shared" si="6"/>
        <v>0</v>
      </c>
      <c r="R69" s="113" t="s">
        <v>8</v>
      </c>
      <c r="S69" s="116">
        <v>50000.0</v>
      </c>
    </row>
    <row r="70" hidden="1" outlineLevel="2">
      <c r="A70" s="132">
        <v>45964.0</v>
      </c>
      <c r="B70" s="329">
        <v>9.0</v>
      </c>
      <c r="C70" s="123">
        <v>20.0</v>
      </c>
      <c r="D70" s="123">
        <f t="shared" si="20"/>
        <v>-11</v>
      </c>
      <c r="E70" s="329">
        <v>6.0</v>
      </c>
      <c r="F70" s="123">
        <v>8.0</v>
      </c>
      <c r="G70" s="123">
        <f t="shared" si="21"/>
        <v>-2</v>
      </c>
      <c r="H70" s="330">
        <v>1163.61</v>
      </c>
      <c r="I70" s="124">
        <v>2500.0</v>
      </c>
      <c r="J70" s="124">
        <f t="shared" si="22"/>
        <v>-1336.39</v>
      </c>
      <c r="K70" s="181">
        <f t="shared" si="4"/>
        <v>0.6666666667</v>
      </c>
      <c r="L70" s="125">
        <v>0.5</v>
      </c>
      <c r="M70" s="125">
        <f t="shared" si="7"/>
        <v>-0.1666666667</v>
      </c>
      <c r="N70" s="124">
        <f t="shared" si="16"/>
        <v>193.935</v>
      </c>
      <c r="O70" s="126">
        <v>200.0</v>
      </c>
      <c r="P70" s="124">
        <f t="shared" si="6"/>
        <v>-6.065</v>
      </c>
      <c r="R70" s="113" t="s">
        <v>45</v>
      </c>
      <c r="S70" s="117">
        <f>S69/30</f>
        <v>1666.666667</v>
      </c>
    </row>
    <row r="71" hidden="1" outlineLevel="2">
      <c r="A71" s="132">
        <v>45965.0</v>
      </c>
      <c r="B71" s="329">
        <v>7.0</v>
      </c>
      <c r="C71" s="123">
        <v>20.0</v>
      </c>
      <c r="D71" s="123">
        <f t="shared" si="20"/>
        <v>-13</v>
      </c>
      <c r="E71" s="329">
        <v>2.0</v>
      </c>
      <c r="F71" s="123">
        <v>8.0</v>
      </c>
      <c r="G71" s="123">
        <f t="shared" si="21"/>
        <v>-6</v>
      </c>
      <c r="H71" s="330">
        <v>245.73</v>
      </c>
      <c r="I71" s="124">
        <v>2500.0</v>
      </c>
      <c r="J71" s="124">
        <f t="shared" si="22"/>
        <v>-2254.27</v>
      </c>
      <c r="K71" s="181">
        <f t="shared" si="4"/>
        <v>0.2857142857</v>
      </c>
      <c r="L71" s="125">
        <v>0.5</v>
      </c>
      <c r="M71" s="125">
        <f t="shared" si="7"/>
        <v>0.2142857143</v>
      </c>
      <c r="N71" s="124">
        <f t="shared" si="16"/>
        <v>122.865</v>
      </c>
      <c r="O71" s="126">
        <v>200.0</v>
      </c>
      <c r="P71" s="124">
        <f t="shared" si="6"/>
        <v>-77.135</v>
      </c>
      <c r="R71" s="113" t="s">
        <v>46</v>
      </c>
      <c r="S71" s="117">
        <f>S69/20</f>
        <v>2500</v>
      </c>
    </row>
    <row r="72" hidden="1" outlineLevel="2">
      <c r="A72" s="132">
        <v>45966.0</v>
      </c>
      <c r="B72" s="329">
        <v>14.0</v>
      </c>
      <c r="C72" s="123">
        <v>20.0</v>
      </c>
      <c r="D72" s="123">
        <f t="shared" si="20"/>
        <v>-6</v>
      </c>
      <c r="E72" s="329">
        <v>10.0</v>
      </c>
      <c r="F72" s="123">
        <v>8.0</v>
      </c>
      <c r="G72" s="123">
        <f t="shared" si="21"/>
        <v>2</v>
      </c>
      <c r="H72" s="330">
        <v>2961.32</v>
      </c>
      <c r="I72" s="124">
        <v>2500.0</v>
      </c>
      <c r="J72" s="124">
        <f t="shared" si="22"/>
        <v>461.32</v>
      </c>
      <c r="K72" s="181">
        <f t="shared" si="4"/>
        <v>0.7142857143</v>
      </c>
      <c r="L72" s="125">
        <v>0.5</v>
      </c>
      <c r="M72" s="125">
        <f t="shared" si="7"/>
        <v>-0.2142857143</v>
      </c>
      <c r="N72" s="124">
        <f t="shared" si="16"/>
        <v>296.132</v>
      </c>
      <c r="O72" s="126">
        <v>200.0</v>
      </c>
      <c r="P72" s="124">
        <f t="shared" si="6"/>
        <v>96.132</v>
      </c>
      <c r="R72" s="113" t="s">
        <v>7</v>
      </c>
      <c r="S72" s="117">
        <f>H67</f>
        <v>32298.63</v>
      </c>
      <c r="T72" s="118">
        <f>S69-S72</f>
        <v>17701.37</v>
      </c>
    </row>
    <row r="73" hidden="1" outlineLevel="2">
      <c r="A73" s="132">
        <v>45967.0</v>
      </c>
      <c r="B73" s="329">
        <v>13.0</v>
      </c>
      <c r="C73" s="123">
        <v>20.0</v>
      </c>
      <c r="D73" s="123">
        <f t="shared" si="20"/>
        <v>-7</v>
      </c>
      <c r="E73" s="329">
        <v>5.0</v>
      </c>
      <c r="F73" s="123">
        <v>8.0</v>
      </c>
      <c r="G73" s="123">
        <f t="shared" si="21"/>
        <v>-3</v>
      </c>
      <c r="H73" s="330">
        <v>2039.72</v>
      </c>
      <c r="I73" s="124">
        <v>2500.0</v>
      </c>
      <c r="J73" s="124">
        <f t="shared" si="22"/>
        <v>-460.28</v>
      </c>
      <c r="K73" s="181">
        <f t="shared" si="4"/>
        <v>0.3846153846</v>
      </c>
      <c r="L73" s="125">
        <v>0.5</v>
      </c>
      <c r="M73" s="125">
        <f t="shared" si="7"/>
        <v>0.1153846154</v>
      </c>
      <c r="N73" s="124">
        <f t="shared" si="16"/>
        <v>407.944</v>
      </c>
      <c r="O73" s="126">
        <v>200.0</v>
      </c>
      <c r="P73" s="124">
        <f t="shared" si="6"/>
        <v>207.944</v>
      </c>
      <c r="R73" s="113" t="s">
        <v>47</v>
      </c>
      <c r="S73" s="119">
        <f>S72/S69</f>
        <v>0.6459726</v>
      </c>
    </row>
    <row r="74" hidden="1" outlineLevel="2">
      <c r="A74" s="132">
        <v>45968.0</v>
      </c>
      <c r="B74" s="386">
        <v>54.0</v>
      </c>
      <c r="C74" s="123">
        <v>20.0</v>
      </c>
      <c r="D74" s="123"/>
      <c r="E74" s="329">
        <v>5.0</v>
      </c>
      <c r="F74" s="123">
        <v>8.0</v>
      </c>
      <c r="G74" s="123"/>
      <c r="H74" s="330">
        <v>764.76</v>
      </c>
      <c r="I74" s="124">
        <v>2500.0</v>
      </c>
      <c r="J74" s="124">
        <f t="shared" si="22"/>
        <v>-1735.24</v>
      </c>
      <c r="K74" s="181">
        <f t="shared" si="4"/>
        <v>0.09259259259</v>
      </c>
      <c r="L74" s="125">
        <v>0.5</v>
      </c>
      <c r="M74" s="125">
        <f t="shared" si="7"/>
        <v>0.4074074074</v>
      </c>
      <c r="N74" s="124">
        <f t="shared" si="16"/>
        <v>152.952</v>
      </c>
      <c r="O74" s="126">
        <v>200.0</v>
      </c>
      <c r="P74" s="124">
        <f t="shared" si="6"/>
        <v>-47.048</v>
      </c>
      <c r="R74" s="113" t="s">
        <v>48</v>
      </c>
      <c r="S74" s="120">
        <v>3.0</v>
      </c>
    </row>
    <row r="75" hidden="1" outlineLevel="2">
      <c r="A75" s="132">
        <v>45969.0</v>
      </c>
      <c r="B75" s="386">
        <v>154.0</v>
      </c>
      <c r="C75" s="123">
        <v>10.0</v>
      </c>
      <c r="D75" s="123">
        <f t="shared" ref="D75:D97" si="23">B75-C75</f>
        <v>144</v>
      </c>
      <c r="E75" s="329">
        <v>4.0</v>
      </c>
      <c r="F75" s="123">
        <v>4.0</v>
      </c>
      <c r="G75" s="123">
        <f t="shared" ref="G75:G97" si="24">E75-F75</f>
        <v>0</v>
      </c>
      <c r="H75" s="330">
        <v>956.59</v>
      </c>
      <c r="I75" s="124">
        <v>0.0</v>
      </c>
      <c r="J75" s="124">
        <f t="shared" si="22"/>
        <v>956.59</v>
      </c>
      <c r="K75" s="181">
        <f t="shared" si="4"/>
        <v>0.02597402597</v>
      </c>
      <c r="L75" s="125">
        <v>0.0</v>
      </c>
      <c r="M75" s="125">
        <f t="shared" si="7"/>
        <v>-0.02597402597</v>
      </c>
      <c r="N75" s="124">
        <f t="shared" si="16"/>
        <v>239.1475</v>
      </c>
      <c r="O75" s="126">
        <v>0.0</v>
      </c>
      <c r="P75" s="124">
        <f t="shared" si="6"/>
        <v>239.1475</v>
      </c>
      <c r="R75" s="113" t="s">
        <v>49</v>
      </c>
      <c r="S75" s="121">
        <f>(S69-S72)/S74</f>
        <v>5900.456667</v>
      </c>
    </row>
    <row r="76" hidden="1" outlineLevel="2">
      <c r="A76" s="132">
        <v>45970.0</v>
      </c>
      <c r="B76" s="329">
        <v>0.0</v>
      </c>
      <c r="C76" s="123">
        <v>0.0</v>
      </c>
      <c r="D76" s="123">
        <f t="shared" si="23"/>
        <v>0</v>
      </c>
      <c r="E76" s="329">
        <v>0.0</v>
      </c>
      <c r="F76" s="123">
        <v>0.0</v>
      </c>
      <c r="G76" s="123">
        <f t="shared" si="24"/>
        <v>0</v>
      </c>
      <c r="H76" s="330">
        <v>0.0</v>
      </c>
      <c r="I76" s="124">
        <v>0.0</v>
      </c>
      <c r="J76" s="124">
        <f t="shared" si="22"/>
        <v>0</v>
      </c>
      <c r="K76" s="181" t="str">
        <f t="shared" si="4"/>
        <v>#DIV/0!</v>
      </c>
      <c r="L76" s="125">
        <v>0.0</v>
      </c>
      <c r="M76" s="129" t="str">
        <f t="shared" si="7"/>
        <v>#DIV/0!</v>
      </c>
      <c r="N76" s="124" t="str">
        <f t="shared" si="16"/>
        <v/>
      </c>
      <c r="O76" s="126">
        <v>0.0</v>
      </c>
      <c r="P76" s="124">
        <f t="shared" si="6"/>
        <v>0</v>
      </c>
      <c r="R76" s="113" t="s">
        <v>50</v>
      </c>
      <c r="S76" s="122">
        <f>N67</f>
        <v>235.7564234</v>
      </c>
    </row>
    <row r="77" hidden="1" outlineLevel="2">
      <c r="A77" s="132">
        <v>45971.0</v>
      </c>
      <c r="B77" s="386">
        <v>104.0</v>
      </c>
      <c r="C77" s="123">
        <v>20.0</v>
      </c>
      <c r="D77" s="123">
        <f t="shared" si="23"/>
        <v>84</v>
      </c>
      <c r="E77" s="329">
        <v>10.0</v>
      </c>
      <c r="F77" s="123">
        <v>8.0</v>
      </c>
      <c r="G77" s="123">
        <f t="shared" si="24"/>
        <v>2</v>
      </c>
      <c r="H77" s="330">
        <v>3378.52</v>
      </c>
      <c r="I77" s="124">
        <v>2500.0</v>
      </c>
      <c r="J77" s="124">
        <f t="shared" si="22"/>
        <v>878.52</v>
      </c>
      <c r="K77" s="181">
        <f t="shared" si="4"/>
        <v>0.09615384615</v>
      </c>
      <c r="L77" s="125">
        <v>0.5</v>
      </c>
      <c r="M77" s="125">
        <f t="shared" si="7"/>
        <v>0.4038461538</v>
      </c>
      <c r="N77" s="124">
        <f t="shared" si="16"/>
        <v>337.852</v>
      </c>
      <c r="O77" s="126">
        <v>200.0</v>
      </c>
      <c r="P77" s="124">
        <f t="shared" si="6"/>
        <v>137.852</v>
      </c>
      <c r="R77" s="113" t="s">
        <v>51</v>
      </c>
      <c r="S77" s="128">
        <f>B67</f>
        <v>466</v>
      </c>
    </row>
    <row r="78" hidden="1" outlineLevel="2">
      <c r="A78" s="132">
        <v>45972.0</v>
      </c>
      <c r="B78" s="329">
        <v>7.0</v>
      </c>
      <c r="C78" s="123">
        <v>20.0</v>
      </c>
      <c r="D78" s="123">
        <f t="shared" si="23"/>
        <v>-13</v>
      </c>
      <c r="E78" s="329">
        <v>9.0</v>
      </c>
      <c r="F78" s="123">
        <v>8.0</v>
      </c>
      <c r="G78" s="123">
        <f t="shared" si="24"/>
        <v>1</v>
      </c>
      <c r="H78" s="330">
        <v>1489.29</v>
      </c>
      <c r="I78" s="124">
        <v>2500.0</v>
      </c>
      <c r="J78" s="124">
        <f t="shared" si="22"/>
        <v>-1010.71</v>
      </c>
      <c r="K78" s="181">
        <f t="shared" si="4"/>
        <v>1.285714286</v>
      </c>
      <c r="L78" s="125">
        <v>0.5</v>
      </c>
      <c r="M78" s="125">
        <f t="shared" si="7"/>
        <v>-0.7857142857</v>
      </c>
      <c r="N78" s="124">
        <f t="shared" si="16"/>
        <v>165.4766667</v>
      </c>
      <c r="O78" s="126">
        <v>200.0</v>
      </c>
      <c r="P78" s="124">
        <f t="shared" si="6"/>
        <v>-34.52333333</v>
      </c>
      <c r="R78" s="113" t="s">
        <v>52</v>
      </c>
      <c r="S78" s="128">
        <f>E67</f>
        <v>137</v>
      </c>
    </row>
    <row r="79" hidden="1" outlineLevel="2">
      <c r="A79" s="132">
        <v>45973.0</v>
      </c>
      <c r="B79" s="329">
        <v>8.0</v>
      </c>
      <c r="C79" s="123">
        <v>20.0</v>
      </c>
      <c r="D79" s="123">
        <f t="shared" si="23"/>
        <v>-12</v>
      </c>
      <c r="E79" s="329">
        <v>7.0</v>
      </c>
      <c r="F79" s="123">
        <v>8.0</v>
      </c>
      <c r="G79" s="123">
        <f t="shared" si="24"/>
        <v>-1</v>
      </c>
      <c r="H79" s="330">
        <v>2552.96</v>
      </c>
      <c r="I79" s="124">
        <v>2500.0</v>
      </c>
      <c r="J79" s="124">
        <f t="shared" si="22"/>
        <v>52.96</v>
      </c>
      <c r="K79" s="181">
        <f t="shared" si="4"/>
        <v>0.875</v>
      </c>
      <c r="L79" s="125">
        <v>0.5</v>
      </c>
      <c r="M79" s="125">
        <f t="shared" si="7"/>
        <v>-0.375</v>
      </c>
      <c r="N79" s="124">
        <f t="shared" si="16"/>
        <v>364.7085714</v>
      </c>
      <c r="O79" s="126">
        <v>200.0</v>
      </c>
      <c r="P79" s="124">
        <f t="shared" si="6"/>
        <v>164.7085714</v>
      </c>
      <c r="R79" s="113" t="s">
        <v>4</v>
      </c>
      <c r="S79" s="119">
        <f>E67/B67</f>
        <v>0.2939914163</v>
      </c>
    </row>
    <row r="80" hidden="1" outlineLevel="2">
      <c r="A80" s="132">
        <v>45974.0</v>
      </c>
      <c r="B80" s="329">
        <v>11.0</v>
      </c>
      <c r="C80" s="123">
        <v>20.0</v>
      </c>
      <c r="D80" s="123">
        <f t="shared" si="23"/>
        <v>-9</v>
      </c>
      <c r="E80" s="329">
        <v>8.0</v>
      </c>
      <c r="F80" s="123">
        <v>8.0</v>
      </c>
      <c r="G80" s="123">
        <f t="shared" si="24"/>
        <v>0</v>
      </c>
      <c r="H80" s="330">
        <v>1081.86</v>
      </c>
      <c r="I80" s="124">
        <v>2500.0</v>
      </c>
      <c r="J80" s="124">
        <f t="shared" si="22"/>
        <v>-1418.14</v>
      </c>
      <c r="K80" s="181">
        <f t="shared" si="4"/>
        <v>0.7272727273</v>
      </c>
      <c r="L80" s="125">
        <v>0.5</v>
      </c>
      <c r="M80" s="125">
        <f t="shared" si="7"/>
        <v>-0.2272727273</v>
      </c>
      <c r="N80" s="124">
        <f t="shared" si="16"/>
        <v>135.2325</v>
      </c>
      <c r="O80" s="126">
        <v>200.0</v>
      </c>
      <c r="P80" s="124">
        <f t="shared" si="6"/>
        <v>-64.7675</v>
      </c>
      <c r="S80" s="94"/>
    </row>
    <row r="81" hidden="1" outlineLevel="2">
      <c r="A81" s="132">
        <v>45975.0</v>
      </c>
      <c r="B81" s="329">
        <v>11.0</v>
      </c>
      <c r="C81" s="123">
        <v>20.0</v>
      </c>
      <c r="D81" s="123">
        <f t="shared" si="23"/>
        <v>-9</v>
      </c>
      <c r="E81" s="329">
        <v>9.0</v>
      </c>
      <c r="F81" s="123">
        <v>8.0</v>
      </c>
      <c r="G81" s="123">
        <f t="shared" si="24"/>
        <v>1</v>
      </c>
      <c r="H81" s="330">
        <v>1743.55</v>
      </c>
      <c r="I81" s="124">
        <v>2500.0</v>
      </c>
      <c r="J81" s="124">
        <f t="shared" si="22"/>
        <v>-756.45</v>
      </c>
      <c r="K81" s="181">
        <f t="shared" si="4"/>
        <v>0.8181818182</v>
      </c>
      <c r="L81" s="125">
        <v>0.5</v>
      </c>
      <c r="M81" s="125">
        <f t="shared" si="7"/>
        <v>-0.3181818182</v>
      </c>
      <c r="N81" s="124">
        <f t="shared" si="16"/>
        <v>193.7277778</v>
      </c>
      <c r="O81" s="126">
        <v>200.0</v>
      </c>
      <c r="P81" s="124">
        <f t="shared" si="6"/>
        <v>-6.272222222</v>
      </c>
      <c r="S81" s="94"/>
    </row>
    <row r="82" hidden="1" outlineLevel="2">
      <c r="A82" s="132">
        <v>45976.0</v>
      </c>
      <c r="B82" s="329">
        <v>10.0</v>
      </c>
      <c r="C82" s="123">
        <v>10.0</v>
      </c>
      <c r="D82" s="123">
        <f t="shared" si="23"/>
        <v>0</v>
      </c>
      <c r="E82" s="329">
        <v>4.0</v>
      </c>
      <c r="F82" s="123">
        <v>4.0</v>
      </c>
      <c r="G82" s="123">
        <f t="shared" si="24"/>
        <v>0</v>
      </c>
      <c r="H82" s="330">
        <v>707.75</v>
      </c>
      <c r="I82" s="124">
        <v>0.0</v>
      </c>
      <c r="J82" s="124">
        <f t="shared" si="22"/>
        <v>707.75</v>
      </c>
      <c r="K82" s="181">
        <f t="shared" si="4"/>
        <v>0.4</v>
      </c>
      <c r="L82" s="125">
        <v>0.0</v>
      </c>
      <c r="M82" s="125">
        <f t="shared" si="7"/>
        <v>-0.4</v>
      </c>
      <c r="N82" s="124">
        <f t="shared" si="16"/>
        <v>176.9375</v>
      </c>
      <c r="O82" s="126">
        <v>0.0</v>
      </c>
      <c r="P82" s="124">
        <f t="shared" si="6"/>
        <v>176.9375</v>
      </c>
      <c r="S82" s="94"/>
    </row>
    <row r="83" hidden="1" outlineLevel="2">
      <c r="A83" s="132">
        <v>45977.0</v>
      </c>
      <c r="B83" s="329">
        <v>0.0</v>
      </c>
      <c r="C83" s="123">
        <v>0.0</v>
      </c>
      <c r="D83" s="123">
        <f t="shared" si="23"/>
        <v>0</v>
      </c>
      <c r="E83" s="329">
        <v>0.0</v>
      </c>
      <c r="F83" s="123">
        <v>0.0</v>
      </c>
      <c r="G83" s="123">
        <f t="shared" si="24"/>
        <v>0</v>
      </c>
      <c r="H83" s="330">
        <v>0.0</v>
      </c>
      <c r="I83" s="124">
        <v>0.0</v>
      </c>
      <c r="J83" s="124">
        <f t="shared" si="22"/>
        <v>0</v>
      </c>
      <c r="K83" s="181" t="str">
        <f t="shared" si="4"/>
        <v>#DIV/0!</v>
      </c>
      <c r="L83" s="125">
        <v>0.0</v>
      </c>
      <c r="M83" s="129" t="str">
        <f t="shared" si="7"/>
        <v>#DIV/0!</v>
      </c>
      <c r="N83" s="124" t="str">
        <f t="shared" si="16"/>
        <v/>
      </c>
      <c r="O83" s="126">
        <v>0.0</v>
      </c>
      <c r="P83" s="124">
        <f t="shared" si="6"/>
        <v>0</v>
      </c>
      <c r="S83" s="94"/>
    </row>
    <row r="84" hidden="1" outlineLevel="2">
      <c r="A84" s="132">
        <v>45978.0</v>
      </c>
      <c r="B84" s="329">
        <v>6.0</v>
      </c>
      <c r="C84" s="123">
        <v>20.0</v>
      </c>
      <c r="D84" s="123">
        <f t="shared" si="23"/>
        <v>-14</v>
      </c>
      <c r="E84" s="329">
        <v>4.0</v>
      </c>
      <c r="F84" s="123">
        <v>8.0</v>
      </c>
      <c r="G84" s="123">
        <f t="shared" si="24"/>
        <v>-4</v>
      </c>
      <c r="H84" s="330">
        <v>508.86</v>
      </c>
      <c r="I84" s="124">
        <v>2500.0</v>
      </c>
      <c r="J84" s="124">
        <f t="shared" si="22"/>
        <v>-1991.14</v>
      </c>
      <c r="K84" s="181">
        <f t="shared" si="4"/>
        <v>0.6666666667</v>
      </c>
      <c r="L84" s="125">
        <v>0.5</v>
      </c>
      <c r="M84" s="125">
        <f t="shared" si="7"/>
        <v>-0.1666666667</v>
      </c>
      <c r="N84" s="124">
        <f t="shared" si="16"/>
        <v>127.215</v>
      </c>
      <c r="O84" s="126">
        <v>200.0</v>
      </c>
      <c r="P84" s="124">
        <f t="shared" si="6"/>
        <v>-72.785</v>
      </c>
      <c r="S84" s="94"/>
    </row>
    <row r="85" hidden="1" outlineLevel="2">
      <c r="A85" s="132">
        <v>45979.0</v>
      </c>
      <c r="B85" s="329">
        <v>12.0</v>
      </c>
      <c r="C85" s="123">
        <v>20.0</v>
      </c>
      <c r="D85" s="123">
        <f t="shared" si="23"/>
        <v>-8</v>
      </c>
      <c r="E85" s="329">
        <v>3.0</v>
      </c>
      <c r="F85" s="123">
        <v>8.0</v>
      </c>
      <c r="G85" s="123">
        <f t="shared" si="24"/>
        <v>-5</v>
      </c>
      <c r="H85" s="330">
        <v>986.0</v>
      </c>
      <c r="I85" s="124">
        <v>2500.0</v>
      </c>
      <c r="J85" s="124">
        <f t="shared" si="22"/>
        <v>-1514</v>
      </c>
      <c r="K85" s="181">
        <f t="shared" si="4"/>
        <v>0.25</v>
      </c>
      <c r="L85" s="125">
        <v>0.5</v>
      </c>
      <c r="M85" s="125">
        <f t="shared" si="7"/>
        <v>0.25</v>
      </c>
      <c r="N85" s="124">
        <f t="shared" si="16"/>
        <v>328.6666667</v>
      </c>
      <c r="O85" s="126">
        <v>200.0</v>
      </c>
      <c r="P85" s="124">
        <f t="shared" si="6"/>
        <v>128.6666667</v>
      </c>
      <c r="S85" s="94"/>
    </row>
    <row r="86" hidden="1" outlineLevel="2">
      <c r="A86" s="132">
        <v>45980.0</v>
      </c>
      <c r="B86" s="329">
        <v>6.0</v>
      </c>
      <c r="C86" s="123">
        <v>20.0</v>
      </c>
      <c r="D86" s="123">
        <f t="shared" si="23"/>
        <v>-14</v>
      </c>
      <c r="E86" s="329">
        <v>4.0</v>
      </c>
      <c r="F86" s="123">
        <v>8.0</v>
      </c>
      <c r="G86" s="123">
        <f t="shared" si="24"/>
        <v>-4</v>
      </c>
      <c r="H86" s="330">
        <v>583.86</v>
      </c>
      <c r="I86" s="124">
        <v>2500.0</v>
      </c>
      <c r="J86" s="124">
        <f t="shared" si="22"/>
        <v>-1916.14</v>
      </c>
      <c r="K86" s="181">
        <f t="shared" si="4"/>
        <v>0.6666666667</v>
      </c>
      <c r="L86" s="125">
        <v>0.5</v>
      </c>
      <c r="M86" s="125">
        <f t="shared" si="7"/>
        <v>-0.1666666667</v>
      </c>
      <c r="N86" s="124">
        <f t="shared" si="16"/>
        <v>145.965</v>
      </c>
      <c r="O86" s="126">
        <v>200.0</v>
      </c>
      <c r="P86" s="124">
        <f t="shared" si="6"/>
        <v>-54.035</v>
      </c>
      <c r="S86" s="94"/>
    </row>
    <row r="87" hidden="1" outlineLevel="2">
      <c r="A87" s="132">
        <v>45981.0</v>
      </c>
      <c r="B87" s="329">
        <v>0.0</v>
      </c>
      <c r="C87" s="123">
        <v>20.0</v>
      </c>
      <c r="D87" s="123">
        <f t="shared" si="23"/>
        <v>-20</v>
      </c>
      <c r="E87" s="329">
        <v>0.0</v>
      </c>
      <c r="F87" s="123">
        <v>8.0</v>
      </c>
      <c r="G87" s="123">
        <f t="shared" si="24"/>
        <v>-8</v>
      </c>
      <c r="H87" s="330">
        <v>0.0</v>
      </c>
      <c r="I87" s="124">
        <v>2500.0</v>
      </c>
      <c r="J87" s="124">
        <f t="shared" si="22"/>
        <v>-2500</v>
      </c>
      <c r="K87" s="181" t="str">
        <f t="shared" si="4"/>
        <v>#DIV/0!</v>
      </c>
      <c r="L87" s="125">
        <v>0.5</v>
      </c>
      <c r="M87" s="129" t="str">
        <f t="shared" si="7"/>
        <v>#DIV/0!</v>
      </c>
      <c r="N87" s="124" t="str">
        <f t="shared" si="16"/>
        <v/>
      </c>
      <c r="O87" s="126">
        <v>200.0</v>
      </c>
      <c r="P87" s="124">
        <f t="shared" si="6"/>
        <v>-200</v>
      </c>
      <c r="S87" s="94"/>
    </row>
    <row r="88" hidden="1" outlineLevel="2">
      <c r="A88" s="132">
        <v>45982.0</v>
      </c>
      <c r="B88" s="329">
        <v>4.0</v>
      </c>
      <c r="C88" s="123">
        <v>20.0</v>
      </c>
      <c r="D88" s="123">
        <f t="shared" si="23"/>
        <v>-16</v>
      </c>
      <c r="E88" s="329">
        <v>10.0</v>
      </c>
      <c r="F88" s="123">
        <v>8.0</v>
      </c>
      <c r="G88" s="123">
        <f t="shared" si="24"/>
        <v>2</v>
      </c>
      <c r="H88" s="330">
        <v>1285.18</v>
      </c>
      <c r="I88" s="124">
        <v>2500.0</v>
      </c>
      <c r="J88" s="124">
        <f t="shared" si="22"/>
        <v>-1214.82</v>
      </c>
      <c r="K88" s="181">
        <f t="shared" si="4"/>
        <v>2.5</v>
      </c>
      <c r="L88" s="125">
        <v>0.5</v>
      </c>
      <c r="M88" s="125">
        <f t="shared" si="7"/>
        <v>-2</v>
      </c>
      <c r="N88" s="124">
        <f t="shared" si="16"/>
        <v>128.518</v>
      </c>
      <c r="O88" s="126">
        <v>200.0</v>
      </c>
      <c r="P88" s="124">
        <f t="shared" si="6"/>
        <v>-71.482</v>
      </c>
      <c r="S88" s="94"/>
    </row>
    <row r="89" hidden="1" outlineLevel="2">
      <c r="A89" s="132">
        <v>45983.0</v>
      </c>
      <c r="B89" s="329">
        <v>1.0</v>
      </c>
      <c r="C89" s="123">
        <v>10.0</v>
      </c>
      <c r="D89" s="123">
        <f t="shared" si="23"/>
        <v>-9</v>
      </c>
      <c r="E89" s="329">
        <v>3.0</v>
      </c>
      <c r="F89" s="123">
        <v>4.0</v>
      </c>
      <c r="G89" s="123">
        <f t="shared" si="24"/>
        <v>-1</v>
      </c>
      <c r="H89" s="330">
        <v>1787.88</v>
      </c>
      <c r="I89" s="124">
        <v>0.0</v>
      </c>
      <c r="J89" s="124">
        <f t="shared" si="22"/>
        <v>1787.88</v>
      </c>
      <c r="K89" s="181">
        <f t="shared" si="4"/>
        <v>3</v>
      </c>
      <c r="L89" s="125">
        <v>0.0</v>
      </c>
      <c r="M89" s="125">
        <f t="shared" si="7"/>
        <v>-3</v>
      </c>
      <c r="N89" s="124">
        <f t="shared" si="16"/>
        <v>595.96</v>
      </c>
      <c r="O89" s="126">
        <v>0.0</v>
      </c>
      <c r="P89" s="124">
        <f t="shared" si="6"/>
        <v>595.96</v>
      </c>
      <c r="S89" s="94"/>
    </row>
    <row r="90" hidden="1" outlineLevel="2">
      <c r="A90" s="132">
        <v>45984.0</v>
      </c>
      <c r="B90" s="329">
        <v>0.0</v>
      </c>
      <c r="C90" s="123">
        <v>0.0</v>
      </c>
      <c r="D90" s="123">
        <f t="shared" si="23"/>
        <v>0</v>
      </c>
      <c r="E90" s="329">
        <v>0.0</v>
      </c>
      <c r="F90" s="123">
        <v>0.0</v>
      </c>
      <c r="G90" s="123">
        <f t="shared" si="24"/>
        <v>0</v>
      </c>
      <c r="H90" s="330">
        <v>0.0</v>
      </c>
      <c r="I90" s="124">
        <v>0.0</v>
      </c>
      <c r="J90" s="124">
        <f t="shared" si="22"/>
        <v>0</v>
      </c>
      <c r="K90" s="181" t="str">
        <f t="shared" si="4"/>
        <v>#DIV/0!</v>
      </c>
      <c r="L90" s="125">
        <v>0.0</v>
      </c>
      <c r="M90" s="129" t="str">
        <f t="shared" si="7"/>
        <v>#DIV/0!</v>
      </c>
      <c r="N90" s="124" t="str">
        <f t="shared" si="16"/>
        <v/>
      </c>
      <c r="O90" s="126">
        <v>0.0</v>
      </c>
      <c r="P90" s="124">
        <f t="shared" si="6"/>
        <v>0</v>
      </c>
      <c r="S90" s="94"/>
    </row>
    <row r="91" hidden="1" outlineLevel="2">
      <c r="A91" s="132">
        <v>45985.0</v>
      </c>
      <c r="B91" s="329">
        <v>2.0</v>
      </c>
      <c r="C91" s="387">
        <v>20.0</v>
      </c>
      <c r="D91" s="123">
        <f t="shared" si="23"/>
        <v>-18</v>
      </c>
      <c r="E91" s="329">
        <v>2.0</v>
      </c>
      <c r="F91" s="123">
        <v>8.0</v>
      </c>
      <c r="G91" s="123">
        <f t="shared" si="24"/>
        <v>-6</v>
      </c>
      <c r="H91" s="330">
        <v>179.77</v>
      </c>
      <c r="I91" s="124">
        <v>2500.0</v>
      </c>
      <c r="J91" s="124">
        <f t="shared" si="22"/>
        <v>-2320.23</v>
      </c>
      <c r="K91" s="181">
        <f t="shared" si="4"/>
        <v>1</v>
      </c>
      <c r="L91" s="125">
        <v>0.5</v>
      </c>
      <c r="M91" s="125">
        <f t="shared" si="7"/>
        <v>-0.5</v>
      </c>
      <c r="N91" s="124">
        <f t="shared" si="16"/>
        <v>89.885</v>
      </c>
      <c r="O91" s="126">
        <v>200.0</v>
      </c>
      <c r="P91" s="124">
        <f t="shared" si="6"/>
        <v>-110.115</v>
      </c>
      <c r="S91" s="94"/>
    </row>
    <row r="92" hidden="1" outlineLevel="2">
      <c r="A92" s="132">
        <v>45986.0</v>
      </c>
      <c r="B92" s="329">
        <v>8.0</v>
      </c>
      <c r="C92" s="388">
        <v>20.0</v>
      </c>
      <c r="D92" s="123">
        <f t="shared" si="23"/>
        <v>-12</v>
      </c>
      <c r="E92" s="329">
        <v>11.0</v>
      </c>
      <c r="F92" s="123">
        <v>8.0</v>
      </c>
      <c r="G92" s="123">
        <f t="shared" si="24"/>
        <v>3</v>
      </c>
      <c r="H92" s="330">
        <v>2141.71</v>
      </c>
      <c r="I92" s="124">
        <v>2500.0</v>
      </c>
      <c r="J92" s="124">
        <f t="shared" si="22"/>
        <v>-358.29</v>
      </c>
      <c r="K92" s="181">
        <f t="shared" si="4"/>
        <v>1.375</v>
      </c>
      <c r="L92" s="125">
        <v>0.5</v>
      </c>
      <c r="M92" s="125">
        <f t="shared" si="7"/>
        <v>-0.875</v>
      </c>
      <c r="N92" s="124">
        <f t="shared" si="16"/>
        <v>194.7009091</v>
      </c>
      <c r="O92" s="126">
        <v>200.0</v>
      </c>
      <c r="P92" s="124">
        <f t="shared" si="6"/>
        <v>-5.299090909</v>
      </c>
      <c r="S92" s="94"/>
    </row>
    <row r="93" hidden="1" outlineLevel="2">
      <c r="A93" s="132">
        <v>45987.0</v>
      </c>
      <c r="B93" s="329">
        <v>14.0</v>
      </c>
      <c r="C93" s="387">
        <v>20.0</v>
      </c>
      <c r="D93" s="123">
        <f t="shared" si="23"/>
        <v>-6</v>
      </c>
      <c r="E93" s="329">
        <v>7.0</v>
      </c>
      <c r="F93" s="123">
        <v>8.0</v>
      </c>
      <c r="G93" s="123">
        <f t="shared" si="24"/>
        <v>-1</v>
      </c>
      <c r="H93" s="330">
        <v>2401.36</v>
      </c>
      <c r="I93" s="124">
        <v>2500.0</v>
      </c>
      <c r="J93" s="124">
        <f t="shared" si="22"/>
        <v>-98.64</v>
      </c>
      <c r="K93" s="181">
        <f t="shared" si="4"/>
        <v>0.5</v>
      </c>
      <c r="L93" s="125">
        <v>0.5</v>
      </c>
      <c r="M93" s="125">
        <f t="shared" si="7"/>
        <v>0</v>
      </c>
      <c r="N93" s="124">
        <f t="shared" si="16"/>
        <v>343.0514286</v>
      </c>
      <c r="O93" s="126">
        <v>200.0</v>
      </c>
      <c r="P93" s="124">
        <f t="shared" si="6"/>
        <v>143.0514286</v>
      </c>
      <c r="S93" s="94"/>
    </row>
    <row r="94" hidden="1" outlineLevel="2">
      <c r="A94" s="132">
        <v>45988.0</v>
      </c>
      <c r="B94" s="329">
        <v>0.0</v>
      </c>
      <c r="C94" s="388">
        <v>20.0</v>
      </c>
      <c r="D94" s="123">
        <f t="shared" si="23"/>
        <v>-20</v>
      </c>
      <c r="E94" s="329">
        <v>7.0</v>
      </c>
      <c r="F94" s="123">
        <v>8.0</v>
      </c>
      <c r="G94" s="123">
        <f t="shared" si="24"/>
        <v>-1</v>
      </c>
      <c r="H94" s="330">
        <v>1616.34</v>
      </c>
      <c r="I94" s="124">
        <v>2500.0</v>
      </c>
      <c r="J94" s="124">
        <f t="shared" si="22"/>
        <v>-883.66</v>
      </c>
      <c r="K94" s="181" t="str">
        <f t="shared" si="4"/>
        <v>#DIV/0!</v>
      </c>
      <c r="L94" s="125">
        <v>0.5</v>
      </c>
      <c r="M94" s="129" t="str">
        <f t="shared" si="7"/>
        <v>#DIV/0!</v>
      </c>
      <c r="N94" s="124">
        <f t="shared" si="16"/>
        <v>230.9057143</v>
      </c>
      <c r="O94" s="126">
        <v>200.0</v>
      </c>
      <c r="P94" s="124">
        <f t="shared" si="6"/>
        <v>30.90571429</v>
      </c>
      <c r="S94" s="94"/>
    </row>
    <row r="95" hidden="1" outlineLevel="2">
      <c r="A95" s="132">
        <v>45989.0</v>
      </c>
      <c r="B95" s="329">
        <v>3.0</v>
      </c>
      <c r="C95" s="387">
        <v>20.0</v>
      </c>
      <c r="D95" s="123">
        <f t="shared" si="23"/>
        <v>-17</v>
      </c>
      <c r="E95" s="329">
        <v>6.0</v>
      </c>
      <c r="F95" s="123">
        <v>8.0</v>
      </c>
      <c r="G95" s="123">
        <f t="shared" si="24"/>
        <v>-2</v>
      </c>
      <c r="H95" s="330">
        <v>955.6</v>
      </c>
      <c r="I95" s="124">
        <v>2500.0</v>
      </c>
      <c r="J95" s="124">
        <f t="shared" si="22"/>
        <v>-1544.4</v>
      </c>
      <c r="K95" s="181">
        <f t="shared" si="4"/>
        <v>2</v>
      </c>
      <c r="L95" s="125">
        <v>0.5</v>
      </c>
      <c r="M95" s="125">
        <f t="shared" si="7"/>
        <v>-1.5</v>
      </c>
      <c r="N95" s="124">
        <f t="shared" si="16"/>
        <v>159.2666667</v>
      </c>
      <c r="O95" s="126">
        <v>200.0</v>
      </c>
      <c r="P95" s="124">
        <f t="shared" si="6"/>
        <v>-40.73333333</v>
      </c>
      <c r="S95" s="94"/>
    </row>
    <row r="96" hidden="1" outlineLevel="2">
      <c r="A96" s="132">
        <v>45990.0</v>
      </c>
      <c r="B96" s="329">
        <v>8.0</v>
      </c>
      <c r="C96" s="388">
        <v>10.0</v>
      </c>
      <c r="D96" s="123">
        <f t="shared" si="23"/>
        <v>-2</v>
      </c>
      <c r="E96" s="329">
        <v>1.0</v>
      </c>
      <c r="F96" s="123">
        <v>4.0</v>
      </c>
      <c r="G96" s="123">
        <f t="shared" si="24"/>
        <v>-3</v>
      </c>
      <c r="H96" s="330">
        <v>766.41</v>
      </c>
      <c r="I96" s="124">
        <v>0.0</v>
      </c>
      <c r="J96" s="124">
        <f t="shared" si="22"/>
        <v>766.41</v>
      </c>
      <c r="K96" s="181">
        <f t="shared" si="4"/>
        <v>0.125</v>
      </c>
      <c r="L96" s="125">
        <v>0.0</v>
      </c>
      <c r="M96" s="125">
        <f t="shared" si="7"/>
        <v>-0.125</v>
      </c>
      <c r="N96" s="124">
        <f t="shared" si="16"/>
        <v>766.41</v>
      </c>
      <c r="O96" s="126">
        <v>0.0</v>
      </c>
      <c r="P96" s="124">
        <f t="shared" si="6"/>
        <v>766.41</v>
      </c>
      <c r="S96" s="94"/>
    </row>
    <row r="97" hidden="1" outlineLevel="2">
      <c r="A97" s="132">
        <v>45991.0</v>
      </c>
      <c r="B97" s="329">
        <v>0.0</v>
      </c>
      <c r="C97" s="387">
        <v>0.0</v>
      </c>
      <c r="D97" s="123">
        <f t="shared" si="23"/>
        <v>0</v>
      </c>
      <c r="E97" s="329">
        <v>0.0</v>
      </c>
      <c r="F97" s="123">
        <v>0.0</v>
      </c>
      <c r="G97" s="123">
        <f t="shared" si="24"/>
        <v>0</v>
      </c>
      <c r="H97" s="330">
        <v>0.0</v>
      </c>
      <c r="I97" s="124">
        <v>0.0</v>
      </c>
      <c r="J97" s="124">
        <f t="shared" si="22"/>
        <v>0</v>
      </c>
      <c r="K97" s="181" t="str">
        <f t="shared" si="4"/>
        <v>#DIV/0!</v>
      </c>
      <c r="L97" s="125">
        <v>0.0</v>
      </c>
      <c r="M97" s="129" t="str">
        <f t="shared" si="7"/>
        <v>#DIV/0!</v>
      </c>
      <c r="N97" s="124" t="str">
        <f t="shared" si="16"/>
        <v/>
      </c>
      <c r="O97" s="126">
        <v>0.0</v>
      </c>
      <c r="P97" s="124">
        <f t="shared" si="6"/>
        <v>0</v>
      </c>
      <c r="S97" s="94"/>
    </row>
    <row r="98" outlineLevel="1" collapsed="1">
      <c r="A98" s="100" t="s">
        <v>134</v>
      </c>
      <c r="B98" s="100">
        <f t="shared" ref="B98:E98" si="25">SUM(B99:B128)</f>
        <v>0</v>
      </c>
      <c r="C98" s="100">
        <f t="shared" si="25"/>
        <v>450</v>
      </c>
      <c r="D98" s="100">
        <f t="shared" si="25"/>
        <v>-430</v>
      </c>
      <c r="E98" s="100">
        <f t="shared" si="25"/>
        <v>0</v>
      </c>
      <c r="F98" s="100"/>
      <c r="G98" s="100"/>
      <c r="H98" s="102">
        <f t="shared" ref="H98:J98" si="26">SUM(H99:H128)</f>
        <v>198.7</v>
      </c>
      <c r="I98" s="102">
        <f t="shared" si="26"/>
        <v>0</v>
      </c>
      <c r="J98" s="102">
        <f t="shared" si="26"/>
        <v>198.7</v>
      </c>
      <c r="K98" s="181" t="str">
        <f t="shared" si="4"/>
        <v>#DIV/0!</v>
      </c>
      <c r="L98" s="103">
        <v>0.5</v>
      </c>
      <c r="M98" s="389" t="str">
        <f t="shared" si="7"/>
        <v>#DIV/0!</v>
      </c>
      <c r="N98" s="102" t="str">
        <f t="shared" si="16"/>
        <v/>
      </c>
      <c r="O98" s="104">
        <v>250.0</v>
      </c>
      <c r="P98" s="102">
        <f t="shared" si="6"/>
        <v>-250</v>
      </c>
      <c r="Q98" s="90"/>
      <c r="R98" s="90"/>
      <c r="S98" s="91"/>
      <c r="T98" s="90"/>
      <c r="U98" s="90"/>
      <c r="V98" s="90"/>
      <c r="W98" s="90"/>
      <c r="X98" s="90"/>
      <c r="Y98" s="90"/>
      <c r="Z98" s="90"/>
      <c r="AA98" s="90"/>
      <c r="AB98" s="90"/>
    </row>
    <row r="99" hidden="1" outlineLevel="2">
      <c r="A99" s="132">
        <v>45962.0</v>
      </c>
      <c r="B99" s="329">
        <v>0.0</v>
      </c>
      <c r="C99" s="123">
        <v>10.0</v>
      </c>
      <c r="D99" s="123">
        <f t="shared" ref="D99:D104" si="27">B99-C99</f>
        <v>-10</v>
      </c>
      <c r="E99" s="329">
        <v>0.0</v>
      </c>
      <c r="F99" s="123">
        <v>4.0</v>
      </c>
      <c r="G99" s="123">
        <f t="shared" ref="G99:G104" si="28">E99-F99</f>
        <v>-4</v>
      </c>
      <c r="H99" s="330">
        <v>0.0</v>
      </c>
      <c r="I99" s="124">
        <v>0.0</v>
      </c>
      <c r="J99" s="124">
        <f t="shared" ref="J99:J128" si="29">H99-I99</f>
        <v>0</v>
      </c>
      <c r="K99" s="125" t="str">
        <f t="shared" ref="K99:K128" si="30">IFERROR(E99/B99,"")</f>
        <v/>
      </c>
      <c r="L99" s="125">
        <v>0.0</v>
      </c>
      <c r="M99" s="125">
        <f t="shared" si="7"/>
        <v>0</v>
      </c>
      <c r="N99" s="124" t="str">
        <f t="shared" si="16"/>
        <v/>
      </c>
      <c r="O99" s="126">
        <v>0.0</v>
      </c>
      <c r="P99" s="124">
        <f t="shared" si="6"/>
        <v>0</v>
      </c>
      <c r="R99" s="115" t="s">
        <v>12</v>
      </c>
    </row>
    <row r="100" hidden="1" outlineLevel="2">
      <c r="A100" s="132">
        <v>45963.0</v>
      </c>
      <c r="B100" s="329">
        <v>0.0</v>
      </c>
      <c r="C100" s="123">
        <v>0.0</v>
      </c>
      <c r="D100" s="123">
        <f t="shared" si="27"/>
        <v>0</v>
      </c>
      <c r="E100" s="329">
        <v>0.0</v>
      </c>
      <c r="F100" s="123">
        <v>0.0</v>
      </c>
      <c r="G100" s="123">
        <f t="shared" si="28"/>
        <v>0</v>
      </c>
      <c r="H100" s="330">
        <v>0.0</v>
      </c>
      <c r="I100" s="124">
        <v>0.0</v>
      </c>
      <c r="J100" s="124">
        <f t="shared" si="29"/>
        <v>0</v>
      </c>
      <c r="K100" s="125" t="str">
        <f t="shared" si="30"/>
        <v/>
      </c>
      <c r="L100" s="125">
        <v>0.0</v>
      </c>
      <c r="M100" s="125">
        <f t="shared" si="7"/>
        <v>0</v>
      </c>
      <c r="N100" s="124" t="str">
        <f t="shared" si="16"/>
        <v/>
      </c>
      <c r="O100" s="126">
        <v>0.0</v>
      </c>
      <c r="P100" s="124">
        <f t="shared" si="6"/>
        <v>0</v>
      </c>
      <c r="R100" s="113" t="s">
        <v>8</v>
      </c>
      <c r="S100" s="116">
        <v>50000.0</v>
      </c>
    </row>
    <row r="101" hidden="1" outlineLevel="2">
      <c r="A101" s="132">
        <v>45964.0</v>
      </c>
      <c r="B101" s="329">
        <v>0.0</v>
      </c>
      <c r="C101" s="123">
        <v>20.0</v>
      </c>
      <c r="D101" s="123">
        <f t="shared" si="27"/>
        <v>-20</v>
      </c>
      <c r="E101" s="329">
        <v>0.0</v>
      </c>
      <c r="F101" s="123">
        <v>8.0</v>
      </c>
      <c r="G101" s="123">
        <f t="shared" si="28"/>
        <v>-8</v>
      </c>
      <c r="H101" s="330">
        <v>198.7</v>
      </c>
      <c r="I101" s="124">
        <v>0.0</v>
      </c>
      <c r="J101" s="124">
        <f t="shared" si="29"/>
        <v>198.7</v>
      </c>
      <c r="K101" s="125" t="str">
        <f t="shared" si="30"/>
        <v/>
      </c>
      <c r="L101" s="125">
        <v>0.5</v>
      </c>
      <c r="M101" s="125">
        <f t="shared" si="7"/>
        <v>0.5</v>
      </c>
      <c r="N101" s="124" t="str">
        <f t="shared" si="16"/>
        <v/>
      </c>
      <c r="O101" s="126">
        <v>200.0</v>
      </c>
      <c r="P101" s="124">
        <f t="shared" si="6"/>
        <v>-200</v>
      </c>
      <c r="R101" s="113" t="s">
        <v>45</v>
      </c>
      <c r="S101" s="117">
        <f>S100/30</f>
        <v>1666.666667</v>
      </c>
    </row>
    <row r="102" hidden="1" outlineLevel="2">
      <c r="A102" s="132">
        <v>45965.0</v>
      </c>
      <c r="B102" s="329">
        <v>0.0</v>
      </c>
      <c r="C102" s="123">
        <v>20.0</v>
      </c>
      <c r="D102" s="123">
        <f t="shared" si="27"/>
        <v>-20</v>
      </c>
      <c r="E102" s="329">
        <v>0.0</v>
      </c>
      <c r="F102" s="123">
        <v>8.0</v>
      </c>
      <c r="G102" s="123">
        <f t="shared" si="28"/>
        <v>-8</v>
      </c>
      <c r="H102" s="330">
        <v>0.0</v>
      </c>
      <c r="I102" s="124">
        <v>0.0</v>
      </c>
      <c r="J102" s="124">
        <f t="shared" si="29"/>
        <v>0</v>
      </c>
      <c r="K102" s="125" t="str">
        <f t="shared" si="30"/>
        <v/>
      </c>
      <c r="L102" s="125">
        <v>0.5</v>
      </c>
      <c r="M102" s="125">
        <f t="shared" si="7"/>
        <v>0.5</v>
      </c>
      <c r="N102" s="124" t="str">
        <f t="shared" si="16"/>
        <v/>
      </c>
      <c r="O102" s="126">
        <v>200.0</v>
      </c>
      <c r="P102" s="124">
        <f t="shared" si="6"/>
        <v>-200</v>
      </c>
      <c r="R102" s="113" t="s">
        <v>46</v>
      </c>
      <c r="S102" s="117">
        <f>S100/20</f>
        <v>2500</v>
      </c>
    </row>
    <row r="103" hidden="1" outlineLevel="2">
      <c r="A103" s="132">
        <v>45966.0</v>
      </c>
      <c r="B103" s="329">
        <v>0.0</v>
      </c>
      <c r="C103" s="123">
        <v>20.0</v>
      </c>
      <c r="D103" s="123">
        <f t="shared" si="27"/>
        <v>-20</v>
      </c>
      <c r="E103" s="329">
        <v>0.0</v>
      </c>
      <c r="F103" s="123">
        <v>8.0</v>
      </c>
      <c r="G103" s="123">
        <f t="shared" si="28"/>
        <v>-8</v>
      </c>
      <c r="H103" s="330">
        <v>0.0</v>
      </c>
      <c r="I103" s="124">
        <v>0.0</v>
      </c>
      <c r="J103" s="124">
        <f t="shared" si="29"/>
        <v>0</v>
      </c>
      <c r="K103" s="125" t="str">
        <f t="shared" si="30"/>
        <v/>
      </c>
      <c r="L103" s="125">
        <v>0.5</v>
      </c>
      <c r="M103" s="125">
        <f t="shared" si="7"/>
        <v>0.5</v>
      </c>
      <c r="N103" s="124" t="str">
        <f t="shared" si="16"/>
        <v/>
      </c>
      <c r="O103" s="126">
        <v>200.0</v>
      </c>
      <c r="P103" s="124">
        <f t="shared" si="6"/>
        <v>-200</v>
      </c>
      <c r="R103" s="113" t="s">
        <v>7</v>
      </c>
      <c r="S103" s="117">
        <f>H98</f>
        <v>198.7</v>
      </c>
    </row>
    <row r="104" hidden="1" outlineLevel="2">
      <c r="A104" s="132">
        <v>45967.0</v>
      </c>
      <c r="B104" s="329">
        <v>0.0</v>
      </c>
      <c r="C104" s="123">
        <v>20.0</v>
      </c>
      <c r="D104" s="123">
        <f t="shared" si="27"/>
        <v>-20</v>
      </c>
      <c r="E104" s="329">
        <v>0.0</v>
      </c>
      <c r="F104" s="123">
        <v>8.0</v>
      </c>
      <c r="G104" s="123">
        <f t="shared" si="28"/>
        <v>-8</v>
      </c>
      <c r="H104" s="330">
        <v>0.0</v>
      </c>
      <c r="I104" s="124">
        <v>0.0</v>
      </c>
      <c r="J104" s="124">
        <f t="shared" si="29"/>
        <v>0</v>
      </c>
      <c r="K104" s="125" t="str">
        <f t="shared" si="30"/>
        <v/>
      </c>
      <c r="L104" s="125">
        <v>0.5</v>
      </c>
      <c r="M104" s="125">
        <f t="shared" si="7"/>
        <v>0.5</v>
      </c>
      <c r="N104" s="124" t="str">
        <f t="shared" si="16"/>
        <v/>
      </c>
      <c r="O104" s="126">
        <v>200.0</v>
      </c>
      <c r="P104" s="124">
        <f t="shared" si="6"/>
        <v>-200</v>
      </c>
      <c r="R104" s="113" t="s">
        <v>47</v>
      </c>
      <c r="S104" s="119">
        <f>S103/S100</f>
        <v>0.003974</v>
      </c>
    </row>
    <row r="105" hidden="1" outlineLevel="2">
      <c r="A105" s="132">
        <v>45968.0</v>
      </c>
      <c r="B105" s="329">
        <v>0.0</v>
      </c>
      <c r="C105" s="123">
        <v>20.0</v>
      </c>
      <c r="D105" s="123"/>
      <c r="E105" s="329">
        <v>0.0</v>
      </c>
      <c r="F105" s="123">
        <v>8.0</v>
      </c>
      <c r="G105" s="123"/>
      <c r="H105" s="330">
        <v>0.0</v>
      </c>
      <c r="I105" s="124">
        <v>0.0</v>
      </c>
      <c r="J105" s="124">
        <f t="shared" si="29"/>
        <v>0</v>
      </c>
      <c r="K105" s="125" t="str">
        <f t="shared" si="30"/>
        <v/>
      </c>
      <c r="L105" s="125">
        <v>0.5</v>
      </c>
      <c r="M105" s="125">
        <f t="shared" si="7"/>
        <v>0.5</v>
      </c>
      <c r="N105" s="124" t="str">
        <f t="shared" si="16"/>
        <v/>
      </c>
      <c r="O105" s="126">
        <v>200.0</v>
      </c>
      <c r="P105" s="124">
        <f t="shared" si="6"/>
        <v>-200</v>
      </c>
      <c r="R105" s="113" t="s">
        <v>48</v>
      </c>
      <c r="S105" s="120">
        <v>12.0</v>
      </c>
    </row>
    <row r="106" hidden="1" outlineLevel="2">
      <c r="A106" s="132">
        <v>45969.0</v>
      </c>
      <c r="B106" s="329">
        <v>0.0</v>
      </c>
      <c r="C106" s="123">
        <v>10.0</v>
      </c>
      <c r="D106" s="123">
        <f t="shared" ref="D106:D128" si="31">B106-C106</f>
        <v>-10</v>
      </c>
      <c r="E106" s="329">
        <v>0.0</v>
      </c>
      <c r="F106" s="123">
        <v>4.0</v>
      </c>
      <c r="G106" s="123">
        <f t="shared" ref="G106:G128" si="32">E106-F106</f>
        <v>-4</v>
      </c>
      <c r="H106" s="330">
        <v>0.0</v>
      </c>
      <c r="I106" s="124">
        <v>0.0</v>
      </c>
      <c r="J106" s="124">
        <f t="shared" si="29"/>
        <v>0</v>
      </c>
      <c r="K106" s="125" t="str">
        <f t="shared" si="30"/>
        <v/>
      </c>
      <c r="L106" s="125">
        <v>0.0</v>
      </c>
      <c r="M106" s="125">
        <f t="shared" si="7"/>
        <v>0</v>
      </c>
      <c r="N106" s="124" t="str">
        <f t="shared" si="16"/>
        <v/>
      </c>
      <c r="O106" s="126">
        <v>0.0</v>
      </c>
      <c r="P106" s="124">
        <f t="shared" si="6"/>
        <v>0</v>
      </c>
      <c r="R106" s="113" t="s">
        <v>49</v>
      </c>
      <c r="S106" s="121">
        <f>(S100-S103)/S105</f>
        <v>4150.108333</v>
      </c>
    </row>
    <row r="107" hidden="1" outlineLevel="2">
      <c r="A107" s="132">
        <v>45970.0</v>
      </c>
      <c r="B107" s="329">
        <v>0.0</v>
      </c>
      <c r="C107" s="123">
        <v>0.0</v>
      </c>
      <c r="D107" s="123">
        <f t="shared" si="31"/>
        <v>0</v>
      </c>
      <c r="E107" s="329">
        <v>0.0</v>
      </c>
      <c r="F107" s="123">
        <v>0.0</v>
      </c>
      <c r="G107" s="123">
        <f t="shared" si="32"/>
        <v>0</v>
      </c>
      <c r="H107" s="330">
        <v>0.0</v>
      </c>
      <c r="I107" s="124">
        <v>0.0</v>
      </c>
      <c r="J107" s="124">
        <f t="shared" si="29"/>
        <v>0</v>
      </c>
      <c r="K107" s="125" t="str">
        <f t="shared" si="30"/>
        <v/>
      </c>
      <c r="L107" s="125">
        <v>0.0</v>
      </c>
      <c r="M107" s="125">
        <f t="shared" si="7"/>
        <v>0</v>
      </c>
      <c r="N107" s="124" t="str">
        <f t="shared" si="16"/>
        <v/>
      </c>
      <c r="O107" s="126">
        <v>0.0</v>
      </c>
      <c r="P107" s="124">
        <f t="shared" si="6"/>
        <v>0</v>
      </c>
      <c r="R107" s="113" t="s">
        <v>50</v>
      </c>
      <c r="S107" s="122" t="str">
        <f>N98</f>
        <v/>
      </c>
    </row>
    <row r="108" hidden="1" outlineLevel="2">
      <c r="A108" s="132">
        <v>45971.0</v>
      </c>
      <c r="B108" s="329">
        <v>0.0</v>
      </c>
      <c r="C108" s="123">
        <v>20.0</v>
      </c>
      <c r="D108" s="123">
        <f t="shared" si="31"/>
        <v>-20</v>
      </c>
      <c r="E108" s="329">
        <v>0.0</v>
      </c>
      <c r="F108" s="123">
        <v>8.0</v>
      </c>
      <c r="G108" s="123">
        <f t="shared" si="32"/>
        <v>-8</v>
      </c>
      <c r="H108" s="330">
        <v>0.0</v>
      </c>
      <c r="I108" s="124">
        <v>0.0</v>
      </c>
      <c r="J108" s="124">
        <f t="shared" si="29"/>
        <v>0</v>
      </c>
      <c r="K108" s="125" t="str">
        <f t="shared" si="30"/>
        <v/>
      </c>
      <c r="L108" s="125">
        <v>0.5</v>
      </c>
      <c r="M108" s="125">
        <f t="shared" si="7"/>
        <v>0.5</v>
      </c>
      <c r="N108" s="124" t="str">
        <f t="shared" si="16"/>
        <v/>
      </c>
      <c r="O108" s="126">
        <v>200.0</v>
      </c>
      <c r="P108" s="124">
        <f t="shared" si="6"/>
        <v>-200</v>
      </c>
      <c r="R108" s="113" t="s">
        <v>51</v>
      </c>
      <c r="S108" s="128">
        <f>B98</f>
        <v>0</v>
      </c>
    </row>
    <row r="109" hidden="1" outlineLevel="2">
      <c r="A109" s="132">
        <v>45972.0</v>
      </c>
      <c r="B109" s="329">
        <v>0.0</v>
      </c>
      <c r="C109" s="123">
        <v>20.0</v>
      </c>
      <c r="D109" s="123">
        <f t="shared" si="31"/>
        <v>-20</v>
      </c>
      <c r="E109" s="329">
        <v>0.0</v>
      </c>
      <c r="F109" s="123">
        <v>8.0</v>
      </c>
      <c r="G109" s="123">
        <f t="shared" si="32"/>
        <v>-8</v>
      </c>
      <c r="H109" s="330">
        <v>0.0</v>
      </c>
      <c r="I109" s="124">
        <v>0.0</v>
      </c>
      <c r="J109" s="124">
        <f t="shared" si="29"/>
        <v>0</v>
      </c>
      <c r="K109" s="125" t="str">
        <f t="shared" si="30"/>
        <v/>
      </c>
      <c r="L109" s="125">
        <v>0.5</v>
      </c>
      <c r="M109" s="125">
        <f t="shared" si="7"/>
        <v>0.5</v>
      </c>
      <c r="N109" s="124" t="str">
        <f t="shared" si="16"/>
        <v/>
      </c>
      <c r="O109" s="126">
        <v>200.0</v>
      </c>
      <c r="P109" s="124">
        <f t="shared" si="6"/>
        <v>-200</v>
      </c>
      <c r="R109" s="113" t="s">
        <v>52</v>
      </c>
      <c r="S109" s="128">
        <f>E98</f>
        <v>0</v>
      </c>
    </row>
    <row r="110" hidden="1" outlineLevel="2">
      <c r="A110" s="132">
        <v>45973.0</v>
      </c>
      <c r="B110" s="329">
        <v>0.0</v>
      </c>
      <c r="C110" s="123">
        <v>20.0</v>
      </c>
      <c r="D110" s="123">
        <f t="shared" si="31"/>
        <v>-20</v>
      </c>
      <c r="E110" s="329">
        <v>0.0</v>
      </c>
      <c r="F110" s="123">
        <v>8.0</v>
      </c>
      <c r="G110" s="123">
        <f t="shared" si="32"/>
        <v>-8</v>
      </c>
      <c r="H110" s="330">
        <v>0.0</v>
      </c>
      <c r="I110" s="124">
        <v>0.0</v>
      </c>
      <c r="J110" s="124">
        <f t="shared" si="29"/>
        <v>0</v>
      </c>
      <c r="K110" s="125" t="str">
        <f t="shared" si="30"/>
        <v/>
      </c>
      <c r="L110" s="125">
        <v>0.5</v>
      </c>
      <c r="M110" s="125">
        <f t="shared" si="7"/>
        <v>0.5</v>
      </c>
      <c r="N110" s="124" t="str">
        <f t="shared" si="16"/>
        <v/>
      </c>
      <c r="O110" s="126">
        <v>200.0</v>
      </c>
      <c r="P110" s="124">
        <f t="shared" si="6"/>
        <v>-200</v>
      </c>
      <c r="R110" s="113" t="s">
        <v>4</v>
      </c>
      <c r="S110" s="119" t="str">
        <f>E98/B98</f>
        <v>#DIV/0!</v>
      </c>
    </row>
    <row r="111" hidden="1" outlineLevel="2">
      <c r="A111" s="132">
        <v>45974.0</v>
      </c>
      <c r="B111" s="329">
        <v>0.0</v>
      </c>
      <c r="C111" s="123">
        <v>20.0</v>
      </c>
      <c r="D111" s="123">
        <f t="shared" si="31"/>
        <v>-20</v>
      </c>
      <c r="E111" s="329">
        <v>0.0</v>
      </c>
      <c r="F111" s="123">
        <v>8.0</v>
      </c>
      <c r="G111" s="123">
        <f t="shared" si="32"/>
        <v>-8</v>
      </c>
      <c r="H111" s="330">
        <v>0.0</v>
      </c>
      <c r="I111" s="124">
        <v>0.0</v>
      </c>
      <c r="J111" s="124">
        <f t="shared" si="29"/>
        <v>0</v>
      </c>
      <c r="K111" s="125" t="str">
        <f t="shared" si="30"/>
        <v/>
      </c>
      <c r="L111" s="125">
        <v>0.5</v>
      </c>
      <c r="M111" s="125">
        <f t="shared" si="7"/>
        <v>0.5</v>
      </c>
      <c r="N111" s="124" t="str">
        <f t="shared" si="16"/>
        <v/>
      </c>
      <c r="O111" s="126">
        <v>200.0</v>
      </c>
      <c r="P111" s="124">
        <f t="shared" si="6"/>
        <v>-200</v>
      </c>
      <c r="S111" s="94"/>
    </row>
    <row r="112" hidden="1" outlineLevel="2">
      <c r="A112" s="132">
        <v>45975.0</v>
      </c>
      <c r="B112" s="329">
        <v>0.0</v>
      </c>
      <c r="C112" s="123">
        <v>20.0</v>
      </c>
      <c r="D112" s="123">
        <f t="shared" si="31"/>
        <v>-20</v>
      </c>
      <c r="E112" s="329">
        <v>0.0</v>
      </c>
      <c r="F112" s="123">
        <v>8.0</v>
      </c>
      <c r="G112" s="123">
        <f t="shared" si="32"/>
        <v>-8</v>
      </c>
      <c r="H112" s="330">
        <v>0.0</v>
      </c>
      <c r="I112" s="124">
        <v>0.0</v>
      </c>
      <c r="J112" s="124">
        <f t="shared" si="29"/>
        <v>0</v>
      </c>
      <c r="K112" s="125" t="str">
        <f t="shared" si="30"/>
        <v/>
      </c>
      <c r="L112" s="125">
        <v>0.5</v>
      </c>
      <c r="M112" s="125">
        <f t="shared" si="7"/>
        <v>0.5</v>
      </c>
      <c r="N112" s="124" t="str">
        <f t="shared" si="16"/>
        <v/>
      </c>
      <c r="O112" s="126">
        <v>200.0</v>
      </c>
      <c r="P112" s="124">
        <f t="shared" si="6"/>
        <v>-200</v>
      </c>
      <c r="S112" s="94"/>
    </row>
    <row r="113" hidden="1" outlineLevel="2">
      <c r="A113" s="132">
        <v>45976.0</v>
      </c>
      <c r="B113" s="329">
        <v>0.0</v>
      </c>
      <c r="C113" s="123">
        <v>10.0</v>
      </c>
      <c r="D113" s="123">
        <f t="shared" si="31"/>
        <v>-10</v>
      </c>
      <c r="E113" s="329">
        <v>0.0</v>
      </c>
      <c r="F113" s="123">
        <v>4.0</v>
      </c>
      <c r="G113" s="123">
        <f t="shared" si="32"/>
        <v>-4</v>
      </c>
      <c r="H113" s="330">
        <v>0.0</v>
      </c>
      <c r="I113" s="124">
        <v>0.0</v>
      </c>
      <c r="J113" s="124">
        <f t="shared" si="29"/>
        <v>0</v>
      </c>
      <c r="K113" s="125" t="str">
        <f t="shared" si="30"/>
        <v/>
      </c>
      <c r="L113" s="125">
        <v>0.0</v>
      </c>
      <c r="M113" s="125">
        <f t="shared" si="7"/>
        <v>0</v>
      </c>
      <c r="N113" s="124" t="str">
        <f t="shared" si="16"/>
        <v/>
      </c>
      <c r="O113" s="126">
        <v>0.0</v>
      </c>
      <c r="P113" s="124">
        <f t="shared" si="6"/>
        <v>0</v>
      </c>
      <c r="S113" s="94"/>
    </row>
    <row r="114" hidden="1" outlineLevel="2">
      <c r="A114" s="132">
        <v>45977.0</v>
      </c>
      <c r="B114" s="329">
        <v>0.0</v>
      </c>
      <c r="C114" s="123">
        <v>0.0</v>
      </c>
      <c r="D114" s="123">
        <f t="shared" si="31"/>
        <v>0</v>
      </c>
      <c r="E114" s="329">
        <v>0.0</v>
      </c>
      <c r="F114" s="123">
        <v>0.0</v>
      </c>
      <c r="G114" s="123">
        <f t="shared" si="32"/>
        <v>0</v>
      </c>
      <c r="H114" s="330">
        <v>0.0</v>
      </c>
      <c r="I114" s="124">
        <v>0.0</v>
      </c>
      <c r="J114" s="124">
        <f t="shared" si="29"/>
        <v>0</v>
      </c>
      <c r="K114" s="125" t="str">
        <f t="shared" si="30"/>
        <v/>
      </c>
      <c r="L114" s="125">
        <v>0.0</v>
      </c>
      <c r="M114" s="125">
        <f t="shared" si="7"/>
        <v>0</v>
      </c>
      <c r="N114" s="124" t="str">
        <f t="shared" si="16"/>
        <v/>
      </c>
      <c r="O114" s="126">
        <v>0.0</v>
      </c>
      <c r="P114" s="124">
        <f t="shared" si="6"/>
        <v>0</v>
      </c>
      <c r="S114" s="94"/>
    </row>
    <row r="115" hidden="1" outlineLevel="2">
      <c r="A115" s="132">
        <v>45978.0</v>
      </c>
      <c r="B115" s="329">
        <v>0.0</v>
      </c>
      <c r="C115" s="123">
        <v>20.0</v>
      </c>
      <c r="D115" s="123">
        <f t="shared" si="31"/>
        <v>-20</v>
      </c>
      <c r="E115" s="329">
        <v>0.0</v>
      </c>
      <c r="F115" s="123">
        <v>8.0</v>
      </c>
      <c r="G115" s="123">
        <f t="shared" si="32"/>
        <v>-8</v>
      </c>
      <c r="H115" s="330">
        <v>0.0</v>
      </c>
      <c r="I115" s="124">
        <v>0.0</v>
      </c>
      <c r="J115" s="124">
        <f t="shared" si="29"/>
        <v>0</v>
      </c>
      <c r="K115" s="125" t="str">
        <f t="shared" si="30"/>
        <v/>
      </c>
      <c r="L115" s="125">
        <v>0.5</v>
      </c>
      <c r="M115" s="125">
        <f t="shared" si="7"/>
        <v>0.5</v>
      </c>
      <c r="N115" s="124" t="str">
        <f t="shared" si="16"/>
        <v/>
      </c>
      <c r="O115" s="126">
        <v>200.0</v>
      </c>
      <c r="P115" s="124">
        <f t="shared" si="6"/>
        <v>-200</v>
      </c>
      <c r="S115" s="94"/>
    </row>
    <row r="116" hidden="1" outlineLevel="2">
      <c r="A116" s="132">
        <v>45979.0</v>
      </c>
      <c r="B116" s="329">
        <v>0.0</v>
      </c>
      <c r="C116" s="123">
        <v>20.0</v>
      </c>
      <c r="D116" s="123">
        <f t="shared" si="31"/>
        <v>-20</v>
      </c>
      <c r="E116" s="329">
        <v>0.0</v>
      </c>
      <c r="F116" s="123">
        <v>8.0</v>
      </c>
      <c r="G116" s="123">
        <f t="shared" si="32"/>
        <v>-8</v>
      </c>
      <c r="H116" s="330">
        <v>0.0</v>
      </c>
      <c r="I116" s="124">
        <v>0.0</v>
      </c>
      <c r="J116" s="124">
        <f t="shared" si="29"/>
        <v>0</v>
      </c>
      <c r="K116" s="125" t="str">
        <f t="shared" si="30"/>
        <v/>
      </c>
      <c r="L116" s="125">
        <v>0.5</v>
      </c>
      <c r="M116" s="125">
        <f t="shared" si="7"/>
        <v>0.5</v>
      </c>
      <c r="N116" s="124" t="str">
        <f t="shared" si="16"/>
        <v/>
      </c>
      <c r="O116" s="126">
        <v>200.0</v>
      </c>
      <c r="P116" s="124">
        <f t="shared" si="6"/>
        <v>-200</v>
      </c>
      <c r="S116" s="94"/>
    </row>
    <row r="117" hidden="1" outlineLevel="2">
      <c r="A117" s="132">
        <v>45980.0</v>
      </c>
      <c r="B117" s="329">
        <v>0.0</v>
      </c>
      <c r="C117" s="123">
        <v>20.0</v>
      </c>
      <c r="D117" s="123">
        <f t="shared" si="31"/>
        <v>-20</v>
      </c>
      <c r="E117" s="329">
        <v>0.0</v>
      </c>
      <c r="F117" s="123">
        <v>8.0</v>
      </c>
      <c r="G117" s="123">
        <f t="shared" si="32"/>
        <v>-8</v>
      </c>
      <c r="H117" s="330">
        <v>0.0</v>
      </c>
      <c r="I117" s="124">
        <v>0.0</v>
      </c>
      <c r="J117" s="124">
        <f t="shared" si="29"/>
        <v>0</v>
      </c>
      <c r="K117" s="125" t="str">
        <f t="shared" si="30"/>
        <v/>
      </c>
      <c r="L117" s="125">
        <v>0.5</v>
      </c>
      <c r="M117" s="125">
        <f t="shared" si="7"/>
        <v>0.5</v>
      </c>
      <c r="N117" s="124" t="str">
        <f t="shared" si="16"/>
        <v/>
      </c>
      <c r="O117" s="126">
        <v>200.0</v>
      </c>
      <c r="P117" s="124">
        <f t="shared" si="6"/>
        <v>-200</v>
      </c>
      <c r="S117" s="94"/>
    </row>
    <row r="118" hidden="1" outlineLevel="2">
      <c r="A118" s="132">
        <v>45981.0</v>
      </c>
      <c r="B118" s="329">
        <v>0.0</v>
      </c>
      <c r="C118" s="123">
        <v>20.0</v>
      </c>
      <c r="D118" s="123">
        <f t="shared" si="31"/>
        <v>-20</v>
      </c>
      <c r="E118" s="329">
        <v>0.0</v>
      </c>
      <c r="F118" s="123">
        <v>8.0</v>
      </c>
      <c r="G118" s="123">
        <f t="shared" si="32"/>
        <v>-8</v>
      </c>
      <c r="H118" s="330">
        <v>0.0</v>
      </c>
      <c r="I118" s="124">
        <v>0.0</v>
      </c>
      <c r="J118" s="124">
        <f t="shared" si="29"/>
        <v>0</v>
      </c>
      <c r="K118" s="125" t="str">
        <f t="shared" si="30"/>
        <v/>
      </c>
      <c r="L118" s="125">
        <v>0.5</v>
      </c>
      <c r="M118" s="125">
        <f t="shared" si="7"/>
        <v>0.5</v>
      </c>
      <c r="N118" s="124" t="str">
        <f t="shared" si="16"/>
        <v/>
      </c>
      <c r="O118" s="126">
        <v>200.0</v>
      </c>
      <c r="P118" s="124">
        <f t="shared" si="6"/>
        <v>-200</v>
      </c>
      <c r="S118" s="94"/>
    </row>
    <row r="119" hidden="1" outlineLevel="2">
      <c r="A119" s="132">
        <v>45982.0</v>
      </c>
      <c r="B119" s="329">
        <v>0.0</v>
      </c>
      <c r="C119" s="123">
        <v>20.0</v>
      </c>
      <c r="D119" s="123">
        <f t="shared" si="31"/>
        <v>-20</v>
      </c>
      <c r="E119" s="329">
        <v>0.0</v>
      </c>
      <c r="F119" s="123">
        <v>8.0</v>
      </c>
      <c r="G119" s="123">
        <f t="shared" si="32"/>
        <v>-8</v>
      </c>
      <c r="H119" s="330">
        <v>0.0</v>
      </c>
      <c r="I119" s="124">
        <v>0.0</v>
      </c>
      <c r="J119" s="124">
        <f t="shared" si="29"/>
        <v>0</v>
      </c>
      <c r="K119" s="125" t="str">
        <f t="shared" si="30"/>
        <v/>
      </c>
      <c r="L119" s="125">
        <v>0.5</v>
      </c>
      <c r="M119" s="125">
        <f t="shared" si="7"/>
        <v>0.5</v>
      </c>
      <c r="N119" s="124" t="str">
        <f t="shared" si="16"/>
        <v/>
      </c>
      <c r="O119" s="126">
        <v>200.0</v>
      </c>
      <c r="P119" s="124">
        <f t="shared" si="6"/>
        <v>-200</v>
      </c>
      <c r="S119" s="94"/>
    </row>
    <row r="120" hidden="1" outlineLevel="2">
      <c r="A120" s="132">
        <v>45983.0</v>
      </c>
      <c r="B120" s="329">
        <v>0.0</v>
      </c>
      <c r="C120" s="123">
        <v>10.0</v>
      </c>
      <c r="D120" s="123">
        <f t="shared" si="31"/>
        <v>-10</v>
      </c>
      <c r="E120" s="329">
        <v>0.0</v>
      </c>
      <c r="F120" s="123">
        <v>4.0</v>
      </c>
      <c r="G120" s="123">
        <f t="shared" si="32"/>
        <v>-4</v>
      </c>
      <c r="H120" s="330">
        <v>0.0</v>
      </c>
      <c r="I120" s="124">
        <v>0.0</v>
      </c>
      <c r="J120" s="124">
        <f t="shared" si="29"/>
        <v>0</v>
      </c>
      <c r="K120" s="125" t="str">
        <f t="shared" si="30"/>
        <v/>
      </c>
      <c r="L120" s="125">
        <v>0.0</v>
      </c>
      <c r="M120" s="125">
        <f t="shared" si="7"/>
        <v>0</v>
      </c>
      <c r="N120" s="124" t="str">
        <f t="shared" si="16"/>
        <v/>
      </c>
      <c r="O120" s="126">
        <v>0.0</v>
      </c>
      <c r="P120" s="124">
        <f t="shared" si="6"/>
        <v>0</v>
      </c>
      <c r="S120" s="94"/>
    </row>
    <row r="121" hidden="1" outlineLevel="2">
      <c r="A121" s="132">
        <v>45984.0</v>
      </c>
      <c r="B121" s="329">
        <v>0.0</v>
      </c>
      <c r="C121" s="123">
        <v>0.0</v>
      </c>
      <c r="D121" s="123">
        <f t="shared" si="31"/>
        <v>0</v>
      </c>
      <c r="E121" s="329">
        <v>0.0</v>
      </c>
      <c r="F121" s="123">
        <v>0.0</v>
      </c>
      <c r="G121" s="123">
        <f t="shared" si="32"/>
        <v>0</v>
      </c>
      <c r="H121" s="330">
        <v>0.0</v>
      </c>
      <c r="I121" s="124">
        <v>0.0</v>
      </c>
      <c r="J121" s="124">
        <f t="shared" si="29"/>
        <v>0</v>
      </c>
      <c r="K121" s="125" t="str">
        <f t="shared" si="30"/>
        <v/>
      </c>
      <c r="L121" s="125">
        <v>0.0</v>
      </c>
      <c r="M121" s="125">
        <f t="shared" si="7"/>
        <v>0</v>
      </c>
      <c r="N121" s="124" t="str">
        <f t="shared" si="16"/>
        <v/>
      </c>
      <c r="O121" s="126">
        <v>0.0</v>
      </c>
      <c r="P121" s="124">
        <f t="shared" si="6"/>
        <v>0</v>
      </c>
      <c r="S121" s="94"/>
    </row>
    <row r="122" hidden="1" outlineLevel="2">
      <c r="A122" s="132">
        <v>45985.0</v>
      </c>
      <c r="B122" s="329">
        <v>0.0</v>
      </c>
      <c r="C122" s="387">
        <v>20.0</v>
      </c>
      <c r="D122" s="123">
        <f t="shared" si="31"/>
        <v>-20</v>
      </c>
      <c r="E122" s="329">
        <v>0.0</v>
      </c>
      <c r="F122" s="123">
        <v>8.0</v>
      </c>
      <c r="G122" s="123">
        <f t="shared" si="32"/>
        <v>-8</v>
      </c>
      <c r="H122" s="330">
        <v>0.0</v>
      </c>
      <c r="I122" s="124">
        <v>0.0</v>
      </c>
      <c r="J122" s="124">
        <f t="shared" si="29"/>
        <v>0</v>
      </c>
      <c r="K122" s="125" t="str">
        <f t="shared" si="30"/>
        <v/>
      </c>
      <c r="L122" s="125">
        <v>0.5</v>
      </c>
      <c r="M122" s="125">
        <f t="shared" si="7"/>
        <v>0.5</v>
      </c>
      <c r="N122" s="124" t="str">
        <f t="shared" si="16"/>
        <v/>
      </c>
      <c r="O122" s="126">
        <v>200.0</v>
      </c>
      <c r="P122" s="124">
        <f t="shared" si="6"/>
        <v>-200</v>
      </c>
      <c r="S122" s="94"/>
    </row>
    <row r="123" hidden="1" outlineLevel="2">
      <c r="A123" s="132">
        <v>45986.0</v>
      </c>
      <c r="B123" s="329">
        <v>0.0</v>
      </c>
      <c r="C123" s="388">
        <v>20.0</v>
      </c>
      <c r="D123" s="123">
        <f t="shared" si="31"/>
        <v>-20</v>
      </c>
      <c r="E123" s="329">
        <v>0.0</v>
      </c>
      <c r="F123" s="123">
        <v>8.0</v>
      </c>
      <c r="G123" s="123">
        <f t="shared" si="32"/>
        <v>-8</v>
      </c>
      <c r="H123" s="330">
        <v>0.0</v>
      </c>
      <c r="I123" s="124">
        <v>0.0</v>
      </c>
      <c r="J123" s="124">
        <f t="shared" si="29"/>
        <v>0</v>
      </c>
      <c r="K123" s="125" t="str">
        <f t="shared" si="30"/>
        <v/>
      </c>
      <c r="L123" s="125">
        <v>0.5</v>
      </c>
      <c r="M123" s="125">
        <f t="shared" si="7"/>
        <v>0.5</v>
      </c>
      <c r="N123" s="124" t="str">
        <f t="shared" si="16"/>
        <v/>
      </c>
      <c r="O123" s="126">
        <v>200.0</v>
      </c>
      <c r="P123" s="124">
        <f t="shared" si="6"/>
        <v>-200</v>
      </c>
      <c r="S123" s="94"/>
    </row>
    <row r="124" hidden="1" outlineLevel="2">
      <c r="A124" s="132">
        <v>45987.0</v>
      </c>
      <c r="B124" s="329">
        <v>0.0</v>
      </c>
      <c r="C124" s="387">
        <v>20.0</v>
      </c>
      <c r="D124" s="123">
        <f t="shared" si="31"/>
        <v>-20</v>
      </c>
      <c r="E124" s="329">
        <v>0.0</v>
      </c>
      <c r="F124" s="123">
        <v>8.0</v>
      </c>
      <c r="G124" s="123">
        <f t="shared" si="32"/>
        <v>-8</v>
      </c>
      <c r="H124" s="330">
        <v>0.0</v>
      </c>
      <c r="I124" s="124">
        <v>0.0</v>
      </c>
      <c r="J124" s="124">
        <f t="shared" si="29"/>
        <v>0</v>
      </c>
      <c r="K124" s="125" t="str">
        <f t="shared" si="30"/>
        <v/>
      </c>
      <c r="L124" s="125">
        <v>0.5</v>
      </c>
      <c r="M124" s="125">
        <f t="shared" si="7"/>
        <v>0.5</v>
      </c>
      <c r="N124" s="124" t="str">
        <f t="shared" si="16"/>
        <v/>
      </c>
      <c r="O124" s="126">
        <v>200.0</v>
      </c>
      <c r="P124" s="124">
        <f t="shared" si="6"/>
        <v>-200</v>
      </c>
      <c r="S124" s="94"/>
    </row>
    <row r="125" hidden="1" outlineLevel="2">
      <c r="A125" s="132">
        <v>45988.0</v>
      </c>
      <c r="B125" s="329">
        <v>0.0</v>
      </c>
      <c r="C125" s="388">
        <v>20.0</v>
      </c>
      <c r="D125" s="123">
        <f t="shared" si="31"/>
        <v>-20</v>
      </c>
      <c r="E125" s="329">
        <v>0.0</v>
      </c>
      <c r="F125" s="123">
        <v>8.0</v>
      </c>
      <c r="G125" s="123">
        <f t="shared" si="32"/>
        <v>-8</v>
      </c>
      <c r="H125" s="330">
        <v>0.0</v>
      </c>
      <c r="I125" s="124">
        <v>0.0</v>
      </c>
      <c r="J125" s="124">
        <f t="shared" si="29"/>
        <v>0</v>
      </c>
      <c r="K125" s="125" t="str">
        <f t="shared" si="30"/>
        <v/>
      </c>
      <c r="L125" s="125">
        <v>0.5</v>
      </c>
      <c r="M125" s="125">
        <f t="shared" si="7"/>
        <v>0.5</v>
      </c>
      <c r="N125" s="124" t="str">
        <f t="shared" si="16"/>
        <v/>
      </c>
      <c r="O125" s="126">
        <v>200.0</v>
      </c>
      <c r="P125" s="124">
        <f t="shared" si="6"/>
        <v>-200</v>
      </c>
      <c r="S125" s="94"/>
    </row>
    <row r="126" hidden="1" outlineLevel="2">
      <c r="A126" s="132">
        <v>45989.0</v>
      </c>
      <c r="B126" s="329">
        <v>0.0</v>
      </c>
      <c r="C126" s="387">
        <v>20.0</v>
      </c>
      <c r="D126" s="123">
        <f t="shared" si="31"/>
        <v>-20</v>
      </c>
      <c r="E126" s="329">
        <v>0.0</v>
      </c>
      <c r="F126" s="123">
        <v>8.0</v>
      </c>
      <c r="G126" s="123">
        <f t="shared" si="32"/>
        <v>-8</v>
      </c>
      <c r="H126" s="330">
        <v>0.0</v>
      </c>
      <c r="I126" s="124">
        <v>0.0</v>
      </c>
      <c r="J126" s="124">
        <f t="shared" si="29"/>
        <v>0</v>
      </c>
      <c r="K126" s="125" t="str">
        <f t="shared" si="30"/>
        <v/>
      </c>
      <c r="L126" s="125">
        <v>0.5</v>
      </c>
      <c r="M126" s="125">
        <f t="shared" si="7"/>
        <v>0.5</v>
      </c>
      <c r="N126" s="124" t="str">
        <f t="shared" si="16"/>
        <v/>
      </c>
      <c r="O126" s="126">
        <v>200.0</v>
      </c>
      <c r="P126" s="124">
        <f t="shared" si="6"/>
        <v>-200</v>
      </c>
      <c r="S126" s="94"/>
    </row>
    <row r="127" hidden="1" outlineLevel="2">
      <c r="A127" s="132">
        <v>45990.0</v>
      </c>
      <c r="B127" s="329">
        <v>0.0</v>
      </c>
      <c r="C127" s="388">
        <v>10.0</v>
      </c>
      <c r="D127" s="123">
        <f t="shared" si="31"/>
        <v>-10</v>
      </c>
      <c r="E127" s="329">
        <v>0.0</v>
      </c>
      <c r="F127" s="123">
        <v>4.0</v>
      </c>
      <c r="G127" s="123">
        <f t="shared" si="32"/>
        <v>-4</v>
      </c>
      <c r="H127" s="330">
        <v>0.0</v>
      </c>
      <c r="I127" s="124">
        <v>0.0</v>
      </c>
      <c r="J127" s="124">
        <f t="shared" si="29"/>
        <v>0</v>
      </c>
      <c r="K127" s="125" t="str">
        <f t="shared" si="30"/>
        <v/>
      </c>
      <c r="L127" s="125">
        <v>0.0</v>
      </c>
      <c r="M127" s="125">
        <f t="shared" si="7"/>
        <v>0</v>
      </c>
      <c r="N127" s="124" t="str">
        <f t="shared" si="16"/>
        <v/>
      </c>
      <c r="O127" s="126">
        <v>0.0</v>
      </c>
      <c r="P127" s="124">
        <f t="shared" si="6"/>
        <v>0</v>
      </c>
      <c r="S127" s="94"/>
    </row>
    <row r="128" hidden="1" outlineLevel="2">
      <c r="A128" s="132">
        <v>45991.0</v>
      </c>
      <c r="B128" s="329">
        <v>0.0</v>
      </c>
      <c r="C128" s="387">
        <v>0.0</v>
      </c>
      <c r="D128" s="123">
        <f t="shared" si="31"/>
        <v>0</v>
      </c>
      <c r="E128" s="329">
        <v>0.0</v>
      </c>
      <c r="F128" s="123">
        <v>0.0</v>
      </c>
      <c r="G128" s="123">
        <f t="shared" si="32"/>
        <v>0</v>
      </c>
      <c r="H128" s="330">
        <v>0.0</v>
      </c>
      <c r="I128" s="124">
        <v>0.0</v>
      </c>
      <c r="J128" s="124">
        <f t="shared" si="29"/>
        <v>0</v>
      </c>
      <c r="K128" s="125" t="str">
        <f t="shared" si="30"/>
        <v/>
      </c>
      <c r="L128" s="125">
        <v>0.0</v>
      </c>
      <c r="M128" s="125">
        <f t="shared" si="7"/>
        <v>0</v>
      </c>
      <c r="N128" s="124" t="str">
        <f t="shared" si="16"/>
        <v/>
      </c>
      <c r="O128" s="126">
        <v>0.0</v>
      </c>
      <c r="P128" s="124">
        <f t="shared" si="6"/>
        <v>0</v>
      </c>
      <c r="S128" s="94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9"/>
      <c r="L129" s="140"/>
      <c r="N129" s="138"/>
      <c r="O129" s="141"/>
      <c r="S129" s="94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9"/>
      <c r="L130" s="140"/>
      <c r="N130" s="138"/>
      <c r="O130" s="141"/>
      <c r="S130" s="94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9"/>
      <c r="L131" s="140"/>
      <c r="N131" s="138"/>
      <c r="O131" s="141"/>
      <c r="S131" s="94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9"/>
      <c r="L132" s="140"/>
      <c r="N132" s="138"/>
      <c r="O132" s="141"/>
      <c r="S132" s="94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9"/>
      <c r="L133" s="140"/>
      <c r="N133" s="138"/>
      <c r="O133" s="141"/>
      <c r="S133" s="94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9"/>
      <c r="L134" s="140"/>
      <c r="N134" s="138"/>
      <c r="O134" s="141"/>
      <c r="S134" s="94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9"/>
      <c r="L135" s="140"/>
      <c r="N135" s="138"/>
      <c r="O135" s="141"/>
      <c r="S135" s="94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9"/>
      <c r="L136" s="140"/>
      <c r="N136" s="138"/>
      <c r="O136" s="141"/>
      <c r="S136" s="94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9"/>
      <c r="L137" s="140"/>
      <c r="N137" s="138"/>
      <c r="O137" s="141"/>
      <c r="S137" s="94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9"/>
      <c r="L138" s="140"/>
      <c r="N138" s="138"/>
      <c r="O138" s="141"/>
      <c r="S138" s="94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9"/>
      <c r="L139" s="140"/>
      <c r="N139" s="138"/>
      <c r="O139" s="141"/>
      <c r="S139" s="94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9"/>
      <c r="L140" s="140"/>
      <c r="N140" s="138"/>
      <c r="O140" s="141"/>
      <c r="S140" s="94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9"/>
      <c r="L141" s="140"/>
      <c r="N141" s="138"/>
      <c r="O141" s="141"/>
      <c r="S141" s="94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9"/>
      <c r="L142" s="140"/>
      <c r="N142" s="138"/>
      <c r="O142" s="141"/>
      <c r="S142" s="94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9"/>
      <c r="L143" s="140"/>
      <c r="N143" s="138"/>
      <c r="O143" s="141"/>
      <c r="S143" s="94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9"/>
      <c r="L144" s="140"/>
      <c r="N144" s="138"/>
      <c r="O144" s="141"/>
      <c r="S144" s="94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9"/>
      <c r="L145" s="140"/>
      <c r="N145" s="138"/>
      <c r="O145" s="141"/>
      <c r="S145" s="94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9"/>
      <c r="L146" s="140"/>
      <c r="N146" s="138"/>
      <c r="O146" s="141"/>
      <c r="S146" s="94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9"/>
      <c r="L147" s="140"/>
      <c r="N147" s="138"/>
      <c r="O147" s="141"/>
      <c r="S147" s="94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9"/>
      <c r="L148" s="140"/>
      <c r="N148" s="138"/>
      <c r="O148" s="141"/>
      <c r="S148" s="94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9"/>
      <c r="L149" s="140"/>
      <c r="N149" s="138"/>
      <c r="O149" s="141"/>
      <c r="S149" s="94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9"/>
      <c r="L150" s="140"/>
      <c r="N150" s="138"/>
      <c r="O150" s="141"/>
      <c r="S150" s="94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9"/>
      <c r="L151" s="140"/>
      <c r="N151" s="138"/>
      <c r="O151" s="141"/>
      <c r="S151" s="94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9"/>
      <c r="L152" s="140"/>
      <c r="N152" s="138"/>
      <c r="O152" s="141"/>
      <c r="S152" s="94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9"/>
      <c r="L153" s="140"/>
      <c r="N153" s="138"/>
      <c r="O153" s="141"/>
      <c r="S153" s="94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9"/>
      <c r="L154" s="140"/>
      <c r="N154" s="138"/>
      <c r="O154" s="141"/>
      <c r="S154" s="94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9"/>
      <c r="L155" s="140"/>
      <c r="N155" s="138"/>
      <c r="O155" s="141"/>
      <c r="S155" s="94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9"/>
      <c r="L156" s="140"/>
      <c r="N156" s="138"/>
      <c r="O156" s="141"/>
      <c r="S156" s="94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9"/>
      <c r="L157" s="140"/>
      <c r="N157" s="138"/>
      <c r="O157" s="141"/>
      <c r="S157" s="94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9"/>
      <c r="L158" s="140"/>
      <c r="N158" s="138"/>
      <c r="O158" s="141"/>
      <c r="S158" s="94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9"/>
      <c r="L159" s="140"/>
      <c r="N159" s="138"/>
      <c r="O159" s="141"/>
      <c r="S159" s="94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9"/>
      <c r="L160" s="140"/>
      <c r="N160" s="138"/>
      <c r="O160" s="141"/>
      <c r="S160" s="94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9"/>
      <c r="L161" s="140"/>
      <c r="N161" s="138"/>
      <c r="O161" s="141"/>
      <c r="S161" s="94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9"/>
      <c r="L162" s="140"/>
      <c r="N162" s="138"/>
      <c r="O162" s="141"/>
      <c r="S162" s="94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9"/>
      <c r="L163" s="140"/>
      <c r="N163" s="138"/>
      <c r="O163" s="141"/>
      <c r="S163" s="94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9"/>
      <c r="L164" s="140"/>
      <c r="N164" s="138"/>
      <c r="O164" s="141"/>
      <c r="S164" s="94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9"/>
      <c r="L165" s="140"/>
      <c r="N165" s="138"/>
      <c r="O165" s="141"/>
      <c r="S165" s="94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9"/>
      <c r="L166" s="140"/>
      <c r="N166" s="138"/>
      <c r="O166" s="141"/>
      <c r="S166" s="94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9"/>
      <c r="L167" s="140"/>
      <c r="N167" s="138"/>
      <c r="O167" s="141"/>
      <c r="S167" s="94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9"/>
      <c r="L168" s="140"/>
      <c r="N168" s="138"/>
      <c r="O168" s="141"/>
      <c r="S168" s="94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9"/>
      <c r="L169" s="140"/>
      <c r="N169" s="138"/>
      <c r="O169" s="141"/>
      <c r="S169" s="94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9"/>
      <c r="L170" s="140"/>
      <c r="N170" s="138"/>
      <c r="O170" s="141"/>
      <c r="S170" s="94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9"/>
      <c r="L171" s="140"/>
      <c r="N171" s="138"/>
      <c r="O171" s="141"/>
      <c r="S171" s="94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9"/>
      <c r="L172" s="140"/>
      <c r="N172" s="138"/>
      <c r="O172" s="141"/>
      <c r="S172" s="94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9"/>
      <c r="L173" s="140"/>
      <c r="N173" s="138"/>
      <c r="O173" s="141"/>
      <c r="S173" s="94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9"/>
      <c r="L174" s="140"/>
      <c r="N174" s="138"/>
      <c r="O174" s="141"/>
      <c r="S174" s="94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9"/>
      <c r="L175" s="140"/>
      <c r="N175" s="138"/>
      <c r="O175" s="141"/>
      <c r="S175" s="94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9"/>
      <c r="L176" s="140"/>
      <c r="N176" s="138"/>
      <c r="O176" s="141"/>
      <c r="S176" s="94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9"/>
      <c r="L177" s="140"/>
      <c r="N177" s="138"/>
      <c r="O177" s="141"/>
      <c r="S177" s="94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9"/>
      <c r="L178" s="140"/>
      <c r="N178" s="138"/>
      <c r="O178" s="141"/>
      <c r="S178" s="94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9"/>
      <c r="L179" s="140"/>
      <c r="N179" s="138"/>
      <c r="O179" s="141"/>
      <c r="S179" s="94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9"/>
      <c r="L180" s="140"/>
      <c r="N180" s="138"/>
      <c r="O180" s="141"/>
      <c r="S180" s="94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9"/>
      <c r="L181" s="140"/>
      <c r="N181" s="138"/>
      <c r="O181" s="141"/>
      <c r="S181" s="94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9"/>
      <c r="L182" s="140"/>
      <c r="N182" s="138"/>
      <c r="O182" s="141"/>
      <c r="S182" s="94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9"/>
      <c r="L183" s="140"/>
      <c r="N183" s="138"/>
      <c r="O183" s="141"/>
      <c r="S183" s="94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9"/>
      <c r="L184" s="140"/>
      <c r="N184" s="138"/>
      <c r="O184" s="141"/>
      <c r="S184" s="94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9"/>
      <c r="L185" s="140"/>
      <c r="N185" s="138"/>
      <c r="O185" s="141"/>
      <c r="S185" s="94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9"/>
      <c r="L186" s="140"/>
      <c r="N186" s="138"/>
      <c r="O186" s="141"/>
      <c r="S186" s="94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9"/>
      <c r="L187" s="140"/>
      <c r="N187" s="138"/>
      <c r="O187" s="141"/>
      <c r="S187" s="94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9"/>
      <c r="L188" s="140"/>
      <c r="N188" s="138"/>
      <c r="O188" s="141"/>
      <c r="S188" s="94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9"/>
      <c r="L189" s="140"/>
      <c r="N189" s="138"/>
      <c r="O189" s="141"/>
      <c r="S189" s="94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9"/>
      <c r="L190" s="140"/>
      <c r="N190" s="138"/>
      <c r="O190" s="141"/>
      <c r="S190" s="94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9"/>
      <c r="L191" s="140"/>
      <c r="N191" s="138"/>
      <c r="O191" s="141"/>
      <c r="S191" s="94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9"/>
      <c r="L192" s="140"/>
      <c r="N192" s="138"/>
      <c r="O192" s="141"/>
      <c r="S192" s="94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9"/>
      <c r="L193" s="140"/>
      <c r="N193" s="138"/>
      <c r="O193" s="141"/>
      <c r="S193" s="94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9"/>
      <c r="L194" s="140"/>
      <c r="N194" s="138"/>
      <c r="O194" s="141"/>
      <c r="S194" s="94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9"/>
      <c r="L195" s="140"/>
      <c r="N195" s="138"/>
      <c r="O195" s="141"/>
      <c r="S195" s="94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9"/>
      <c r="L196" s="140"/>
      <c r="N196" s="138"/>
      <c r="O196" s="141"/>
      <c r="S196" s="94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9"/>
      <c r="L197" s="140"/>
      <c r="N197" s="138"/>
      <c r="O197" s="141"/>
      <c r="S197" s="94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9"/>
      <c r="L198" s="140"/>
      <c r="N198" s="138"/>
      <c r="O198" s="141"/>
      <c r="S198" s="94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9"/>
      <c r="L199" s="140"/>
      <c r="N199" s="138"/>
      <c r="O199" s="141"/>
      <c r="S199" s="94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9"/>
      <c r="L200" s="140"/>
      <c r="N200" s="138"/>
      <c r="O200" s="141"/>
      <c r="S200" s="94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9"/>
      <c r="L201" s="140"/>
      <c r="N201" s="138"/>
      <c r="O201" s="141"/>
      <c r="S201" s="94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9"/>
      <c r="L202" s="140"/>
      <c r="N202" s="138"/>
      <c r="O202" s="141"/>
      <c r="S202" s="94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9"/>
      <c r="L203" s="140"/>
      <c r="N203" s="138"/>
      <c r="O203" s="141"/>
      <c r="S203" s="94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9"/>
      <c r="L204" s="140"/>
      <c r="N204" s="138"/>
      <c r="O204" s="141"/>
      <c r="S204" s="94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9"/>
      <c r="L205" s="140"/>
      <c r="N205" s="138"/>
      <c r="O205" s="141"/>
      <c r="S205" s="94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9"/>
      <c r="L206" s="140"/>
      <c r="N206" s="138"/>
      <c r="O206" s="141"/>
      <c r="S206" s="94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9"/>
      <c r="L207" s="140"/>
      <c r="N207" s="138"/>
      <c r="O207" s="141"/>
      <c r="S207" s="94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9"/>
      <c r="L208" s="140"/>
      <c r="N208" s="138"/>
      <c r="O208" s="141"/>
      <c r="S208" s="94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9"/>
      <c r="L209" s="140"/>
      <c r="N209" s="138"/>
      <c r="O209" s="141"/>
      <c r="S209" s="94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9"/>
      <c r="L210" s="140"/>
      <c r="N210" s="138"/>
      <c r="O210" s="141"/>
      <c r="S210" s="94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9"/>
      <c r="L211" s="140"/>
      <c r="N211" s="138"/>
      <c r="O211" s="141"/>
      <c r="S211" s="94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9"/>
      <c r="L212" s="140"/>
      <c r="N212" s="138"/>
      <c r="O212" s="141"/>
      <c r="S212" s="94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9"/>
      <c r="L213" s="140"/>
      <c r="N213" s="138"/>
      <c r="O213" s="141"/>
      <c r="S213" s="94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9"/>
      <c r="L214" s="140"/>
      <c r="N214" s="138"/>
      <c r="O214" s="141"/>
      <c r="S214" s="94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9"/>
      <c r="L215" s="140"/>
      <c r="N215" s="138"/>
      <c r="O215" s="141"/>
      <c r="S215" s="94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9"/>
      <c r="L216" s="140"/>
      <c r="N216" s="138"/>
      <c r="O216" s="141"/>
      <c r="S216" s="94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9"/>
      <c r="L217" s="140"/>
      <c r="N217" s="138"/>
      <c r="O217" s="141"/>
      <c r="S217" s="94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9"/>
      <c r="L218" s="140"/>
      <c r="N218" s="138"/>
      <c r="O218" s="141"/>
      <c r="S218" s="94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9"/>
      <c r="L219" s="140"/>
      <c r="N219" s="138"/>
      <c r="O219" s="141"/>
      <c r="S219" s="94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9"/>
      <c r="L220" s="140"/>
      <c r="N220" s="138"/>
      <c r="O220" s="141"/>
      <c r="S220" s="94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9"/>
      <c r="L221" s="140"/>
      <c r="N221" s="138"/>
      <c r="O221" s="141"/>
      <c r="S221" s="94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9"/>
      <c r="L222" s="140"/>
      <c r="N222" s="138"/>
      <c r="O222" s="141"/>
      <c r="S222" s="94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9"/>
      <c r="L223" s="140"/>
      <c r="N223" s="138"/>
      <c r="O223" s="141"/>
      <c r="S223" s="94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9"/>
      <c r="L224" s="140"/>
      <c r="N224" s="138"/>
      <c r="O224" s="141"/>
      <c r="S224" s="94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9"/>
      <c r="L225" s="140"/>
      <c r="N225" s="138"/>
      <c r="O225" s="141"/>
      <c r="S225" s="94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9"/>
      <c r="L226" s="140"/>
      <c r="N226" s="138"/>
      <c r="O226" s="141"/>
      <c r="S226" s="94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9"/>
      <c r="L227" s="140"/>
      <c r="N227" s="138"/>
      <c r="O227" s="141"/>
      <c r="S227" s="94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9"/>
      <c r="L228" s="140"/>
      <c r="N228" s="138"/>
      <c r="O228" s="141"/>
      <c r="S228" s="94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9"/>
      <c r="L229" s="140"/>
      <c r="N229" s="138"/>
      <c r="O229" s="141"/>
      <c r="S229" s="94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9"/>
      <c r="L230" s="140"/>
      <c r="N230" s="138"/>
      <c r="O230" s="141"/>
      <c r="S230" s="94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9"/>
      <c r="L231" s="140"/>
      <c r="N231" s="138"/>
      <c r="O231" s="141"/>
      <c r="S231" s="94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9"/>
      <c r="L232" s="140"/>
      <c r="N232" s="138"/>
      <c r="O232" s="141"/>
      <c r="S232" s="94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9"/>
      <c r="L233" s="140"/>
      <c r="N233" s="138"/>
      <c r="O233" s="141"/>
      <c r="S233" s="94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9"/>
      <c r="L234" s="140"/>
      <c r="N234" s="138"/>
      <c r="O234" s="141"/>
      <c r="S234" s="94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9"/>
      <c r="L235" s="140"/>
      <c r="N235" s="138"/>
      <c r="O235" s="141"/>
      <c r="S235" s="94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9"/>
      <c r="L236" s="140"/>
      <c r="N236" s="138"/>
      <c r="O236" s="141"/>
      <c r="S236" s="94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9"/>
      <c r="L237" s="140"/>
      <c r="N237" s="138"/>
      <c r="O237" s="141"/>
      <c r="S237" s="94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9"/>
      <c r="L238" s="140"/>
      <c r="N238" s="138"/>
      <c r="O238" s="141"/>
      <c r="S238" s="94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9"/>
      <c r="L239" s="140"/>
      <c r="N239" s="138"/>
      <c r="O239" s="141"/>
      <c r="S239" s="94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9"/>
      <c r="L240" s="140"/>
      <c r="N240" s="138"/>
      <c r="O240" s="141"/>
      <c r="S240" s="94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9"/>
      <c r="L241" s="140"/>
      <c r="N241" s="138"/>
      <c r="O241" s="141"/>
      <c r="S241" s="94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9"/>
      <c r="L242" s="140"/>
      <c r="N242" s="138"/>
      <c r="O242" s="141"/>
      <c r="S242" s="94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9"/>
      <c r="L243" s="140"/>
      <c r="N243" s="138"/>
      <c r="O243" s="141"/>
      <c r="S243" s="94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9"/>
      <c r="L244" s="140"/>
      <c r="N244" s="138"/>
      <c r="O244" s="141"/>
      <c r="S244" s="94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9"/>
      <c r="L245" s="140"/>
      <c r="N245" s="138"/>
      <c r="O245" s="141"/>
      <c r="S245" s="94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9"/>
      <c r="L246" s="140"/>
      <c r="N246" s="138"/>
      <c r="O246" s="141"/>
      <c r="S246" s="94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9"/>
      <c r="L247" s="140"/>
      <c r="N247" s="138"/>
      <c r="O247" s="141"/>
      <c r="S247" s="94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9"/>
      <c r="L248" s="140"/>
      <c r="N248" s="138"/>
      <c r="O248" s="141"/>
      <c r="S248" s="94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9"/>
      <c r="L249" s="140"/>
      <c r="N249" s="138"/>
      <c r="O249" s="141"/>
      <c r="S249" s="94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9"/>
      <c r="L250" s="140"/>
      <c r="N250" s="138"/>
      <c r="O250" s="141"/>
      <c r="S250" s="94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9"/>
      <c r="L251" s="140"/>
      <c r="N251" s="138"/>
      <c r="O251" s="141"/>
      <c r="S251" s="94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9"/>
      <c r="L252" s="140"/>
      <c r="N252" s="138"/>
      <c r="O252" s="141"/>
      <c r="S252" s="94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9"/>
      <c r="L253" s="140"/>
      <c r="N253" s="138"/>
      <c r="O253" s="141"/>
      <c r="S253" s="94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9"/>
      <c r="L254" s="140"/>
      <c r="N254" s="138"/>
      <c r="O254" s="141"/>
      <c r="S254" s="94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9"/>
      <c r="L255" s="140"/>
      <c r="N255" s="138"/>
      <c r="O255" s="141"/>
      <c r="S255" s="94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9"/>
      <c r="L256" s="140"/>
      <c r="N256" s="138"/>
      <c r="O256" s="141"/>
      <c r="S256" s="94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9"/>
      <c r="L257" s="140"/>
      <c r="N257" s="138"/>
      <c r="O257" s="141"/>
      <c r="S257" s="94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9"/>
      <c r="L258" s="140"/>
      <c r="N258" s="138"/>
      <c r="O258" s="141"/>
      <c r="S258" s="94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9"/>
      <c r="L259" s="140"/>
      <c r="N259" s="138"/>
      <c r="O259" s="141"/>
      <c r="S259" s="94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9"/>
      <c r="L260" s="140"/>
      <c r="N260" s="138"/>
      <c r="O260" s="141"/>
      <c r="S260" s="94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9"/>
      <c r="L261" s="140"/>
      <c r="N261" s="138"/>
      <c r="O261" s="141"/>
      <c r="S261" s="94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9"/>
      <c r="L262" s="140"/>
      <c r="N262" s="138"/>
      <c r="O262" s="141"/>
      <c r="S262" s="94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9"/>
      <c r="L263" s="140"/>
      <c r="N263" s="138"/>
      <c r="O263" s="141"/>
      <c r="S263" s="94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9"/>
      <c r="L264" s="140"/>
      <c r="N264" s="138"/>
      <c r="O264" s="141"/>
      <c r="S264" s="94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9"/>
      <c r="L265" s="140"/>
      <c r="N265" s="138"/>
      <c r="O265" s="141"/>
      <c r="S265" s="94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9"/>
      <c r="L266" s="140"/>
      <c r="N266" s="138"/>
      <c r="O266" s="141"/>
      <c r="S266" s="94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9"/>
      <c r="L267" s="140"/>
      <c r="N267" s="138"/>
      <c r="O267" s="141"/>
      <c r="S267" s="94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9"/>
      <c r="L268" s="140"/>
      <c r="N268" s="138"/>
      <c r="O268" s="141"/>
      <c r="S268" s="94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9"/>
      <c r="L269" s="140"/>
      <c r="N269" s="138"/>
      <c r="O269" s="141"/>
      <c r="S269" s="94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9"/>
      <c r="L270" s="140"/>
      <c r="N270" s="138"/>
      <c r="O270" s="141"/>
      <c r="S270" s="94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9"/>
      <c r="L271" s="140"/>
      <c r="N271" s="138"/>
      <c r="O271" s="141"/>
      <c r="S271" s="94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9"/>
      <c r="L272" s="140"/>
      <c r="N272" s="138"/>
      <c r="O272" s="141"/>
      <c r="S272" s="94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9"/>
      <c r="L273" s="140"/>
      <c r="N273" s="138"/>
      <c r="O273" s="141"/>
      <c r="S273" s="94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9"/>
      <c r="L274" s="140"/>
      <c r="N274" s="138"/>
      <c r="O274" s="141"/>
      <c r="S274" s="94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9"/>
      <c r="L275" s="140"/>
      <c r="N275" s="138"/>
      <c r="O275" s="141"/>
      <c r="S275" s="94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9"/>
      <c r="L276" s="140"/>
      <c r="N276" s="138"/>
      <c r="O276" s="141"/>
      <c r="S276" s="94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9"/>
      <c r="L277" s="140"/>
      <c r="N277" s="138"/>
      <c r="O277" s="141"/>
      <c r="S277" s="94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9"/>
      <c r="L278" s="140"/>
      <c r="N278" s="138"/>
      <c r="O278" s="141"/>
      <c r="S278" s="94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9"/>
      <c r="L279" s="140"/>
      <c r="N279" s="138"/>
      <c r="O279" s="141"/>
      <c r="S279" s="94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9"/>
      <c r="L280" s="140"/>
      <c r="N280" s="138"/>
      <c r="O280" s="141"/>
      <c r="S280" s="94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9"/>
      <c r="L281" s="140"/>
      <c r="N281" s="138"/>
      <c r="O281" s="141"/>
      <c r="S281" s="94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9"/>
      <c r="L282" s="140"/>
      <c r="N282" s="138"/>
      <c r="O282" s="141"/>
      <c r="S282" s="94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9"/>
      <c r="L283" s="140"/>
      <c r="N283" s="138"/>
      <c r="O283" s="141"/>
      <c r="S283" s="94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9"/>
      <c r="L284" s="140"/>
      <c r="N284" s="138"/>
      <c r="O284" s="141"/>
      <c r="S284" s="94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9"/>
      <c r="L285" s="140"/>
      <c r="N285" s="138"/>
      <c r="O285" s="141"/>
      <c r="S285" s="94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9"/>
      <c r="L286" s="140"/>
      <c r="N286" s="138"/>
      <c r="O286" s="141"/>
      <c r="S286" s="94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9"/>
      <c r="L287" s="140"/>
      <c r="N287" s="138"/>
      <c r="O287" s="141"/>
      <c r="S287" s="94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9"/>
      <c r="L288" s="140"/>
      <c r="N288" s="138"/>
      <c r="O288" s="141"/>
      <c r="S288" s="94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9"/>
      <c r="L289" s="140"/>
      <c r="N289" s="138"/>
      <c r="O289" s="141"/>
      <c r="S289" s="94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9"/>
      <c r="L290" s="140"/>
      <c r="N290" s="138"/>
      <c r="O290" s="141"/>
      <c r="S290" s="94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9"/>
      <c r="L291" s="140"/>
      <c r="N291" s="138"/>
      <c r="O291" s="141"/>
      <c r="S291" s="94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9"/>
      <c r="L292" s="140"/>
      <c r="N292" s="138"/>
      <c r="O292" s="141"/>
      <c r="S292" s="94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9"/>
      <c r="L293" s="140"/>
      <c r="N293" s="138"/>
      <c r="O293" s="141"/>
      <c r="S293" s="94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9"/>
      <c r="L294" s="140"/>
      <c r="N294" s="138"/>
      <c r="O294" s="141"/>
      <c r="S294" s="94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9"/>
      <c r="L295" s="140"/>
      <c r="N295" s="138"/>
      <c r="O295" s="141"/>
      <c r="S295" s="94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9"/>
      <c r="L296" s="140"/>
      <c r="N296" s="138"/>
      <c r="O296" s="141"/>
      <c r="S296" s="94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9"/>
      <c r="L297" s="140"/>
      <c r="N297" s="138"/>
      <c r="O297" s="141"/>
      <c r="S297" s="94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9"/>
      <c r="L298" s="140"/>
      <c r="N298" s="138"/>
      <c r="O298" s="141"/>
      <c r="S298" s="94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9"/>
      <c r="L299" s="140"/>
      <c r="N299" s="138"/>
      <c r="O299" s="141"/>
      <c r="S299" s="94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9"/>
      <c r="L300" s="140"/>
      <c r="N300" s="138"/>
      <c r="O300" s="141"/>
      <c r="S300" s="94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9"/>
      <c r="L301" s="140"/>
      <c r="N301" s="138"/>
      <c r="O301" s="141"/>
      <c r="S301" s="94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9"/>
      <c r="L302" s="140"/>
      <c r="N302" s="138"/>
      <c r="O302" s="141"/>
      <c r="S302" s="94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9"/>
      <c r="L303" s="140"/>
      <c r="N303" s="138"/>
      <c r="O303" s="141"/>
      <c r="S303" s="94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9"/>
      <c r="L304" s="140"/>
      <c r="N304" s="138"/>
      <c r="O304" s="141"/>
      <c r="S304" s="94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9"/>
      <c r="L305" s="140"/>
      <c r="N305" s="138"/>
      <c r="O305" s="141"/>
      <c r="S305" s="94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9"/>
      <c r="L306" s="140"/>
      <c r="N306" s="138"/>
      <c r="O306" s="141"/>
      <c r="S306" s="94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9"/>
      <c r="L307" s="140"/>
      <c r="N307" s="138"/>
      <c r="O307" s="141"/>
      <c r="S307" s="94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9"/>
      <c r="L308" s="140"/>
      <c r="N308" s="138"/>
      <c r="O308" s="141"/>
      <c r="S308" s="94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9"/>
      <c r="L309" s="140"/>
      <c r="N309" s="138"/>
      <c r="O309" s="141"/>
      <c r="S309" s="94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9"/>
      <c r="L310" s="140"/>
      <c r="N310" s="138"/>
      <c r="O310" s="141"/>
      <c r="S310" s="94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9"/>
      <c r="L311" s="140"/>
      <c r="N311" s="138"/>
      <c r="O311" s="141"/>
      <c r="S311" s="94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9"/>
      <c r="L312" s="140"/>
      <c r="N312" s="138"/>
      <c r="O312" s="141"/>
      <c r="S312" s="94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9"/>
      <c r="L313" s="140"/>
      <c r="N313" s="138"/>
      <c r="O313" s="141"/>
      <c r="S313" s="94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9"/>
      <c r="L314" s="140"/>
      <c r="N314" s="138"/>
      <c r="O314" s="141"/>
      <c r="S314" s="94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9"/>
      <c r="L315" s="140"/>
      <c r="N315" s="138"/>
      <c r="O315" s="141"/>
      <c r="S315" s="94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9"/>
      <c r="L316" s="140"/>
      <c r="N316" s="138"/>
      <c r="O316" s="141"/>
      <c r="S316" s="94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9"/>
      <c r="L317" s="140"/>
      <c r="N317" s="138"/>
      <c r="O317" s="141"/>
      <c r="S317" s="94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9"/>
      <c r="L318" s="140"/>
      <c r="N318" s="138"/>
      <c r="O318" s="141"/>
      <c r="S318" s="94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9"/>
      <c r="L319" s="140"/>
      <c r="N319" s="138"/>
      <c r="O319" s="141"/>
      <c r="S319" s="94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9"/>
      <c r="L320" s="140"/>
      <c r="N320" s="138"/>
      <c r="O320" s="141"/>
      <c r="S320" s="94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9"/>
      <c r="L321" s="140"/>
      <c r="N321" s="138"/>
      <c r="O321" s="141"/>
      <c r="S321" s="94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9"/>
      <c r="L322" s="140"/>
      <c r="N322" s="138"/>
      <c r="O322" s="141"/>
      <c r="S322" s="94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9"/>
      <c r="L323" s="140"/>
      <c r="N323" s="138"/>
      <c r="O323" s="141"/>
      <c r="S323" s="94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9"/>
      <c r="L324" s="140"/>
      <c r="N324" s="138"/>
      <c r="O324" s="141"/>
      <c r="S324" s="94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9"/>
      <c r="L325" s="140"/>
      <c r="N325" s="138"/>
      <c r="O325" s="141"/>
      <c r="S325" s="94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9"/>
      <c r="L326" s="140"/>
      <c r="N326" s="138"/>
      <c r="O326" s="141"/>
      <c r="S326" s="94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9"/>
      <c r="L327" s="140"/>
      <c r="N327" s="138"/>
      <c r="O327" s="141"/>
      <c r="S327" s="94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9"/>
      <c r="L328" s="140"/>
      <c r="N328" s="138"/>
      <c r="O328" s="141"/>
      <c r="S328" s="94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9"/>
      <c r="L329" s="140"/>
      <c r="N329" s="138"/>
      <c r="O329" s="141"/>
      <c r="S329" s="94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9"/>
      <c r="L330" s="140"/>
      <c r="N330" s="138"/>
      <c r="O330" s="141"/>
      <c r="S330" s="94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9"/>
      <c r="L331" s="140"/>
      <c r="N331" s="138"/>
      <c r="O331" s="141"/>
      <c r="S331" s="94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9"/>
      <c r="L332" s="140"/>
      <c r="N332" s="138"/>
      <c r="O332" s="141"/>
      <c r="S332" s="94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9"/>
      <c r="L333" s="140"/>
      <c r="N333" s="138"/>
      <c r="O333" s="141"/>
      <c r="S333" s="94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9"/>
      <c r="L334" s="140"/>
      <c r="N334" s="138"/>
      <c r="O334" s="141"/>
      <c r="S334" s="94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9"/>
      <c r="L335" s="140"/>
      <c r="N335" s="138"/>
      <c r="O335" s="141"/>
      <c r="S335" s="94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9"/>
      <c r="L336" s="140"/>
      <c r="N336" s="138"/>
      <c r="O336" s="141"/>
      <c r="S336" s="94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9"/>
      <c r="L337" s="140"/>
      <c r="N337" s="138"/>
      <c r="O337" s="141"/>
      <c r="S337" s="94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9"/>
      <c r="L338" s="140"/>
      <c r="N338" s="138"/>
      <c r="O338" s="141"/>
      <c r="S338" s="94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9"/>
      <c r="L339" s="140"/>
      <c r="N339" s="138"/>
      <c r="O339" s="141"/>
      <c r="S339" s="94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9"/>
      <c r="L340" s="140"/>
      <c r="N340" s="138"/>
      <c r="O340" s="141"/>
      <c r="S340" s="94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9"/>
      <c r="L341" s="140"/>
      <c r="N341" s="138"/>
      <c r="O341" s="141"/>
      <c r="S341" s="94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9"/>
      <c r="L342" s="140"/>
      <c r="N342" s="138"/>
      <c r="O342" s="141"/>
      <c r="S342" s="94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9"/>
      <c r="L343" s="140"/>
      <c r="N343" s="138"/>
      <c r="O343" s="141"/>
      <c r="S343" s="94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9"/>
      <c r="L344" s="140"/>
      <c r="N344" s="138"/>
      <c r="O344" s="141"/>
      <c r="S344" s="94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9"/>
      <c r="L345" s="140"/>
      <c r="N345" s="138"/>
      <c r="O345" s="141"/>
      <c r="S345" s="94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9"/>
      <c r="L346" s="140"/>
      <c r="N346" s="138"/>
      <c r="O346" s="141"/>
      <c r="S346" s="94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9"/>
      <c r="L347" s="140"/>
      <c r="N347" s="138"/>
      <c r="O347" s="141"/>
      <c r="S347" s="94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9"/>
      <c r="L348" s="140"/>
      <c r="N348" s="138"/>
      <c r="O348" s="141"/>
      <c r="S348" s="94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9"/>
      <c r="L349" s="140"/>
      <c r="N349" s="138"/>
      <c r="O349" s="141"/>
      <c r="S349" s="94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9"/>
      <c r="L350" s="140"/>
      <c r="N350" s="138"/>
      <c r="O350" s="141"/>
      <c r="S350" s="94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9"/>
      <c r="L351" s="140"/>
      <c r="N351" s="138"/>
      <c r="O351" s="141"/>
      <c r="S351" s="94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9"/>
      <c r="L352" s="140"/>
      <c r="N352" s="138"/>
      <c r="O352" s="141"/>
      <c r="S352" s="94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9"/>
      <c r="L353" s="140"/>
      <c r="N353" s="138"/>
      <c r="O353" s="141"/>
      <c r="S353" s="94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9"/>
      <c r="L354" s="140"/>
      <c r="N354" s="138"/>
      <c r="O354" s="141"/>
      <c r="S354" s="94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9"/>
      <c r="L355" s="140"/>
      <c r="N355" s="138"/>
      <c r="O355" s="141"/>
      <c r="S355" s="94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9"/>
      <c r="L356" s="140"/>
      <c r="N356" s="138"/>
      <c r="O356" s="141"/>
      <c r="S356" s="94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9"/>
      <c r="L357" s="140"/>
      <c r="N357" s="138"/>
      <c r="O357" s="141"/>
      <c r="S357" s="94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9"/>
      <c r="L358" s="140"/>
      <c r="N358" s="138"/>
      <c r="O358" s="141"/>
      <c r="S358" s="94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9"/>
      <c r="L359" s="140"/>
      <c r="N359" s="138"/>
      <c r="O359" s="141"/>
      <c r="S359" s="94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9"/>
      <c r="L360" s="140"/>
      <c r="N360" s="138"/>
      <c r="O360" s="141"/>
      <c r="S360" s="94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9"/>
      <c r="L361" s="140"/>
      <c r="N361" s="138"/>
      <c r="O361" s="141"/>
      <c r="S361" s="94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9"/>
      <c r="L362" s="140"/>
      <c r="N362" s="138"/>
      <c r="O362" s="141"/>
      <c r="S362" s="94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9"/>
      <c r="L363" s="140"/>
      <c r="N363" s="138"/>
      <c r="O363" s="141"/>
      <c r="S363" s="94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9"/>
      <c r="L364" s="140"/>
      <c r="N364" s="138"/>
      <c r="O364" s="141"/>
      <c r="S364" s="94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9"/>
      <c r="L365" s="140"/>
      <c r="N365" s="138"/>
      <c r="O365" s="141"/>
      <c r="S365" s="94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9"/>
      <c r="L366" s="140"/>
      <c r="N366" s="138"/>
      <c r="O366" s="141"/>
      <c r="S366" s="94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9"/>
      <c r="L367" s="140"/>
      <c r="N367" s="138"/>
      <c r="O367" s="141"/>
      <c r="S367" s="94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9"/>
      <c r="L368" s="140"/>
      <c r="N368" s="138"/>
      <c r="O368" s="141"/>
      <c r="S368" s="94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9"/>
      <c r="L369" s="140"/>
      <c r="N369" s="138"/>
      <c r="O369" s="141"/>
      <c r="S369" s="94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9"/>
      <c r="L370" s="140"/>
      <c r="N370" s="138"/>
      <c r="O370" s="141"/>
      <c r="S370" s="94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9"/>
      <c r="L371" s="140"/>
      <c r="N371" s="138"/>
      <c r="O371" s="141"/>
      <c r="S371" s="94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9"/>
      <c r="L372" s="140"/>
      <c r="N372" s="138"/>
      <c r="O372" s="141"/>
      <c r="S372" s="94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9"/>
      <c r="L373" s="140"/>
      <c r="N373" s="138"/>
      <c r="O373" s="141"/>
      <c r="S373" s="94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9"/>
      <c r="L374" s="140"/>
      <c r="N374" s="138"/>
      <c r="O374" s="141"/>
      <c r="S374" s="94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9"/>
      <c r="L375" s="140"/>
      <c r="N375" s="138"/>
      <c r="O375" s="141"/>
      <c r="S375" s="94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9"/>
      <c r="L376" s="140"/>
      <c r="N376" s="138"/>
      <c r="O376" s="141"/>
      <c r="S376" s="94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9"/>
      <c r="L377" s="140"/>
      <c r="N377" s="138"/>
      <c r="O377" s="141"/>
      <c r="S377" s="94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9"/>
      <c r="L378" s="140"/>
      <c r="N378" s="138"/>
      <c r="O378" s="141"/>
      <c r="S378" s="94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9"/>
      <c r="L379" s="140"/>
      <c r="N379" s="138"/>
      <c r="O379" s="141"/>
      <c r="S379" s="94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9"/>
      <c r="L380" s="140"/>
      <c r="N380" s="138"/>
      <c r="O380" s="141"/>
      <c r="S380" s="94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9"/>
      <c r="L381" s="140"/>
      <c r="N381" s="138"/>
      <c r="O381" s="141"/>
      <c r="S381" s="94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9"/>
      <c r="L382" s="140"/>
      <c r="N382" s="138"/>
      <c r="O382" s="141"/>
      <c r="S382" s="94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9"/>
      <c r="L383" s="140"/>
      <c r="N383" s="138"/>
      <c r="O383" s="141"/>
      <c r="S383" s="94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9"/>
      <c r="L384" s="140"/>
      <c r="N384" s="138"/>
      <c r="O384" s="141"/>
      <c r="S384" s="94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9"/>
      <c r="L385" s="140"/>
      <c r="N385" s="138"/>
      <c r="O385" s="141"/>
      <c r="S385" s="94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9"/>
      <c r="L386" s="140"/>
      <c r="N386" s="138"/>
      <c r="O386" s="141"/>
      <c r="S386" s="94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9"/>
      <c r="L387" s="140"/>
      <c r="N387" s="138"/>
      <c r="O387" s="141"/>
      <c r="S387" s="94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9"/>
      <c r="L388" s="140"/>
      <c r="N388" s="138"/>
      <c r="O388" s="141"/>
      <c r="S388" s="94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9"/>
      <c r="L389" s="140"/>
      <c r="N389" s="138"/>
      <c r="O389" s="141"/>
      <c r="S389" s="94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9"/>
      <c r="L390" s="140"/>
      <c r="N390" s="138"/>
      <c r="O390" s="141"/>
      <c r="S390" s="94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9"/>
      <c r="L391" s="140"/>
      <c r="N391" s="138"/>
      <c r="O391" s="141"/>
      <c r="S391" s="94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9"/>
      <c r="L392" s="140"/>
      <c r="N392" s="138"/>
      <c r="O392" s="141"/>
      <c r="S392" s="94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9"/>
      <c r="L393" s="140"/>
      <c r="N393" s="138"/>
      <c r="O393" s="141"/>
      <c r="S393" s="94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9"/>
      <c r="L394" s="140"/>
      <c r="N394" s="138"/>
      <c r="O394" s="141"/>
      <c r="S394" s="94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9"/>
      <c r="L395" s="140"/>
      <c r="N395" s="138"/>
      <c r="O395" s="141"/>
      <c r="S395" s="94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9"/>
      <c r="L396" s="140"/>
      <c r="N396" s="138"/>
      <c r="O396" s="141"/>
      <c r="S396" s="94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9"/>
      <c r="L397" s="140"/>
      <c r="N397" s="138"/>
      <c r="O397" s="141"/>
      <c r="S397" s="94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9"/>
      <c r="L398" s="140"/>
      <c r="N398" s="138"/>
      <c r="O398" s="141"/>
      <c r="S398" s="94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9"/>
      <c r="L399" s="140"/>
      <c r="N399" s="138"/>
      <c r="O399" s="141"/>
      <c r="S399" s="94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9"/>
      <c r="L400" s="140"/>
      <c r="N400" s="138"/>
      <c r="O400" s="141"/>
      <c r="S400" s="94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9"/>
      <c r="L401" s="140"/>
      <c r="N401" s="138"/>
      <c r="O401" s="141"/>
      <c r="S401" s="94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9"/>
      <c r="L402" s="140"/>
      <c r="N402" s="138"/>
      <c r="O402" s="141"/>
      <c r="S402" s="94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9"/>
      <c r="L403" s="140"/>
      <c r="N403" s="138"/>
      <c r="O403" s="141"/>
      <c r="S403" s="94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9"/>
      <c r="L404" s="140"/>
      <c r="N404" s="138"/>
      <c r="O404" s="141"/>
      <c r="S404" s="94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9"/>
      <c r="L405" s="140"/>
      <c r="N405" s="138"/>
      <c r="O405" s="141"/>
      <c r="S405" s="94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9"/>
      <c r="L406" s="140"/>
      <c r="N406" s="138"/>
      <c r="O406" s="141"/>
      <c r="S406" s="94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9"/>
      <c r="L407" s="140"/>
      <c r="N407" s="138"/>
      <c r="O407" s="141"/>
      <c r="S407" s="94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9"/>
      <c r="L408" s="140"/>
      <c r="N408" s="138"/>
      <c r="O408" s="141"/>
      <c r="S408" s="94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9"/>
      <c r="L409" s="140"/>
      <c r="N409" s="138"/>
      <c r="O409" s="141"/>
      <c r="S409" s="94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9"/>
      <c r="L410" s="140"/>
      <c r="N410" s="138"/>
      <c r="O410" s="141"/>
      <c r="S410" s="94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9"/>
      <c r="L411" s="140"/>
      <c r="N411" s="138"/>
      <c r="O411" s="141"/>
      <c r="S411" s="94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9"/>
      <c r="L412" s="140"/>
      <c r="N412" s="138"/>
      <c r="O412" s="141"/>
      <c r="S412" s="94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9"/>
      <c r="L413" s="140"/>
      <c r="N413" s="138"/>
      <c r="O413" s="141"/>
      <c r="S413" s="94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9"/>
      <c r="L414" s="140"/>
      <c r="N414" s="138"/>
      <c r="O414" s="141"/>
      <c r="S414" s="94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9"/>
      <c r="L415" s="140"/>
      <c r="N415" s="138"/>
      <c r="O415" s="141"/>
      <c r="S415" s="94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9"/>
      <c r="L416" s="140"/>
      <c r="N416" s="138"/>
      <c r="O416" s="141"/>
      <c r="S416" s="94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9"/>
      <c r="L417" s="140"/>
      <c r="N417" s="138"/>
      <c r="O417" s="141"/>
      <c r="S417" s="94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9"/>
      <c r="L418" s="140"/>
      <c r="N418" s="138"/>
      <c r="O418" s="141"/>
      <c r="S418" s="94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9"/>
      <c r="L419" s="140"/>
      <c r="N419" s="138"/>
      <c r="O419" s="141"/>
      <c r="S419" s="94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9"/>
      <c r="L420" s="140"/>
      <c r="N420" s="138"/>
      <c r="O420" s="141"/>
      <c r="S420" s="94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9"/>
      <c r="L421" s="140"/>
      <c r="N421" s="138"/>
      <c r="O421" s="141"/>
      <c r="S421" s="94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9"/>
      <c r="L422" s="140"/>
      <c r="N422" s="138"/>
      <c r="O422" s="141"/>
      <c r="S422" s="94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9"/>
      <c r="L423" s="140"/>
      <c r="N423" s="138"/>
      <c r="O423" s="141"/>
      <c r="S423" s="94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9"/>
      <c r="L424" s="140"/>
      <c r="N424" s="138"/>
      <c r="O424" s="141"/>
      <c r="S424" s="94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9"/>
      <c r="L425" s="140"/>
      <c r="N425" s="138"/>
      <c r="O425" s="141"/>
      <c r="S425" s="94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9"/>
      <c r="L426" s="140"/>
      <c r="N426" s="138"/>
      <c r="O426" s="141"/>
      <c r="S426" s="94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9"/>
      <c r="L427" s="140"/>
      <c r="N427" s="138"/>
      <c r="O427" s="141"/>
      <c r="S427" s="94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9"/>
      <c r="L428" s="140"/>
      <c r="N428" s="138"/>
      <c r="O428" s="141"/>
      <c r="S428" s="94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9"/>
      <c r="L429" s="140"/>
      <c r="N429" s="138"/>
      <c r="O429" s="141"/>
      <c r="S429" s="94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9"/>
      <c r="L430" s="140"/>
      <c r="N430" s="138"/>
      <c r="O430" s="141"/>
      <c r="S430" s="94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9"/>
      <c r="L431" s="140"/>
      <c r="N431" s="138"/>
      <c r="O431" s="141"/>
      <c r="S431" s="94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9"/>
      <c r="L432" s="140"/>
      <c r="N432" s="138"/>
      <c r="O432" s="141"/>
      <c r="S432" s="94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9"/>
      <c r="L433" s="140"/>
      <c r="N433" s="138"/>
      <c r="O433" s="141"/>
      <c r="S433" s="94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9"/>
      <c r="L434" s="140"/>
      <c r="N434" s="138"/>
      <c r="O434" s="141"/>
      <c r="S434" s="94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9"/>
      <c r="L435" s="140"/>
      <c r="N435" s="138"/>
      <c r="O435" s="141"/>
      <c r="S435" s="94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9"/>
      <c r="L436" s="140"/>
      <c r="N436" s="138"/>
      <c r="O436" s="141"/>
      <c r="S436" s="94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9"/>
      <c r="L437" s="140"/>
      <c r="N437" s="138"/>
      <c r="O437" s="141"/>
      <c r="S437" s="94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9"/>
      <c r="L438" s="140"/>
      <c r="N438" s="138"/>
      <c r="O438" s="141"/>
      <c r="S438" s="94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9"/>
      <c r="L439" s="140"/>
      <c r="N439" s="138"/>
      <c r="O439" s="141"/>
      <c r="S439" s="94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9"/>
      <c r="L440" s="140"/>
      <c r="N440" s="138"/>
      <c r="O440" s="141"/>
      <c r="S440" s="94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9"/>
      <c r="L441" s="140"/>
      <c r="N441" s="138"/>
      <c r="O441" s="141"/>
      <c r="S441" s="94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9"/>
      <c r="L442" s="140"/>
      <c r="N442" s="138"/>
      <c r="O442" s="141"/>
      <c r="S442" s="94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9"/>
      <c r="L443" s="140"/>
      <c r="N443" s="138"/>
      <c r="O443" s="141"/>
      <c r="S443" s="94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9"/>
      <c r="L444" s="140"/>
      <c r="N444" s="138"/>
      <c r="O444" s="141"/>
      <c r="S444" s="94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9"/>
      <c r="L445" s="140"/>
      <c r="N445" s="138"/>
      <c r="O445" s="141"/>
      <c r="S445" s="94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9"/>
      <c r="L446" s="140"/>
      <c r="N446" s="138"/>
      <c r="O446" s="141"/>
      <c r="S446" s="94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9"/>
      <c r="L447" s="140"/>
      <c r="N447" s="138"/>
      <c r="O447" s="141"/>
      <c r="S447" s="94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9"/>
      <c r="L448" s="140"/>
      <c r="N448" s="138"/>
      <c r="O448" s="141"/>
      <c r="S448" s="94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9"/>
      <c r="L449" s="140"/>
      <c r="N449" s="138"/>
      <c r="O449" s="141"/>
      <c r="S449" s="94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9"/>
      <c r="L450" s="140"/>
      <c r="N450" s="138"/>
      <c r="O450" s="141"/>
      <c r="S450" s="94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9"/>
      <c r="L451" s="140"/>
      <c r="N451" s="138"/>
      <c r="O451" s="141"/>
      <c r="S451" s="94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9"/>
      <c r="L452" s="140"/>
      <c r="N452" s="138"/>
      <c r="O452" s="141"/>
      <c r="S452" s="94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9"/>
      <c r="L453" s="140"/>
      <c r="N453" s="138"/>
      <c r="O453" s="141"/>
      <c r="S453" s="94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9"/>
      <c r="L454" s="140"/>
      <c r="N454" s="138"/>
      <c r="O454" s="141"/>
      <c r="S454" s="94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9"/>
      <c r="L455" s="140"/>
      <c r="N455" s="138"/>
      <c r="O455" s="141"/>
      <c r="S455" s="94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9"/>
      <c r="L456" s="140"/>
      <c r="N456" s="138"/>
      <c r="O456" s="141"/>
      <c r="S456" s="94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9"/>
      <c r="L457" s="140"/>
      <c r="N457" s="138"/>
      <c r="O457" s="141"/>
      <c r="S457" s="94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9"/>
      <c r="L458" s="140"/>
      <c r="N458" s="138"/>
      <c r="O458" s="141"/>
      <c r="S458" s="94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9"/>
      <c r="L459" s="140"/>
      <c r="N459" s="138"/>
      <c r="O459" s="141"/>
      <c r="S459" s="94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9"/>
      <c r="L460" s="140"/>
      <c r="N460" s="138"/>
      <c r="O460" s="141"/>
      <c r="S460" s="94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9"/>
      <c r="L461" s="140"/>
      <c r="N461" s="138"/>
      <c r="O461" s="141"/>
      <c r="S461" s="94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9"/>
      <c r="L462" s="140"/>
      <c r="N462" s="138"/>
      <c r="O462" s="141"/>
      <c r="S462" s="94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9"/>
      <c r="L463" s="140"/>
      <c r="N463" s="138"/>
      <c r="O463" s="141"/>
      <c r="S463" s="94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9"/>
      <c r="L464" s="140"/>
      <c r="N464" s="138"/>
      <c r="O464" s="141"/>
      <c r="S464" s="94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9"/>
      <c r="L465" s="140"/>
      <c r="N465" s="138"/>
      <c r="O465" s="141"/>
      <c r="S465" s="94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9"/>
      <c r="L466" s="140"/>
      <c r="N466" s="138"/>
      <c r="O466" s="141"/>
      <c r="S466" s="94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9"/>
      <c r="L467" s="140"/>
      <c r="N467" s="138"/>
      <c r="O467" s="141"/>
      <c r="S467" s="94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9"/>
      <c r="L468" s="140"/>
      <c r="N468" s="138"/>
      <c r="O468" s="141"/>
      <c r="S468" s="94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9"/>
      <c r="L469" s="140"/>
      <c r="N469" s="138"/>
      <c r="O469" s="141"/>
      <c r="S469" s="94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9"/>
      <c r="L470" s="140"/>
      <c r="N470" s="138"/>
      <c r="O470" s="141"/>
      <c r="S470" s="94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9"/>
      <c r="L471" s="140"/>
      <c r="N471" s="138"/>
      <c r="O471" s="141"/>
      <c r="S471" s="94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9"/>
      <c r="L472" s="140"/>
      <c r="N472" s="138"/>
      <c r="O472" s="141"/>
      <c r="S472" s="94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9"/>
      <c r="L473" s="140"/>
      <c r="N473" s="138"/>
      <c r="O473" s="141"/>
      <c r="S473" s="94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9"/>
      <c r="L474" s="140"/>
      <c r="N474" s="138"/>
      <c r="O474" s="141"/>
      <c r="S474" s="94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9"/>
      <c r="L475" s="140"/>
      <c r="N475" s="138"/>
      <c r="O475" s="141"/>
      <c r="S475" s="94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9"/>
      <c r="L476" s="140"/>
      <c r="N476" s="138"/>
      <c r="O476" s="141"/>
      <c r="S476" s="94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9"/>
      <c r="L477" s="140"/>
      <c r="N477" s="138"/>
      <c r="O477" s="141"/>
      <c r="S477" s="94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9"/>
      <c r="L478" s="140"/>
      <c r="N478" s="138"/>
      <c r="O478" s="141"/>
      <c r="S478" s="94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9"/>
      <c r="L479" s="140"/>
      <c r="N479" s="138"/>
      <c r="O479" s="141"/>
      <c r="S479" s="94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9"/>
      <c r="L480" s="140"/>
      <c r="N480" s="138"/>
      <c r="O480" s="141"/>
      <c r="S480" s="94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9"/>
      <c r="L481" s="140"/>
      <c r="N481" s="138"/>
      <c r="O481" s="141"/>
      <c r="S481" s="94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9"/>
      <c r="L482" s="140"/>
      <c r="N482" s="138"/>
      <c r="O482" s="141"/>
      <c r="S482" s="94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9"/>
      <c r="L483" s="140"/>
      <c r="N483" s="138"/>
      <c r="O483" s="141"/>
      <c r="S483" s="94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9"/>
      <c r="L484" s="140"/>
      <c r="N484" s="138"/>
      <c r="O484" s="141"/>
      <c r="S484" s="94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9"/>
      <c r="L485" s="140"/>
      <c r="N485" s="138"/>
      <c r="O485" s="141"/>
      <c r="S485" s="94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9"/>
      <c r="L486" s="140"/>
      <c r="N486" s="138"/>
      <c r="O486" s="141"/>
      <c r="S486" s="94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9"/>
      <c r="L487" s="140"/>
      <c r="N487" s="138"/>
      <c r="O487" s="141"/>
      <c r="S487" s="94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9"/>
      <c r="L488" s="140"/>
      <c r="N488" s="138"/>
      <c r="O488" s="141"/>
      <c r="S488" s="94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9"/>
      <c r="L489" s="140"/>
      <c r="N489" s="138"/>
      <c r="O489" s="141"/>
      <c r="S489" s="94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9"/>
      <c r="L490" s="140"/>
      <c r="N490" s="138"/>
      <c r="O490" s="141"/>
      <c r="S490" s="94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9"/>
      <c r="L491" s="140"/>
      <c r="N491" s="138"/>
      <c r="O491" s="141"/>
      <c r="S491" s="94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9"/>
      <c r="L492" s="140"/>
      <c r="N492" s="138"/>
      <c r="O492" s="141"/>
      <c r="S492" s="94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9"/>
      <c r="L493" s="140"/>
      <c r="N493" s="138"/>
      <c r="O493" s="141"/>
      <c r="S493" s="94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9"/>
      <c r="L494" s="140"/>
      <c r="N494" s="138"/>
      <c r="O494" s="141"/>
      <c r="S494" s="94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9"/>
      <c r="L495" s="140"/>
      <c r="N495" s="138"/>
      <c r="O495" s="141"/>
      <c r="S495" s="94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9"/>
      <c r="L496" s="140"/>
      <c r="N496" s="138"/>
      <c r="O496" s="141"/>
      <c r="S496" s="94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9"/>
      <c r="L497" s="140"/>
      <c r="N497" s="138"/>
      <c r="O497" s="141"/>
      <c r="S497" s="94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9"/>
      <c r="L498" s="140"/>
      <c r="N498" s="138"/>
      <c r="O498" s="141"/>
      <c r="S498" s="94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9"/>
      <c r="L499" s="140"/>
      <c r="N499" s="138"/>
      <c r="O499" s="141"/>
      <c r="S499" s="94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9"/>
      <c r="L500" s="140"/>
      <c r="N500" s="138"/>
      <c r="O500" s="141"/>
      <c r="S500" s="94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9"/>
      <c r="L501" s="140"/>
      <c r="N501" s="138"/>
      <c r="O501" s="141"/>
      <c r="S501" s="94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9"/>
      <c r="L502" s="140"/>
      <c r="N502" s="138"/>
      <c r="O502" s="141"/>
      <c r="S502" s="94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9"/>
      <c r="L503" s="140"/>
      <c r="N503" s="138"/>
      <c r="O503" s="141"/>
      <c r="S503" s="94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9"/>
      <c r="L504" s="140"/>
      <c r="N504" s="138"/>
      <c r="O504" s="141"/>
      <c r="S504" s="94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9"/>
      <c r="L505" s="140"/>
      <c r="N505" s="138"/>
      <c r="O505" s="141"/>
      <c r="S505" s="94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9"/>
      <c r="L506" s="140"/>
      <c r="N506" s="138"/>
      <c r="O506" s="141"/>
      <c r="S506" s="94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9"/>
      <c r="L507" s="140"/>
      <c r="N507" s="138"/>
      <c r="O507" s="141"/>
      <c r="S507" s="94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9"/>
      <c r="L508" s="140"/>
      <c r="N508" s="138"/>
      <c r="O508" s="141"/>
      <c r="S508" s="94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9"/>
      <c r="L509" s="140"/>
      <c r="N509" s="138"/>
      <c r="O509" s="141"/>
      <c r="S509" s="94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9"/>
      <c r="L510" s="140"/>
      <c r="N510" s="138"/>
      <c r="O510" s="141"/>
      <c r="S510" s="94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9"/>
      <c r="L511" s="140"/>
      <c r="N511" s="138"/>
      <c r="O511" s="141"/>
      <c r="S511" s="94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9"/>
      <c r="L512" s="140"/>
      <c r="N512" s="138"/>
      <c r="O512" s="141"/>
      <c r="S512" s="94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9"/>
      <c r="L513" s="140"/>
      <c r="N513" s="138"/>
      <c r="O513" s="141"/>
      <c r="S513" s="94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9"/>
      <c r="L514" s="140"/>
      <c r="N514" s="138"/>
      <c r="O514" s="141"/>
      <c r="S514" s="94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9"/>
      <c r="L515" s="140"/>
      <c r="N515" s="138"/>
      <c r="O515" s="141"/>
      <c r="S515" s="94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9"/>
      <c r="L516" s="140"/>
      <c r="N516" s="138"/>
      <c r="O516" s="141"/>
      <c r="S516" s="94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9"/>
      <c r="L517" s="140"/>
      <c r="N517" s="138"/>
      <c r="O517" s="141"/>
      <c r="S517" s="94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9"/>
      <c r="L518" s="140"/>
      <c r="N518" s="138"/>
      <c r="O518" s="141"/>
      <c r="S518" s="94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9"/>
      <c r="L519" s="140"/>
      <c r="N519" s="138"/>
      <c r="O519" s="141"/>
      <c r="S519" s="94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9"/>
      <c r="L520" s="140"/>
      <c r="N520" s="138"/>
      <c r="O520" s="141"/>
      <c r="S520" s="94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9"/>
      <c r="L521" s="140"/>
      <c r="N521" s="138"/>
      <c r="O521" s="141"/>
      <c r="S521" s="94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9"/>
      <c r="L522" s="140"/>
      <c r="N522" s="138"/>
      <c r="O522" s="141"/>
      <c r="S522" s="94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9"/>
      <c r="L523" s="140"/>
      <c r="N523" s="138"/>
      <c r="O523" s="141"/>
      <c r="S523" s="94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9"/>
      <c r="L524" s="140"/>
      <c r="N524" s="138"/>
      <c r="O524" s="141"/>
      <c r="S524" s="94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9"/>
      <c r="L525" s="140"/>
      <c r="N525" s="138"/>
      <c r="O525" s="141"/>
      <c r="S525" s="94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9"/>
      <c r="L526" s="140"/>
      <c r="N526" s="138"/>
      <c r="O526" s="141"/>
      <c r="S526" s="94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9"/>
      <c r="L527" s="140"/>
      <c r="N527" s="138"/>
      <c r="O527" s="141"/>
      <c r="S527" s="94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9"/>
      <c r="L528" s="140"/>
      <c r="N528" s="138"/>
      <c r="O528" s="141"/>
      <c r="S528" s="94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9"/>
      <c r="L529" s="140"/>
      <c r="N529" s="138"/>
      <c r="O529" s="141"/>
      <c r="S529" s="94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9"/>
      <c r="L530" s="140"/>
      <c r="N530" s="138"/>
      <c r="O530" s="141"/>
      <c r="S530" s="94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9"/>
      <c r="L531" s="140"/>
      <c r="N531" s="138"/>
      <c r="O531" s="141"/>
      <c r="S531" s="94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9"/>
      <c r="L532" s="140"/>
      <c r="N532" s="138"/>
      <c r="O532" s="141"/>
      <c r="S532" s="94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9"/>
      <c r="L533" s="140"/>
      <c r="N533" s="138"/>
      <c r="O533" s="141"/>
      <c r="S533" s="94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9"/>
      <c r="L534" s="140"/>
      <c r="N534" s="138"/>
      <c r="O534" s="141"/>
      <c r="S534" s="94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9"/>
      <c r="L535" s="140"/>
      <c r="N535" s="138"/>
      <c r="O535" s="141"/>
      <c r="S535" s="94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9"/>
      <c r="L536" s="140"/>
      <c r="N536" s="138"/>
      <c r="O536" s="141"/>
      <c r="S536" s="94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9"/>
      <c r="L537" s="140"/>
      <c r="N537" s="138"/>
      <c r="O537" s="141"/>
      <c r="S537" s="94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9"/>
      <c r="L538" s="140"/>
      <c r="N538" s="138"/>
      <c r="O538" s="141"/>
      <c r="S538" s="94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9"/>
      <c r="L539" s="140"/>
      <c r="N539" s="138"/>
      <c r="O539" s="141"/>
      <c r="S539" s="94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9"/>
      <c r="L540" s="140"/>
      <c r="N540" s="138"/>
      <c r="O540" s="141"/>
      <c r="S540" s="94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9"/>
      <c r="L541" s="140"/>
      <c r="N541" s="138"/>
      <c r="O541" s="141"/>
      <c r="S541" s="94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9"/>
      <c r="L542" s="140"/>
      <c r="N542" s="138"/>
      <c r="O542" s="141"/>
      <c r="S542" s="94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9"/>
      <c r="L543" s="140"/>
      <c r="N543" s="138"/>
      <c r="O543" s="141"/>
      <c r="S543" s="94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9"/>
      <c r="L544" s="140"/>
      <c r="N544" s="138"/>
      <c r="O544" s="141"/>
      <c r="S544" s="94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9"/>
      <c r="L545" s="140"/>
      <c r="N545" s="138"/>
      <c r="O545" s="141"/>
      <c r="S545" s="94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9"/>
      <c r="L546" s="140"/>
      <c r="N546" s="138"/>
      <c r="O546" s="141"/>
      <c r="S546" s="94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9"/>
      <c r="L547" s="140"/>
      <c r="N547" s="138"/>
      <c r="O547" s="141"/>
      <c r="S547" s="94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9"/>
      <c r="L548" s="140"/>
      <c r="N548" s="138"/>
      <c r="O548" s="141"/>
      <c r="S548" s="94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9"/>
      <c r="L549" s="140"/>
      <c r="N549" s="138"/>
      <c r="O549" s="141"/>
      <c r="S549" s="94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9"/>
      <c r="L550" s="140"/>
      <c r="N550" s="138"/>
      <c r="O550" s="141"/>
      <c r="S550" s="94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9"/>
      <c r="L551" s="140"/>
      <c r="N551" s="138"/>
      <c r="O551" s="141"/>
      <c r="S551" s="94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9"/>
      <c r="L552" s="140"/>
      <c r="N552" s="138"/>
      <c r="O552" s="141"/>
      <c r="S552" s="94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9"/>
      <c r="L553" s="140"/>
      <c r="N553" s="138"/>
      <c r="O553" s="141"/>
      <c r="S553" s="94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9"/>
      <c r="L554" s="140"/>
      <c r="N554" s="138"/>
      <c r="O554" s="141"/>
      <c r="S554" s="94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9"/>
      <c r="L555" s="140"/>
      <c r="N555" s="138"/>
      <c r="O555" s="141"/>
      <c r="S555" s="94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9"/>
      <c r="L556" s="140"/>
      <c r="N556" s="138"/>
      <c r="O556" s="141"/>
      <c r="S556" s="94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9"/>
      <c r="L557" s="140"/>
      <c r="N557" s="138"/>
      <c r="O557" s="141"/>
      <c r="S557" s="94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9"/>
      <c r="L558" s="140"/>
      <c r="N558" s="138"/>
      <c r="O558" s="141"/>
      <c r="S558" s="94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9"/>
      <c r="L559" s="140"/>
      <c r="N559" s="138"/>
      <c r="O559" s="141"/>
      <c r="S559" s="94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9"/>
      <c r="L560" s="140"/>
      <c r="N560" s="138"/>
      <c r="O560" s="141"/>
      <c r="S560" s="94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9"/>
      <c r="L561" s="140"/>
      <c r="N561" s="138"/>
      <c r="O561" s="141"/>
      <c r="S561" s="94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9"/>
      <c r="L562" s="140"/>
      <c r="N562" s="138"/>
      <c r="O562" s="141"/>
      <c r="S562" s="94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9"/>
      <c r="L563" s="140"/>
      <c r="N563" s="138"/>
      <c r="O563" s="141"/>
      <c r="S563" s="94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9"/>
      <c r="L564" s="140"/>
      <c r="N564" s="138"/>
      <c r="O564" s="141"/>
      <c r="S564" s="94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9"/>
      <c r="L565" s="140"/>
      <c r="N565" s="138"/>
      <c r="O565" s="141"/>
      <c r="S565" s="94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9"/>
      <c r="L566" s="140"/>
      <c r="N566" s="138"/>
      <c r="O566" s="141"/>
      <c r="S566" s="94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9"/>
      <c r="L567" s="140"/>
      <c r="N567" s="138"/>
      <c r="O567" s="141"/>
      <c r="S567" s="94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9"/>
      <c r="L568" s="140"/>
      <c r="N568" s="138"/>
      <c r="O568" s="141"/>
      <c r="S568" s="94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9"/>
      <c r="L569" s="140"/>
      <c r="N569" s="138"/>
      <c r="O569" s="141"/>
      <c r="S569" s="94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9"/>
      <c r="L570" s="140"/>
      <c r="N570" s="138"/>
      <c r="O570" s="141"/>
      <c r="S570" s="94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9"/>
      <c r="L571" s="140"/>
      <c r="N571" s="138"/>
      <c r="O571" s="141"/>
      <c r="S571" s="94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9"/>
      <c r="L572" s="140"/>
      <c r="N572" s="138"/>
      <c r="O572" s="141"/>
      <c r="S572" s="94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9"/>
      <c r="L573" s="140"/>
      <c r="N573" s="138"/>
      <c r="O573" s="141"/>
      <c r="S573" s="94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9"/>
      <c r="L574" s="140"/>
      <c r="N574" s="138"/>
      <c r="O574" s="141"/>
      <c r="S574" s="94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9"/>
      <c r="L575" s="140"/>
      <c r="N575" s="138"/>
      <c r="O575" s="141"/>
      <c r="S575" s="94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9"/>
      <c r="L576" s="140"/>
      <c r="N576" s="138"/>
      <c r="O576" s="141"/>
      <c r="S576" s="94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9"/>
      <c r="L577" s="140"/>
      <c r="N577" s="138"/>
      <c r="O577" s="141"/>
      <c r="S577" s="94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9"/>
      <c r="L578" s="140"/>
      <c r="N578" s="138"/>
      <c r="O578" s="141"/>
      <c r="S578" s="94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9"/>
      <c r="L579" s="140"/>
      <c r="N579" s="138"/>
      <c r="O579" s="141"/>
      <c r="S579" s="94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9"/>
      <c r="L580" s="140"/>
      <c r="N580" s="138"/>
      <c r="O580" s="141"/>
      <c r="S580" s="94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9"/>
      <c r="L581" s="140"/>
      <c r="N581" s="138"/>
      <c r="O581" s="141"/>
      <c r="S581" s="94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9"/>
      <c r="L582" s="140"/>
      <c r="N582" s="138"/>
      <c r="O582" s="141"/>
      <c r="S582" s="94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9"/>
      <c r="L583" s="140"/>
      <c r="N583" s="138"/>
      <c r="O583" s="141"/>
      <c r="S583" s="94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9"/>
      <c r="L584" s="140"/>
      <c r="N584" s="138"/>
      <c r="O584" s="141"/>
      <c r="S584" s="94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9"/>
      <c r="L585" s="140"/>
      <c r="N585" s="138"/>
      <c r="O585" s="141"/>
      <c r="S585" s="94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9"/>
      <c r="L586" s="140"/>
      <c r="N586" s="138"/>
      <c r="O586" s="141"/>
      <c r="S586" s="94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9"/>
      <c r="L587" s="140"/>
      <c r="N587" s="138"/>
      <c r="O587" s="141"/>
      <c r="S587" s="94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9"/>
      <c r="L588" s="140"/>
      <c r="N588" s="138"/>
      <c r="O588" s="141"/>
      <c r="S588" s="94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9"/>
      <c r="L589" s="140"/>
      <c r="N589" s="138"/>
      <c r="O589" s="141"/>
      <c r="S589" s="94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9"/>
      <c r="L590" s="140"/>
      <c r="N590" s="138"/>
      <c r="O590" s="141"/>
      <c r="S590" s="94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9"/>
      <c r="L591" s="140"/>
      <c r="N591" s="138"/>
      <c r="O591" s="141"/>
      <c r="S591" s="94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9"/>
      <c r="L592" s="140"/>
      <c r="N592" s="138"/>
      <c r="O592" s="141"/>
      <c r="S592" s="94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9"/>
      <c r="L593" s="140"/>
      <c r="N593" s="138"/>
      <c r="O593" s="141"/>
      <c r="S593" s="94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9"/>
      <c r="L594" s="140"/>
      <c r="N594" s="138"/>
      <c r="O594" s="141"/>
      <c r="S594" s="94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9"/>
      <c r="L595" s="140"/>
      <c r="N595" s="138"/>
      <c r="O595" s="141"/>
      <c r="S595" s="94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9"/>
      <c r="L596" s="140"/>
      <c r="N596" s="138"/>
      <c r="O596" s="141"/>
      <c r="S596" s="94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9"/>
      <c r="L597" s="140"/>
      <c r="N597" s="138"/>
      <c r="O597" s="141"/>
      <c r="S597" s="94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9"/>
      <c r="L598" s="140"/>
      <c r="N598" s="138"/>
      <c r="O598" s="141"/>
      <c r="S598" s="94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9"/>
      <c r="L599" s="140"/>
      <c r="N599" s="138"/>
      <c r="O599" s="141"/>
      <c r="S599" s="94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9"/>
      <c r="L600" s="140"/>
      <c r="N600" s="138"/>
      <c r="O600" s="141"/>
      <c r="S600" s="94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9"/>
      <c r="L601" s="140"/>
      <c r="N601" s="138"/>
      <c r="O601" s="141"/>
      <c r="S601" s="94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9"/>
      <c r="L602" s="140"/>
      <c r="N602" s="138"/>
      <c r="O602" s="141"/>
      <c r="S602" s="94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9"/>
      <c r="L603" s="140"/>
      <c r="N603" s="138"/>
      <c r="O603" s="141"/>
      <c r="S603" s="94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9"/>
      <c r="L604" s="140"/>
      <c r="N604" s="138"/>
      <c r="O604" s="141"/>
      <c r="S604" s="94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9"/>
      <c r="L605" s="140"/>
      <c r="N605" s="138"/>
      <c r="O605" s="141"/>
      <c r="S605" s="94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9"/>
      <c r="L606" s="140"/>
      <c r="N606" s="138"/>
      <c r="O606" s="141"/>
      <c r="S606" s="94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9"/>
      <c r="L607" s="140"/>
      <c r="N607" s="138"/>
      <c r="O607" s="141"/>
      <c r="S607" s="94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9"/>
      <c r="L608" s="140"/>
      <c r="N608" s="138"/>
      <c r="O608" s="141"/>
      <c r="S608" s="94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9"/>
      <c r="L609" s="140"/>
      <c r="N609" s="138"/>
      <c r="O609" s="141"/>
      <c r="S609" s="94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9"/>
      <c r="L610" s="140"/>
      <c r="N610" s="138"/>
      <c r="O610" s="141"/>
      <c r="S610" s="94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9"/>
      <c r="L611" s="140"/>
      <c r="N611" s="138"/>
      <c r="O611" s="141"/>
      <c r="S611" s="94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9"/>
      <c r="L612" s="140"/>
      <c r="N612" s="138"/>
      <c r="O612" s="141"/>
      <c r="S612" s="94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9"/>
      <c r="L613" s="140"/>
      <c r="N613" s="138"/>
      <c r="O613" s="141"/>
      <c r="S613" s="94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9"/>
      <c r="L614" s="140"/>
      <c r="N614" s="138"/>
      <c r="O614" s="141"/>
      <c r="S614" s="94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9"/>
      <c r="L615" s="140"/>
      <c r="N615" s="138"/>
      <c r="O615" s="141"/>
      <c r="S615" s="94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9"/>
      <c r="L616" s="140"/>
      <c r="N616" s="138"/>
      <c r="O616" s="141"/>
      <c r="S616" s="94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9"/>
      <c r="L617" s="140"/>
      <c r="N617" s="138"/>
      <c r="O617" s="141"/>
      <c r="S617" s="94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9"/>
      <c r="L618" s="140"/>
      <c r="N618" s="138"/>
      <c r="O618" s="141"/>
      <c r="S618" s="94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9"/>
      <c r="L619" s="140"/>
      <c r="N619" s="138"/>
      <c r="O619" s="141"/>
      <c r="S619" s="94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9"/>
      <c r="L620" s="140"/>
      <c r="N620" s="138"/>
      <c r="O620" s="141"/>
      <c r="S620" s="94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9"/>
      <c r="L621" s="140"/>
      <c r="N621" s="138"/>
      <c r="O621" s="141"/>
      <c r="S621" s="94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9"/>
      <c r="L622" s="140"/>
      <c r="N622" s="138"/>
      <c r="O622" s="141"/>
      <c r="S622" s="94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9"/>
      <c r="L623" s="140"/>
      <c r="N623" s="138"/>
      <c r="O623" s="141"/>
      <c r="S623" s="94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9"/>
      <c r="L624" s="140"/>
      <c r="N624" s="138"/>
      <c r="O624" s="141"/>
      <c r="S624" s="94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9"/>
      <c r="L625" s="140"/>
      <c r="N625" s="138"/>
      <c r="O625" s="141"/>
      <c r="S625" s="94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9"/>
      <c r="L626" s="140"/>
      <c r="N626" s="138"/>
      <c r="O626" s="141"/>
      <c r="S626" s="94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9"/>
      <c r="L627" s="140"/>
      <c r="N627" s="138"/>
      <c r="O627" s="141"/>
      <c r="S627" s="94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9"/>
      <c r="L628" s="140"/>
      <c r="N628" s="138"/>
      <c r="O628" s="141"/>
      <c r="S628" s="94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9"/>
      <c r="L629" s="140"/>
      <c r="N629" s="138"/>
      <c r="O629" s="141"/>
      <c r="S629" s="94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9"/>
      <c r="L630" s="140"/>
      <c r="N630" s="138"/>
      <c r="O630" s="141"/>
      <c r="S630" s="94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9"/>
      <c r="L631" s="140"/>
      <c r="N631" s="138"/>
      <c r="O631" s="141"/>
      <c r="S631" s="94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9"/>
      <c r="L632" s="140"/>
      <c r="N632" s="138"/>
      <c r="O632" s="141"/>
      <c r="S632" s="94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9"/>
      <c r="L633" s="140"/>
      <c r="N633" s="138"/>
      <c r="O633" s="141"/>
      <c r="S633" s="94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9"/>
      <c r="L634" s="140"/>
      <c r="N634" s="138"/>
      <c r="O634" s="141"/>
      <c r="S634" s="94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9"/>
      <c r="L635" s="140"/>
      <c r="N635" s="138"/>
      <c r="O635" s="141"/>
      <c r="S635" s="94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9"/>
      <c r="L636" s="140"/>
      <c r="N636" s="138"/>
      <c r="O636" s="141"/>
      <c r="S636" s="94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9"/>
      <c r="L637" s="140"/>
      <c r="N637" s="138"/>
      <c r="O637" s="141"/>
      <c r="S637" s="94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9"/>
      <c r="L638" s="140"/>
      <c r="N638" s="138"/>
      <c r="O638" s="141"/>
      <c r="S638" s="94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9"/>
      <c r="L639" s="140"/>
      <c r="N639" s="138"/>
      <c r="O639" s="141"/>
      <c r="S639" s="94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9"/>
      <c r="L640" s="140"/>
      <c r="N640" s="138"/>
      <c r="O640" s="141"/>
      <c r="S640" s="94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9"/>
      <c r="L641" s="140"/>
      <c r="N641" s="138"/>
      <c r="O641" s="141"/>
      <c r="S641" s="94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9"/>
      <c r="L642" s="140"/>
      <c r="N642" s="138"/>
      <c r="O642" s="141"/>
      <c r="S642" s="94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9"/>
      <c r="L643" s="140"/>
      <c r="N643" s="138"/>
      <c r="O643" s="141"/>
      <c r="S643" s="94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9"/>
      <c r="L644" s="140"/>
      <c r="N644" s="138"/>
      <c r="O644" s="141"/>
      <c r="S644" s="94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9"/>
      <c r="L645" s="140"/>
      <c r="N645" s="138"/>
      <c r="O645" s="141"/>
      <c r="S645" s="94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9"/>
      <c r="L646" s="140"/>
      <c r="N646" s="138"/>
      <c r="O646" s="141"/>
      <c r="S646" s="94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9"/>
      <c r="L647" s="140"/>
      <c r="N647" s="138"/>
      <c r="O647" s="141"/>
      <c r="S647" s="94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9"/>
      <c r="L648" s="140"/>
      <c r="N648" s="138"/>
      <c r="O648" s="141"/>
      <c r="S648" s="94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9"/>
      <c r="L649" s="140"/>
      <c r="N649" s="138"/>
      <c r="O649" s="141"/>
      <c r="S649" s="94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9"/>
      <c r="L650" s="140"/>
      <c r="N650" s="138"/>
      <c r="O650" s="141"/>
      <c r="S650" s="94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9"/>
      <c r="L651" s="140"/>
      <c r="N651" s="138"/>
      <c r="O651" s="141"/>
      <c r="S651" s="94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9"/>
      <c r="L652" s="140"/>
      <c r="N652" s="138"/>
      <c r="O652" s="141"/>
      <c r="S652" s="94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9"/>
      <c r="L653" s="140"/>
      <c r="N653" s="138"/>
      <c r="O653" s="141"/>
      <c r="S653" s="94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9"/>
      <c r="L654" s="140"/>
      <c r="N654" s="138"/>
      <c r="O654" s="141"/>
      <c r="S654" s="94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9"/>
      <c r="L655" s="140"/>
      <c r="N655" s="138"/>
      <c r="O655" s="141"/>
      <c r="S655" s="94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9"/>
      <c r="L656" s="140"/>
      <c r="N656" s="138"/>
      <c r="O656" s="141"/>
      <c r="S656" s="94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9"/>
      <c r="L657" s="140"/>
      <c r="N657" s="138"/>
      <c r="O657" s="141"/>
      <c r="S657" s="94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9"/>
      <c r="L658" s="140"/>
      <c r="N658" s="138"/>
      <c r="O658" s="141"/>
      <c r="S658" s="94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9"/>
      <c r="L659" s="140"/>
      <c r="N659" s="138"/>
      <c r="O659" s="141"/>
      <c r="S659" s="94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9"/>
      <c r="L660" s="140"/>
      <c r="N660" s="138"/>
      <c r="O660" s="141"/>
      <c r="S660" s="94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9"/>
      <c r="L661" s="140"/>
      <c r="N661" s="138"/>
      <c r="O661" s="141"/>
      <c r="S661" s="94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9"/>
      <c r="L662" s="140"/>
      <c r="N662" s="138"/>
      <c r="O662" s="141"/>
      <c r="S662" s="94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9"/>
      <c r="L663" s="140"/>
      <c r="N663" s="138"/>
      <c r="O663" s="141"/>
      <c r="S663" s="94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9"/>
      <c r="L664" s="140"/>
      <c r="N664" s="138"/>
      <c r="O664" s="141"/>
      <c r="S664" s="94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9"/>
      <c r="L665" s="140"/>
      <c r="N665" s="138"/>
      <c r="O665" s="141"/>
      <c r="S665" s="94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9"/>
      <c r="L666" s="140"/>
      <c r="N666" s="138"/>
      <c r="O666" s="141"/>
      <c r="S666" s="94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9"/>
      <c r="L667" s="140"/>
      <c r="N667" s="138"/>
      <c r="O667" s="141"/>
      <c r="S667" s="94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9"/>
      <c r="L668" s="140"/>
      <c r="N668" s="138"/>
      <c r="O668" s="141"/>
      <c r="S668" s="94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9"/>
      <c r="L669" s="140"/>
      <c r="N669" s="138"/>
      <c r="O669" s="141"/>
      <c r="S669" s="94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9"/>
      <c r="L670" s="140"/>
      <c r="N670" s="138"/>
      <c r="O670" s="141"/>
      <c r="S670" s="94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9"/>
      <c r="L671" s="140"/>
      <c r="N671" s="138"/>
      <c r="O671" s="141"/>
      <c r="S671" s="94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9"/>
      <c r="L672" s="140"/>
      <c r="N672" s="138"/>
      <c r="O672" s="141"/>
      <c r="S672" s="94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9"/>
      <c r="L673" s="140"/>
      <c r="N673" s="138"/>
      <c r="O673" s="141"/>
      <c r="S673" s="94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9"/>
      <c r="L674" s="140"/>
      <c r="N674" s="138"/>
      <c r="O674" s="141"/>
      <c r="S674" s="94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9"/>
      <c r="L675" s="140"/>
      <c r="N675" s="138"/>
      <c r="O675" s="141"/>
      <c r="S675" s="94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9"/>
      <c r="L676" s="140"/>
      <c r="N676" s="138"/>
      <c r="O676" s="141"/>
      <c r="S676" s="94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9"/>
      <c r="L677" s="140"/>
      <c r="N677" s="138"/>
      <c r="O677" s="141"/>
      <c r="S677" s="94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9"/>
      <c r="L678" s="140"/>
      <c r="N678" s="138"/>
      <c r="O678" s="141"/>
      <c r="S678" s="94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9"/>
      <c r="L679" s="140"/>
      <c r="N679" s="138"/>
      <c r="O679" s="141"/>
      <c r="S679" s="94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9"/>
      <c r="L680" s="140"/>
      <c r="N680" s="138"/>
      <c r="O680" s="141"/>
      <c r="S680" s="94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9"/>
      <c r="L681" s="140"/>
      <c r="N681" s="138"/>
      <c r="O681" s="141"/>
      <c r="S681" s="94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9"/>
      <c r="L682" s="140"/>
      <c r="N682" s="138"/>
      <c r="O682" s="141"/>
      <c r="S682" s="94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9"/>
      <c r="L683" s="140"/>
      <c r="N683" s="138"/>
      <c r="O683" s="141"/>
      <c r="S683" s="94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9"/>
      <c r="L684" s="140"/>
      <c r="N684" s="138"/>
      <c r="O684" s="141"/>
      <c r="S684" s="94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9"/>
      <c r="L685" s="140"/>
      <c r="N685" s="138"/>
      <c r="O685" s="141"/>
      <c r="S685" s="94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9"/>
      <c r="L686" s="140"/>
      <c r="N686" s="138"/>
      <c r="O686" s="141"/>
      <c r="S686" s="94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9"/>
      <c r="L687" s="140"/>
      <c r="N687" s="138"/>
      <c r="O687" s="141"/>
      <c r="S687" s="94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9"/>
      <c r="L688" s="140"/>
      <c r="N688" s="138"/>
      <c r="O688" s="141"/>
      <c r="S688" s="94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9"/>
      <c r="L689" s="140"/>
      <c r="N689" s="138"/>
      <c r="O689" s="141"/>
      <c r="S689" s="94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9"/>
      <c r="L690" s="140"/>
      <c r="N690" s="138"/>
      <c r="O690" s="141"/>
      <c r="S690" s="94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9"/>
      <c r="L691" s="140"/>
      <c r="N691" s="138"/>
      <c r="O691" s="141"/>
      <c r="S691" s="94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9"/>
      <c r="L692" s="140"/>
      <c r="N692" s="138"/>
      <c r="O692" s="141"/>
      <c r="S692" s="94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9"/>
      <c r="L693" s="140"/>
      <c r="N693" s="138"/>
      <c r="O693" s="141"/>
      <c r="S693" s="94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9"/>
      <c r="L694" s="140"/>
      <c r="N694" s="138"/>
      <c r="O694" s="141"/>
      <c r="S694" s="94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9"/>
      <c r="L695" s="140"/>
      <c r="N695" s="138"/>
      <c r="O695" s="141"/>
      <c r="S695" s="94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9"/>
      <c r="L696" s="140"/>
      <c r="N696" s="138"/>
      <c r="O696" s="141"/>
      <c r="S696" s="94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9"/>
      <c r="L697" s="140"/>
      <c r="N697" s="138"/>
      <c r="O697" s="141"/>
      <c r="S697" s="94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9"/>
      <c r="L698" s="140"/>
      <c r="N698" s="138"/>
      <c r="O698" s="141"/>
      <c r="S698" s="94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9"/>
      <c r="L699" s="140"/>
      <c r="N699" s="138"/>
      <c r="O699" s="141"/>
      <c r="S699" s="94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9"/>
      <c r="L700" s="140"/>
      <c r="N700" s="138"/>
      <c r="O700" s="141"/>
      <c r="S700" s="94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9"/>
      <c r="L701" s="140"/>
      <c r="N701" s="138"/>
      <c r="O701" s="141"/>
      <c r="S701" s="94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9"/>
      <c r="L702" s="140"/>
      <c r="N702" s="138"/>
      <c r="O702" s="141"/>
      <c r="S702" s="94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9"/>
      <c r="L703" s="140"/>
      <c r="N703" s="138"/>
      <c r="O703" s="141"/>
      <c r="S703" s="94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9"/>
      <c r="L704" s="140"/>
      <c r="N704" s="138"/>
      <c r="O704" s="141"/>
      <c r="S704" s="94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9"/>
      <c r="L705" s="140"/>
      <c r="N705" s="138"/>
      <c r="O705" s="141"/>
      <c r="S705" s="94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9"/>
      <c r="L706" s="140"/>
      <c r="N706" s="138"/>
      <c r="O706" s="141"/>
      <c r="S706" s="94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9"/>
      <c r="L707" s="140"/>
      <c r="N707" s="138"/>
      <c r="O707" s="141"/>
      <c r="S707" s="94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9"/>
      <c r="L708" s="140"/>
      <c r="N708" s="138"/>
      <c r="O708" s="141"/>
      <c r="S708" s="94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9"/>
      <c r="L709" s="140"/>
      <c r="N709" s="138"/>
      <c r="O709" s="141"/>
      <c r="S709" s="94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9"/>
      <c r="L710" s="140"/>
      <c r="N710" s="138"/>
      <c r="O710" s="141"/>
      <c r="S710" s="94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9"/>
      <c r="L711" s="140"/>
      <c r="N711" s="138"/>
      <c r="O711" s="141"/>
      <c r="S711" s="94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9"/>
      <c r="L712" s="140"/>
      <c r="N712" s="138"/>
      <c r="O712" s="141"/>
      <c r="S712" s="94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9"/>
      <c r="L713" s="140"/>
      <c r="N713" s="138"/>
      <c r="O713" s="141"/>
      <c r="S713" s="94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9"/>
      <c r="L714" s="140"/>
      <c r="N714" s="138"/>
      <c r="O714" s="141"/>
      <c r="S714" s="94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9"/>
      <c r="L715" s="140"/>
      <c r="N715" s="138"/>
      <c r="O715" s="141"/>
      <c r="S715" s="94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9"/>
      <c r="L716" s="140"/>
      <c r="N716" s="138"/>
      <c r="O716" s="141"/>
      <c r="S716" s="94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9"/>
      <c r="L717" s="140"/>
      <c r="N717" s="138"/>
      <c r="O717" s="141"/>
      <c r="S717" s="94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9"/>
      <c r="L718" s="140"/>
      <c r="N718" s="138"/>
      <c r="O718" s="141"/>
      <c r="S718" s="94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9"/>
      <c r="L719" s="140"/>
      <c r="N719" s="138"/>
      <c r="O719" s="141"/>
      <c r="S719" s="94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9"/>
      <c r="L720" s="140"/>
      <c r="N720" s="138"/>
      <c r="O720" s="141"/>
      <c r="S720" s="94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9"/>
      <c r="L721" s="140"/>
      <c r="N721" s="138"/>
      <c r="O721" s="141"/>
      <c r="S721" s="94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9"/>
      <c r="L722" s="140"/>
      <c r="N722" s="138"/>
      <c r="O722" s="141"/>
      <c r="S722" s="94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9"/>
      <c r="L723" s="140"/>
      <c r="N723" s="138"/>
      <c r="O723" s="141"/>
      <c r="S723" s="94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9"/>
      <c r="L724" s="140"/>
      <c r="N724" s="138"/>
      <c r="O724" s="141"/>
      <c r="S724" s="94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9"/>
      <c r="L725" s="140"/>
      <c r="N725" s="138"/>
      <c r="O725" s="141"/>
      <c r="S725" s="94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9"/>
      <c r="L726" s="140"/>
      <c r="N726" s="138"/>
      <c r="O726" s="141"/>
      <c r="S726" s="94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9"/>
      <c r="L727" s="140"/>
      <c r="N727" s="138"/>
      <c r="O727" s="141"/>
      <c r="S727" s="94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9"/>
      <c r="L728" s="140"/>
      <c r="N728" s="138"/>
      <c r="O728" s="141"/>
      <c r="S728" s="94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9"/>
      <c r="L729" s="140"/>
      <c r="N729" s="138"/>
      <c r="O729" s="141"/>
      <c r="S729" s="94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9"/>
      <c r="L730" s="140"/>
      <c r="N730" s="138"/>
      <c r="O730" s="141"/>
      <c r="S730" s="94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9"/>
      <c r="L731" s="140"/>
      <c r="N731" s="138"/>
      <c r="O731" s="141"/>
      <c r="S731" s="94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9"/>
      <c r="L732" s="140"/>
      <c r="N732" s="138"/>
      <c r="O732" s="141"/>
      <c r="S732" s="94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9"/>
      <c r="L733" s="140"/>
      <c r="N733" s="138"/>
      <c r="O733" s="141"/>
      <c r="S733" s="94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9"/>
      <c r="L734" s="140"/>
      <c r="N734" s="138"/>
      <c r="O734" s="141"/>
      <c r="S734" s="94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9"/>
      <c r="L735" s="140"/>
      <c r="N735" s="138"/>
      <c r="O735" s="141"/>
      <c r="S735" s="94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9"/>
      <c r="L736" s="140"/>
      <c r="N736" s="138"/>
      <c r="O736" s="141"/>
      <c r="S736" s="94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9"/>
      <c r="L737" s="140"/>
      <c r="N737" s="138"/>
      <c r="O737" s="141"/>
      <c r="S737" s="94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9"/>
      <c r="L738" s="140"/>
      <c r="N738" s="138"/>
      <c r="O738" s="141"/>
      <c r="S738" s="94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9"/>
      <c r="L739" s="140"/>
      <c r="N739" s="138"/>
      <c r="O739" s="141"/>
      <c r="S739" s="94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9"/>
      <c r="L740" s="140"/>
      <c r="N740" s="138"/>
      <c r="O740" s="141"/>
      <c r="S740" s="94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9"/>
      <c r="L741" s="140"/>
      <c r="N741" s="138"/>
      <c r="O741" s="141"/>
      <c r="S741" s="94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9"/>
      <c r="L742" s="140"/>
      <c r="N742" s="138"/>
      <c r="O742" s="141"/>
      <c r="S742" s="94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9"/>
      <c r="L743" s="140"/>
      <c r="N743" s="138"/>
      <c r="O743" s="141"/>
      <c r="S743" s="94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9"/>
      <c r="L744" s="140"/>
      <c r="N744" s="138"/>
      <c r="O744" s="141"/>
      <c r="S744" s="94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9"/>
      <c r="L745" s="140"/>
      <c r="N745" s="138"/>
      <c r="O745" s="141"/>
      <c r="S745" s="94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9"/>
      <c r="L746" s="140"/>
      <c r="N746" s="138"/>
      <c r="O746" s="141"/>
      <c r="S746" s="94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9"/>
      <c r="L747" s="140"/>
      <c r="N747" s="138"/>
      <c r="O747" s="141"/>
      <c r="S747" s="94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9"/>
      <c r="L748" s="140"/>
      <c r="N748" s="138"/>
      <c r="O748" s="141"/>
      <c r="S748" s="94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9"/>
      <c r="L749" s="140"/>
      <c r="N749" s="138"/>
      <c r="O749" s="141"/>
      <c r="S749" s="94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9"/>
      <c r="L750" s="140"/>
      <c r="N750" s="138"/>
      <c r="O750" s="141"/>
      <c r="S750" s="94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9"/>
      <c r="L751" s="140"/>
      <c r="N751" s="138"/>
      <c r="O751" s="141"/>
      <c r="S751" s="94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9"/>
      <c r="L752" s="140"/>
      <c r="N752" s="138"/>
      <c r="O752" s="141"/>
      <c r="S752" s="94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9"/>
      <c r="L753" s="140"/>
      <c r="N753" s="138"/>
      <c r="O753" s="141"/>
      <c r="S753" s="94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9"/>
      <c r="L754" s="140"/>
      <c r="N754" s="138"/>
      <c r="O754" s="141"/>
      <c r="S754" s="94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9"/>
      <c r="L755" s="140"/>
      <c r="N755" s="138"/>
      <c r="O755" s="141"/>
      <c r="S755" s="94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9"/>
      <c r="L756" s="140"/>
      <c r="N756" s="138"/>
      <c r="O756" s="141"/>
      <c r="S756" s="94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9"/>
      <c r="L757" s="140"/>
      <c r="N757" s="138"/>
      <c r="O757" s="141"/>
      <c r="S757" s="94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9"/>
      <c r="L758" s="140"/>
      <c r="N758" s="138"/>
      <c r="O758" s="141"/>
      <c r="S758" s="94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9"/>
      <c r="L759" s="140"/>
      <c r="N759" s="138"/>
      <c r="O759" s="141"/>
      <c r="S759" s="94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9"/>
      <c r="L760" s="140"/>
      <c r="N760" s="138"/>
      <c r="O760" s="141"/>
      <c r="S760" s="94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9"/>
      <c r="L761" s="140"/>
      <c r="N761" s="138"/>
      <c r="O761" s="141"/>
      <c r="S761" s="94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9"/>
      <c r="L762" s="140"/>
      <c r="N762" s="138"/>
      <c r="O762" s="141"/>
      <c r="S762" s="94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9"/>
      <c r="L763" s="140"/>
      <c r="N763" s="138"/>
      <c r="O763" s="141"/>
      <c r="S763" s="94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9"/>
      <c r="L764" s="140"/>
      <c r="N764" s="138"/>
      <c r="O764" s="141"/>
      <c r="S764" s="94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9"/>
      <c r="L765" s="140"/>
      <c r="N765" s="138"/>
      <c r="O765" s="141"/>
      <c r="S765" s="94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9"/>
      <c r="L766" s="140"/>
      <c r="N766" s="138"/>
      <c r="O766" s="141"/>
      <c r="S766" s="94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9"/>
      <c r="L767" s="140"/>
      <c r="N767" s="138"/>
      <c r="O767" s="141"/>
      <c r="S767" s="94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9"/>
      <c r="L768" s="140"/>
      <c r="N768" s="138"/>
      <c r="O768" s="141"/>
      <c r="S768" s="94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9"/>
      <c r="L769" s="140"/>
      <c r="N769" s="138"/>
      <c r="O769" s="141"/>
      <c r="S769" s="94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9"/>
      <c r="L770" s="140"/>
      <c r="N770" s="138"/>
      <c r="O770" s="141"/>
      <c r="S770" s="94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9"/>
      <c r="L771" s="140"/>
      <c r="N771" s="138"/>
      <c r="O771" s="141"/>
      <c r="S771" s="94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9"/>
      <c r="L772" s="140"/>
      <c r="N772" s="138"/>
      <c r="O772" s="141"/>
      <c r="S772" s="94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9"/>
      <c r="L773" s="140"/>
      <c r="N773" s="138"/>
      <c r="O773" s="141"/>
      <c r="S773" s="94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9"/>
      <c r="L774" s="140"/>
      <c r="N774" s="138"/>
      <c r="O774" s="141"/>
      <c r="S774" s="94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9"/>
      <c r="L775" s="140"/>
      <c r="N775" s="138"/>
      <c r="O775" s="141"/>
      <c r="S775" s="94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9"/>
      <c r="L776" s="140"/>
      <c r="N776" s="138"/>
      <c r="O776" s="141"/>
      <c r="S776" s="94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9"/>
      <c r="L777" s="140"/>
      <c r="N777" s="138"/>
      <c r="O777" s="141"/>
      <c r="S777" s="94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9"/>
      <c r="L778" s="140"/>
      <c r="N778" s="138"/>
      <c r="O778" s="141"/>
      <c r="S778" s="94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9"/>
      <c r="L779" s="140"/>
      <c r="N779" s="138"/>
      <c r="O779" s="141"/>
      <c r="S779" s="94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9"/>
      <c r="L780" s="140"/>
      <c r="N780" s="138"/>
      <c r="O780" s="141"/>
      <c r="S780" s="94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9"/>
      <c r="L781" s="140"/>
      <c r="N781" s="138"/>
      <c r="O781" s="141"/>
      <c r="S781" s="94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9"/>
      <c r="L782" s="140"/>
      <c r="N782" s="138"/>
      <c r="O782" s="141"/>
      <c r="S782" s="94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9"/>
      <c r="L783" s="140"/>
      <c r="N783" s="138"/>
      <c r="O783" s="141"/>
      <c r="S783" s="94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9"/>
      <c r="L784" s="140"/>
      <c r="N784" s="138"/>
      <c r="O784" s="141"/>
      <c r="S784" s="94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9"/>
      <c r="L785" s="140"/>
      <c r="N785" s="138"/>
      <c r="O785" s="141"/>
      <c r="S785" s="94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9"/>
      <c r="L786" s="140"/>
      <c r="N786" s="138"/>
      <c r="O786" s="141"/>
      <c r="S786" s="94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9"/>
      <c r="L787" s="140"/>
      <c r="N787" s="138"/>
      <c r="O787" s="141"/>
      <c r="S787" s="94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9"/>
      <c r="L788" s="140"/>
      <c r="N788" s="138"/>
      <c r="O788" s="141"/>
      <c r="S788" s="94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9"/>
      <c r="L789" s="140"/>
      <c r="N789" s="138"/>
      <c r="O789" s="141"/>
      <c r="S789" s="94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9"/>
      <c r="L790" s="140"/>
      <c r="N790" s="138"/>
      <c r="O790" s="141"/>
      <c r="S790" s="94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9"/>
      <c r="L791" s="140"/>
      <c r="N791" s="138"/>
      <c r="O791" s="141"/>
      <c r="S791" s="94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9"/>
      <c r="L792" s="140"/>
      <c r="N792" s="138"/>
      <c r="O792" s="141"/>
      <c r="S792" s="94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9"/>
      <c r="L793" s="140"/>
      <c r="N793" s="138"/>
      <c r="O793" s="141"/>
      <c r="S793" s="94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9"/>
      <c r="L794" s="140"/>
      <c r="N794" s="138"/>
      <c r="O794" s="141"/>
      <c r="S794" s="94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9"/>
      <c r="L795" s="140"/>
      <c r="N795" s="138"/>
      <c r="O795" s="141"/>
      <c r="S795" s="94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9"/>
      <c r="L796" s="140"/>
      <c r="N796" s="138"/>
      <c r="O796" s="141"/>
      <c r="S796" s="94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9"/>
      <c r="L797" s="140"/>
      <c r="N797" s="138"/>
      <c r="O797" s="141"/>
      <c r="S797" s="94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9"/>
      <c r="L798" s="140"/>
      <c r="N798" s="138"/>
      <c r="O798" s="141"/>
      <c r="S798" s="94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9"/>
      <c r="L799" s="140"/>
      <c r="N799" s="138"/>
      <c r="O799" s="141"/>
      <c r="S799" s="94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9"/>
      <c r="L800" s="140"/>
      <c r="N800" s="138"/>
      <c r="O800" s="141"/>
      <c r="S800" s="94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9"/>
      <c r="L801" s="140"/>
      <c r="N801" s="138"/>
      <c r="O801" s="141"/>
      <c r="S801" s="94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9"/>
      <c r="L802" s="140"/>
      <c r="N802" s="138"/>
      <c r="O802" s="141"/>
      <c r="S802" s="94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9"/>
      <c r="L803" s="140"/>
      <c r="N803" s="138"/>
      <c r="O803" s="141"/>
      <c r="S803" s="94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9"/>
      <c r="L804" s="140"/>
      <c r="N804" s="138"/>
      <c r="O804" s="141"/>
      <c r="S804" s="94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9"/>
      <c r="L805" s="140"/>
      <c r="N805" s="138"/>
      <c r="O805" s="141"/>
      <c r="S805" s="94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9"/>
      <c r="L806" s="140"/>
      <c r="N806" s="138"/>
      <c r="O806" s="141"/>
      <c r="S806" s="94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9"/>
      <c r="L807" s="140"/>
      <c r="N807" s="138"/>
      <c r="O807" s="141"/>
      <c r="S807" s="94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9"/>
      <c r="L808" s="140"/>
      <c r="N808" s="138"/>
      <c r="O808" s="141"/>
      <c r="S808" s="94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9"/>
      <c r="L809" s="140"/>
      <c r="N809" s="138"/>
      <c r="O809" s="141"/>
      <c r="S809" s="94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9"/>
      <c r="L810" s="140"/>
      <c r="N810" s="138"/>
      <c r="O810" s="141"/>
      <c r="S810" s="94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9"/>
      <c r="L811" s="140"/>
      <c r="N811" s="138"/>
      <c r="O811" s="141"/>
      <c r="S811" s="94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9"/>
      <c r="L812" s="140"/>
      <c r="N812" s="138"/>
      <c r="O812" s="141"/>
      <c r="S812" s="94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9"/>
      <c r="L813" s="140"/>
      <c r="N813" s="138"/>
      <c r="O813" s="141"/>
      <c r="S813" s="94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9"/>
      <c r="L814" s="140"/>
      <c r="N814" s="138"/>
      <c r="O814" s="141"/>
      <c r="S814" s="94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9"/>
      <c r="L815" s="140"/>
      <c r="N815" s="138"/>
      <c r="O815" s="141"/>
      <c r="S815" s="94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9"/>
      <c r="L816" s="140"/>
      <c r="N816" s="138"/>
      <c r="O816" s="141"/>
      <c r="S816" s="94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9"/>
      <c r="L817" s="140"/>
      <c r="N817" s="138"/>
      <c r="O817" s="141"/>
      <c r="S817" s="94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9"/>
      <c r="L818" s="140"/>
      <c r="N818" s="138"/>
      <c r="O818" s="141"/>
      <c r="S818" s="94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9"/>
      <c r="L819" s="140"/>
      <c r="N819" s="138"/>
      <c r="O819" s="141"/>
      <c r="S819" s="94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9"/>
      <c r="L820" s="140"/>
      <c r="N820" s="138"/>
      <c r="O820" s="141"/>
      <c r="S820" s="94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9"/>
      <c r="L821" s="140"/>
      <c r="N821" s="138"/>
      <c r="O821" s="141"/>
      <c r="S821" s="94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9"/>
      <c r="L822" s="140"/>
      <c r="N822" s="138"/>
      <c r="O822" s="141"/>
      <c r="S822" s="94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9"/>
      <c r="L823" s="140"/>
      <c r="N823" s="138"/>
      <c r="O823" s="141"/>
      <c r="S823" s="94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9"/>
      <c r="L824" s="140"/>
      <c r="N824" s="138"/>
      <c r="O824" s="141"/>
      <c r="S824" s="94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9"/>
      <c r="L825" s="140"/>
      <c r="N825" s="138"/>
      <c r="O825" s="141"/>
      <c r="S825" s="94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9"/>
      <c r="L826" s="140"/>
      <c r="N826" s="138"/>
      <c r="O826" s="141"/>
      <c r="S826" s="94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9"/>
      <c r="L827" s="140"/>
      <c r="N827" s="138"/>
      <c r="O827" s="141"/>
      <c r="S827" s="94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9"/>
      <c r="L828" s="140"/>
      <c r="N828" s="138"/>
      <c r="O828" s="141"/>
      <c r="S828" s="94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9"/>
      <c r="L829" s="140"/>
      <c r="N829" s="138"/>
      <c r="O829" s="141"/>
      <c r="S829" s="94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9"/>
      <c r="L830" s="140"/>
      <c r="N830" s="138"/>
      <c r="O830" s="141"/>
      <c r="S830" s="94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9"/>
      <c r="L831" s="140"/>
      <c r="N831" s="138"/>
      <c r="O831" s="141"/>
      <c r="S831" s="94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9"/>
      <c r="L832" s="140"/>
      <c r="N832" s="138"/>
      <c r="O832" s="141"/>
      <c r="S832" s="94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9"/>
      <c r="L833" s="140"/>
      <c r="N833" s="138"/>
      <c r="O833" s="141"/>
      <c r="S833" s="94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9"/>
      <c r="L834" s="140"/>
      <c r="N834" s="138"/>
      <c r="O834" s="141"/>
      <c r="S834" s="94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9"/>
      <c r="L835" s="140"/>
      <c r="N835" s="138"/>
      <c r="O835" s="141"/>
      <c r="S835" s="94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9"/>
      <c r="L836" s="140"/>
      <c r="N836" s="138"/>
      <c r="O836" s="141"/>
      <c r="S836" s="94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9"/>
      <c r="L837" s="140"/>
      <c r="N837" s="138"/>
      <c r="O837" s="141"/>
      <c r="S837" s="94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9"/>
      <c r="L838" s="140"/>
      <c r="N838" s="138"/>
      <c r="O838" s="141"/>
      <c r="S838" s="94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9"/>
      <c r="L839" s="140"/>
      <c r="N839" s="138"/>
      <c r="O839" s="141"/>
      <c r="S839" s="94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9"/>
      <c r="L840" s="140"/>
      <c r="N840" s="138"/>
      <c r="O840" s="141"/>
      <c r="S840" s="94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9"/>
      <c r="L841" s="140"/>
      <c r="N841" s="138"/>
      <c r="O841" s="141"/>
      <c r="S841" s="94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9"/>
      <c r="L842" s="140"/>
      <c r="N842" s="138"/>
      <c r="O842" s="141"/>
      <c r="S842" s="94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9"/>
      <c r="L843" s="140"/>
      <c r="N843" s="138"/>
      <c r="O843" s="141"/>
      <c r="S843" s="94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9"/>
      <c r="L844" s="140"/>
      <c r="N844" s="138"/>
      <c r="O844" s="141"/>
      <c r="S844" s="94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9"/>
      <c r="L845" s="140"/>
      <c r="N845" s="138"/>
      <c r="O845" s="141"/>
      <c r="S845" s="94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9"/>
      <c r="L846" s="140"/>
      <c r="N846" s="138"/>
      <c r="O846" s="141"/>
      <c r="S846" s="94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9"/>
      <c r="L847" s="140"/>
      <c r="N847" s="138"/>
      <c r="O847" s="141"/>
      <c r="S847" s="94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9"/>
      <c r="L848" s="140"/>
      <c r="N848" s="138"/>
      <c r="O848" s="141"/>
      <c r="S848" s="94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9"/>
      <c r="L849" s="140"/>
      <c r="N849" s="138"/>
      <c r="O849" s="141"/>
      <c r="S849" s="94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9"/>
      <c r="L850" s="140"/>
      <c r="N850" s="138"/>
      <c r="O850" s="141"/>
      <c r="S850" s="94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9"/>
      <c r="L851" s="140"/>
      <c r="N851" s="138"/>
      <c r="O851" s="141"/>
      <c r="S851" s="94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9"/>
      <c r="L852" s="140"/>
      <c r="N852" s="138"/>
      <c r="O852" s="141"/>
      <c r="S852" s="94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9"/>
      <c r="L853" s="140"/>
      <c r="N853" s="138"/>
      <c r="O853" s="141"/>
      <c r="S853" s="94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9"/>
      <c r="L854" s="140"/>
      <c r="N854" s="138"/>
      <c r="O854" s="141"/>
      <c r="S854" s="94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9"/>
      <c r="L855" s="140"/>
      <c r="N855" s="138"/>
      <c r="O855" s="141"/>
      <c r="S855" s="94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9"/>
      <c r="L856" s="140"/>
      <c r="N856" s="138"/>
      <c r="O856" s="141"/>
      <c r="S856" s="94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9"/>
      <c r="L857" s="140"/>
      <c r="N857" s="138"/>
      <c r="O857" s="141"/>
      <c r="S857" s="94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9"/>
      <c r="L858" s="140"/>
      <c r="N858" s="138"/>
      <c r="O858" s="141"/>
      <c r="S858" s="94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9"/>
      <c r="L859" s="140"/>
      <c r="N859" s="138"/>
      <c r="O859" s="141"/>
      <c r="S859" s="94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9"/>
      <c r="L860" s="140"/>
      <c r="N860" s="138"/>
      <c r="O860" s="141"/>
      <c r="S860" s="94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9"/>
      <c r="L861" s="140"/>
      <c r="N861" s="138"/>
      <c r="O861" s="141"/>
      <c r="S861" s="94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9"/>
      <c r="L862" s="140"/>
      <c r="N862" s="138"/>
      <c r="O862" s="141"/>
      <c r="S862" s="94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9"/>
      <c r="L863" s="140"/>
      <c r="N863" s="138"/>
      <c r="O863" s="141"/>
      <c r="S863" s="94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9"/>
      <c r="L864" s="140"/>
      <c r="N864" s="138"/>
      <c r="O864" s="141"/>
      <c r="S864" s="94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9"/>
      <c r="L865" s="140"/>
      <c r="N865" s="138"/>
      <c r="O865" s="141"/>
      <c r="S865" s="94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9"/>
      <c r="L866" s="140"/>
      <c r="N866" s="138"/>
      <c r="O866" s="141"/>
      <c r="S866" s="94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9"/>
      <c r="L867" s="140"/>
      <c r="N867" s="138"/>
      <c r="O867" s="141"/>
      <c r="S867" s="94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9"/>
      <c r="L868" s="140"/>
      <c r="N868" s="138"/>
      <c r="O868" s="141"/>
      <c r="S868" s="94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9"/>
      <c r="L869" s="140"/>
      <c r="N869" s="138"/>
      <c r="O869" s="141"/>
      <c r="S869" s="94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9"/>
      <c r="L870" s="140"/>
      <c r="N870" s="138"/>
      <c r="O870" s="141"/>
      <c r="S870" s="94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9"/>
      <c r="L871" s="140"/>
      <c r="N871" s="138"/>
      <c r="O871" s="141"/>
      <c r="S871" s="94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9"/>
      <c r="L872" s="140"/>
      <c r="N872" s="138"/>
      <c r="O872" s="141"/>
      <c r="S872" s="94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9"/>
      <c r="L873" s="140"/>
      <c r="N873" s="138"/>
      <c r="O873" s="141"/>
      <c r="S873" s="94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9"/>
      <c r="L874" s="140"/>
      <c r="N874" s="138"/>
      <c r="O874" s="141"/>
      <c r="S874" s="94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9"/>
      <c r="L875" s="140"/>
      <c r="N875" s="138"/>
      <c r="O875" s="141"/>
      <c r="S875" s="94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9"/>
      <c r="L876" s="140"/>
      <c r="N876" s="138"/>
      <c r="O876" s="141"/>
      <c r="S876" s="94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9"/>
      <c r="L877" s="140"/>
      <c r="N877" s="138"/>
      <c r="O877" s="141"/>
      <c r="S877" s="94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9"/>
      <c r="L878" s="140"/>
      <c r="N878" s="138"/>
      <c r="O878" s="141"/>
      <c r="S878" s="94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9"/>
      <c r="L879" s="140"/>
      <c r="N879" s="138"/>
      <c r="O879" s="141"/>
      <c r="S879" s="94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9"/>
      <c r="L880" s="140"/>
      <c r="N880" s="138"/>
      <c r="O880" s="141"/>
      <c r="S880" s="94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9"/>
      <c r="L881" s="140"/>
      <c r="N881" s="138"/>
      <c r="O881" s="141"/>
      <c r="S881" s="94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9"/>
      <c r="L882" s="140"/>
      <c r="N882" s="138"/>
      <c r="O882" s="141"/>
      <c r="S882" s="94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9"/>
      <c r="L883" s="140"/>
      <c r="N883" s="138"/>
      <c r="O883" s="141"/>
      <c r="S883" s="94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9"/>
      <c r="L884" s="140"/>
      <c r="N884" s="138"/>
      <c r="O884" s="141"/>
      <c r="S884" s="94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9"/>
      <c r="L885" s="140"/>
      <c r="N885" s="138"/>
      <c r="O885" s="141"/>
      <c r="S885" s="94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9"/>
      <c r="L886" s="140"/>
      <c r="N886" s="138"/>
      <c r="O886" s="141"/>
      <c r="S886" s="94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9"/>
      <c r="L887" s="140"/>
      <c r="N887" s="138"/>
      <c r="O887" s="141"/>
      <c r="S887" s="94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9"/>
      <c r="L888" s="140"/>
      <c r="N888" s="138"/>
      <c r="O888" s="141"/>
      <c r="S888" s="94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9"/>
      <c r="L889" s="140"/>
      <c r="N889" s="138"/>
      <c r="O889" s="141"/>
      <c r="S889" s="94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9"/>
      <c r="L890" s="140"/>
      <c r="N890" s="138"/>
      <c r="O890" s="141"/>
      <c r="S890" s="94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9"/>
      <c r="L891" s="140"/>
      <c r="N891" s="138"/>
      <c r="O891" s="141"/>
      <c r="S891" s="94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9"/>
      <c r="L892" s="140"/>
      <c r="N892" s="138"/>
      <c r="O892" s="141"/>
      <c r="S892" s="94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9"/>
      <c r="L893" s="140"/>
      <c r="N893" s="138"/>
      <c r="O893" s="141"/>
      <c r="S893" s="94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9"/>
      <c r="L894" s="140"/>
      <c r="N894" s="138"/>
      <c r="O894" s="141"/>
      <c r="S894" s="94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9"/>
      <c r="L895" s="140"/>
      <c r="N895" s="138"/>
      <c r="O895" s="141"/>
      <c r="S895" s="94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9"/>
      <c r="L896" s="140"/>
      <c r="N896" s="138"/>
      <c r="O896" s="141"/>
      <c r="S896" s="94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9"/>
      <c r="L897" s="140"/>
      <c r="N897" s="138"/>
      <c r="O897" s="141"/>
      <c r="S897" s="94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9"/>
      <c r="L898" s="140"/>
      <c r="N898" s="138"/>
      <c r="O898" s="141"/>
      <c r="S898" s="94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9"/>
      <c r="L899" s="140"/>
      <c r="N899" s="138"/>
      <c r="O899" s="141"/>
      <c r="S899" s="94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9"/>
      <c r="L900" s="140"/>
      <c r="N900" s="138"/>
      <c r="O900" s="141"/>
      <c r="S900" s="94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9"/>
      <c r="L901" s="140"/>
      <c r="N901" s="138"/>
      <c r="O901" s="141"/>
      <c r="S901" s="94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9"/>
      <c r="L902" s="140"/>
      <c r="N902" s="138"/>
      <c r="O902" s="141"/>
      <c r="S902" s="94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9"/>
      <c r="L903" s="140"/>
      <c r="N903" s="138"/>
      <c r="O903" s="141"/>
      <c r="S903" s="94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9"/>
      <c r="L904" s="140"/>
      <c r="N904" s="138"/>
      <c r="O904" s="141"/>
      <c r="S904" s="94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9"/>
      <c r="L905" s="140"/>
      <c r="N905" s="138"/>
      <c r="O905" s="141"/>
      <c r="S905" s="94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9"/>
      <c r="L906" s="140"/>
      <c r="N906" s="138"/>
      <c r="O906" s="141"/>
      <c r="S906" s="94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9"/>
      <c r="L907" s="140"/>
      <c r="N907" s="138"/>
      <c r="O907" s="141"/>
      <c r="S907" s="94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9"/>
      <c r="L908" s="140"/>
      <c r="N908" s="138"/>
      <c r="O908" s="141"/>
      <c r="S908" s="94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9"/>
      <c r="L909" s="140"/>
      <c r="N909" s="138"/>
      <c r="O909" s="141"/>
      <c r="S909" s="94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9"/>
      <c r="L910" s="140"/>
      <c r="N910" s="138"/>
      <c r="O910" s="141"/>
      <c r="S910" s="94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9"/>
      <c r="L911" s="140"/>
      <c r="N911" s="138"/>
      <c r="O911" s="141"/>
      <c r="S911" s="94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9"/>
      <c r="L912" s="140"/>
      <c r="N912" s="138"/>
      <c r="O912" s="141"/>
      <c r="S912" s="94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9"/>
      <c r="L913" s="140"/>
      <c r="N913" s="138"/>
      <c r="O913" s="141"/>
      <c r="S913" s="94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9"/>
      <c r="L914" s="140"/>
      <c r="N914" s="138"/>
      <c r="O914" s="141"/>
      <c r="S914" s="94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9"/>
      <c r="L915" s="140"/>
      <c r="N915" s="138"/>
      <c r="O915" s="141"/>
      <c r="S915" s="94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9"/>
      <c r="L916" s="140"/>
      <c r="N916" s="138"/>
      <c r="O916" s="141"/>
      <c r="S916" s="94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9"/>
      <c r="L917" s="140"/>
      <c r="N917" s="138"/>
      <c r="O917" s="141"/>
      <c r="S917" s="94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9"/>
      <c r="L918" s="140"/>
      <c r="N918" s="138"/>
      <c r="O918" s="141"/>
      <c r="S918" s="94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9"/>
      <c r="L919" s="140"/>
      <c r="N919" s="138"/>
      <c r="O919" s="141"/>
      <c r="S919" s="94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9"/>
      <c r="L920" s="140"/>
      <c r="N920" s="138"/>
      <c r="O920" s="141"/>
      <c r="S920" s="94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9"/>
      <c r="L921" s="140"/>
      <c r="N921" s="138"/>
      <c r="O921" s="141"/>
      <c r="S921" s="94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9"/>
      <c r="L922" s="140"/>
      <c r="N922" s="138"/>
      <c r="O922" s="141"/>
      <c r="S922" s="94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9"/>
      <c r="L923" s="140"/>
      <c r="N923" s="138"/>
      <c r="O923" s="141"/>
      <c r="S923" s="94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9"/>
      <c r="L924" s="140"/>
      <c r="N924" s="138"/>
      <c r="O924" s="141"/>
      <c r="S924" s="94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9"/>
      <c r="L925" s="140"/>
      <c r="N925" s="138"/>
      <c r="O925" s="141"/>
      <c r="S925" s="94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9"/>
      <c r="L926" s="140"/>
      <c r="N926" s="138"/>
      <c r="O926" s="141"/>
      <c r="S926" s="94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9"/>
      <c r="L927" s="140"/>
      <c r="N927" s="138"/>
      <c r="O927" s="141"/>
      <c r="S927" s="94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9"/>
      <c r="L928" s="140"/>
      <c r="N928" s="138"/>
      <c r="O928" s="141"/>
      <c r="S928" s="94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9"/>
      <c r="L929" s="140"/>
      <c r="N929" s="138"/>
      <c r="O929" s="141"/>
      <c r="S929" s="94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9"/>
      <c r="L930" s="140"/>
      <c r="N930" s="138"/>
      <c r="O930" s="141"/>
      <c r="S930" s="94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9"/>
      <c r="L931" s="140"/>
      <c r="N931" s="138"/>
      <c r="O931" s="141"/>
      <c r="S931" s="94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9"/>
      <c r="L932" s="140"/>
      <c r="N932" s="138"/>
      <c r="O932" s="141"/>
      <c r="S932" s="94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9"/>
      <c r="L933" s="140"/>
      <c r="N933" s="138"/>
      <c r="O933" s="141"/>
      <c r="S933" s="94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9"/>
      <c r="L934" s="140"/>
      <c r="N934" s="138"/>
      <c r="O934" s="141"/>
      <c r="S934" s="94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9"/>
      <c r="L935" s="140"/>
      <c r="N935" s="138"/>
      <c r="O935" s="141"/>
      <c r="S935" s="94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9"/>
      <c r="L936" s="140"/>
      <c r="N936" s="138"/>
      <c r="O936" s="141"/>
      <c r="S936" s="94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9"/>
      <c r="L937" s="140"/>
      <c r="N937" s="138"/>
      <c r="O937" s="141"/>
      <c r="S937" s="94"/>
    </row>
  </sheetData>
  <mergeCells count="11">
    <mergeCell ref="R37:S37"/>
    <mergeCell ref="R38:S38"/>
    <mergeCell ref="R68:S68"/>
    <mergeCell ref="R99:S99"/>
    <mergeCell ref="B1:D1"/>
    <mergeCell ref="E1:G1"/>
    <mergeCell ref="H1:J1"/>
    <mergeCell ref="K1:M1"/>
    <mergeCell ref="N1:P1"/>
    <mergeCell ref="R6:S6"/>
    <mergeCell ref="R7:S7"/>
  </mergeCells>
  <conditionalFormatting sqref="J3:J128">
    <cfRule type="cellIs" dxfId="5" priority="1" operator="lessThan">
      <formula>I3:I66</formula>
    </cfRule>
  </conditionalFormatting>
  <conditionalFormatting sqref="J3:J128">
    <cfRule type="cellIs" dxfId="11" priority="2" operator="greaterThan">
      <formula>I4:I66</formula>
    </cfRule>
  </conditionalFormatting>
  <conditionalFormatting sqref="D3:D128 G6:G35 G37:G66 G68:G97 G99:G128">
    <cfRule type="cellIs" dxfId="12" priority="3" operator="equal">
      <formula>0</formula>
    </cfRule>
  </conditionalFormatting>
  <conditionalFormatting sqref="D3:D128 G6:G35 G37:G66 G68:G97 G99:G128">
    <cfRule type="cellIs" dxfId="5" priority="4" operator="lessThan">
      <formula>C3:C89</formula>
    </cfRule>
  </conditionalFormatting>
  <conditionalFormatting sqref="D3:D128 G6:G35 G37:G66 G68:G97 G99:G128">
    <cfRule type="cellIs" dxfId="4" priority="5" operator="greaterThanOrEqual">
      <formula>C3:C89</formula>
    </cfRule>
  </conditionalFormatting>
  <conditionalFormatting sqref="J18">
    <cfRule type="notContainsBlanks" dxfId="7" priority="6">
      <formula>LEN(TRIM(J18))&gt;0</formula>
    </cfRule>
  </conditionalFormatting>
  <conditionalFormatting sqref="P2:P937">
    <cfRule type="cellIs" dxfId="4" priority="7" operator="greaterThan">
      <formula>0</formula>
    </cfRule>
  </conditionalFormatting>
  <conditionalFormatting sqref="P2:P937">
    <cfRule type="cellIs" dxfId="5" priority="8" operator="lessThan">
      <formula>0</formula>
    </cfRule>
  </conditionalFormatting>
  <conditionalFormatting sqref="M2:M937">
    <cfRule type="cellIs" dxfId="4" priority="9" operator="greaterThan">
      <formula>50%</formula>
    </cfRule>
  </conditionalFormatting>
  <conditionalFormatting sqref="M2:M937">
    <cfRule type="cellIs" dxfId="5" priority="10" operator="lessThan">
      <formula>50%</formula>
    </cfRule>
  </conditionalFormatting>
  <drawing r:id="rId1"/>
  <tableParts count="4">
    <tablePart r:id="rId6"/>
    <tablePart r:id="rId7"/>
    <tablePart r:id="rId8"/>
    <tablePart r:id="rId9"/>
  </tableParts>
</worksheet>
</file>